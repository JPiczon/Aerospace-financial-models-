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dc8c86c708ee123/Documents/corporate financials/"/>
    </mc:Choice>
  </mc:AlternateContent>
  <xr:revisionPtr revIDLastSave="0" documentId="8_{276A12BC-3C00-45C4-9F37-1BD91BB0DAC7}" xr6:coauthVersionLast="47" xr6:coauthVersionMax="47" xr10:uidLastSave="{00000000-0000-0000-0000-000000000000}"/>
  <bookViews>
    <workbookView xWindow="-25320" yWindow="-120" windowWidth="25440" windowHeight="15270" xr2:uid="{8F10664E-E6DF-4480-8A04-452897A6AB9A}"/>
  </bookViews>
  <sheets>
    <sheet name="Cover" sheetId="1" r:id="rId1"/>
    <sheet name="DCF August 26"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5" i="1" l="1"/>
  <c r="C12" i="1"/>
  <c r="C11" i="1"/>
  <c r="C10" i="1"/>
  <c r="C13" i="1" s="1"/>
  <c r="C9" i="1"/>
  <c r="C8" i="1" a="1"/>
  <c r="C8" i="1" s="1"/>
  <c r="C14" i="1" s="1"/>
  <c r="C7" i="1" a="1"/>
  <c r="C7" i="1" s="1"/>
  <c r="C6" i="1" a="1"/>
  <c r="C6" i="1" s="1"/>
  <c r="C5" i="1" a="1"/>
  <c r="C5" i="1" s="1"/>
  <c r="C4" i="1" a="1"/>
  <c r="C4" i="1" s="1"/>
  <c r="C3" i="1" a="1"/>
  <c r="C3" i="1" s="1"/>
  <c r="C60" i="2"/>
  <c r="C58" i="2"/>
  <c r="C54" i="2"/>
  <c r="C52" i="2"/>
  <c r="N39" i="2"/>
  <c r="O38" i="2"/>
  <c r="O39" i="2" s="1"/>
  <c r="M31" i="2"/>
  <c r="M32" i="2" s="1"/>
  <c r="L31" i="2"/>
  <c r="L32" i="2" s="1"/>
  <c r="K31" i="2"/>
  <c r="J31" i="2"/>
  <c r="J32" i="2" s="1"/>
  <c r="I31" i="2"/>
  <c r="I32" i="2" s="1"/>
  <c r="H31" i="2"/>
  <c r="H32" i="2" s="1"/>
  <c r="G31" i="2"/>
  <c r="F31" i="2"/>
  <c r="E31" i="2"/>
  <c r="D31" i="2"/>
  <c r="C31" i="2"/>
  <c r="C32" i="2" s="1"/>
  <c r="M29" i="2"/>
  <c r="L29" i="2"/>
  <c r="L30" i="2" s="1"/>
  <c r="K29" i="2"/>
  <c r="J29" i="2"/>
  <c r="J30" i="2" s="1"/>
  <c r="I29" i="2"/>
  <c r="I30" i="2" s="1"/>
  <c r="H29" i="2"/>
  <c r="H30" i="2" s="1"/>
  <c r="G29" i="2"/>
  <c r="F29" i="2"/>
  <c r="E29" i="2"/>
  <c r="D29" i="2"/>
  <c r="C29" i="2"/>
  <c r="C30" i="2" s="1"/>
  <c r="M26" i="2"/>
  <c r="M33" i="2" s="1"/>
  <c r="E26" i="2"/>
  <c r="E33" i="2" s="1"/>
  <c r="M24" i="2"/>
  <c r="M25" i="2" s="1"/>
  <c r="L24" i="2"/>
  <c r="L25" i="2" s="1"/>
  <c r="K24" i="2"/>
  <c r="J24" i="2"/>
  <c r="J25" i="2" s="1"/>
  <c r="I24" i="2"/>
  <c r="I25" i="2" s="1"/>
  <c r="H24" i="2"/>
  <c r="H25" i="2" s="1"/>
  <c r="G24" i="2"/>
  <c r="F24" i="2"/>
  <c r="E24" i="2"/>
  <c r="D24" i="2"/>
  <c r="C24" i="2"/>
  <c r="C25" i="2" s="1"/>
  <c r="M23" i="2"/>
  <c r="L23" i="2"/>
  <c r="K23" i="2"/>
  <c r="J23" i="2"/>
  <c r="I23" i="2"/>
  <c r="H23" i="2"/>
  <c r="G23" i="2"/>
  <c r="F23" i="2"/>
  <c r="E23" i="2"/>
  <c r="D23" i="2"/>
  <c r="C23" i="2"/>
  <c r="L21" i="2"/>
  <c r="H21" i="2"/>
  <c r="H22" i="2" s="1"/>
  <c r="D21" i="2"/>
  <c r="H19" i="2"/>
  <c r="C19" i="2"/>
  <c r="M15" i="2"/>
  <c r="M16" i="2" s="1"/>
  <c r="L15" i="2"/>
  <c r="L16" i="2" s="1"/>
  <c r="K15" i="2"/>
  <c r="K16" i="2" s="1"/>
  <c r="J15" i="2"/>
  <c r="J16" i="2" s="1"/>
  <c r="I15" i="2"/>
  <c r="I16" i="2" s="1"/>
  <c r="H15" i="2"/>
  <c r="H16" i="2" s="1"/>
  <c r="G15" i="2"/>
  <c r="G16" i="2" s="1"/>
  <c r="F15" i="2"/>
  <c r="F16" i="2" s="1"/>
  <c r="E15" i="2"/>
  <c r="E16" i="2" s="1"/>
  <c r="D15" i="2"/>
  <c r="D16" i="2" s="1"/>
  <c r="C15" i="2"/>
  <c r="C16" i="2" s="1"/>
  <c r="M13" i="2"/>
  <c r="M14" i="2" s="1"/>
  <c r="L13" i="2"/>
  <c r="L14" i="2" s="1"/>
  <c r="K13" i="2"/>
  <c r="K14" i="2" s="1"/>
  <c r="J13" i="2"/>
  <c r="J14" i="2" s="1"/>
  <c r="I13" i="2"/>
  <c r="I14" i="2" s="1"/>
  <c r="H13" i="2"/>
  <c r="H14" i="2" s="1"/>
  <c r="G13" i="2"/>
  <c r="G14" i="2" s="1"/>
  <c r="F13" i="2"/>
  <c r="F14" i="2" s="1"/>
  <c r="E13" i="2"/>
  <c r="E14" i="2" s="1"/>
  <c r="D13" i="2"/>
  <c r="D14" i="2" s="1"/>
  <c r="C13" i="2"/>
  <c r="C14" i="2" s="1"/>
  <c r="M11" i="2"/>
  <c r="N11" i="2" s="1"/>
  <c r="L11" i="2"/>
  <c r="M12" i="2" s="1"/>
  <c r="K11" i="2"/>
  <c r="K12" i="2" s="1"/>
  <c r="J11" i="2"/>
  <c r="J12" i="2" s="1"/>
  <c r="I11" i="2"/>
  <c r="H11" i="2"/>
  <c r="I12" i="2" s="1"/>
  <c r="G11" i="2"/>
  <c r="H12" i="2" s="1"/>
  <c r="F11" i="2"/>
  <c r="E11" i="2"/>
  <c r="F12" i="2" s="1"/>
  <c r="D11" i="2"/>
  <c r="E12" i="2" s="1"/>
  <c r="C11" i="2"/>
  <c r="M7" i="2"/>
  <c r="M8" i="2" s="1"/>
  <c r="L7" i="2"/>
  <c r="L26" i="2" s="1"/>
  <c r="K7" i="2"/>
  <c r="K26" i="2" s="1"/>
  <c r="J7" i="2"/>
  <c r="J26" i="2" s="1"/>
  <c r="I7" i="2"/>
  <c r="I8" i="2" s="1"/>
  <c r="H7" i="2"/>
  <c r="H8" i="2" s="1"/>
  <c r="G7" i="2"/>
  <c r="G8" i="2" s="1"/>
  <c r="F7" i="2"/>
  <c r="F8" i="2" s="1"/>
  <c r="E7" i="2"/>
  <c r="E8" i="2" s="1"/>
  <c r="D7" i="2"/>
  <c r="D26" i="2" s="1"/>
  <c r="C7" i="2"/>
  <c r="C26" i="2" s="1"/>
  <c r="M5" i="2"/>
  <c r="M21" i="2" s="1"/>
  <c r="M22" i="2" s="1"/>
  <c r="L5" i="2"/>
  <c r="L6" i="2" s="1"/>
  <c r="K5" i="2"/>
  <c r="K21" i="2" s="1"/>
  <c r="J5" i="2"/>
  <c r="J21" i="2" s="1"/>
  <c r="J22" i="2" s="1"/>
  <c r="I5" i="2"/>
  <c r="I21" i="2" s="1"/>
  <c r="I22" i="2" s="1"/>
  <c r="H5" i="2"/>
  <c r="H6" i="2" s="1"/>
  <c r="G5" i="2"/>
  <c r="G6" i="2" s="1"/>
  <c r="F5" i="2"/>
  <c r="F6" i="2" s="1"/>
  <c r="E5" i="2"/>
  <c r="E6" i="2" s="1"/>
  <c r="D5" i="2"/>
  <c r="D6" i="2" s="1"/>
  <c r="C5" i="2"/>
  <c r="C21" i="2" s="1"/>
  <c r="C22" i="2" s="1"/>
  <c r="M3" i="2"/>
  <c r="M19" i="2" s="1"/>
  <c r="L3" i="2"/>
  <c r="L19" i="2" s="1"/>
  <c r="K3" i="2"/>
  <c r="K4" i="2" s="1"/>
  <c r="J3" i="2"/>
  <c r="J19" i="2" s="1"/>
  <c r="I3" i="2"/>
  <c r="I19" i="2" s="1"/>
  <c r="I20" i="2" s="1"/>
  <c r="H3" i="2"/>
  <c r="I4" i="2" s="1"/>
  <c r="G3" i="2"/>
  <c r="G4" i="2" s="1"/>
  <c r="F3" i="2"/>
  <c r="F19" i="2" s="1"/>
  <c r="E3" i="2"/>
  <c r="F4" i="2" s="1"/>
  <c r="D3" i="2"/>
  <c r="C3" i="2"/>
  <c r="D4" i="2" s="1"/>
  <c r="O1" i="2"/>
  <c r="P1" i="2" s="1"/>
  <c r="Q1" i="2" s="1"/>
  <c r="R1" i="2" s="1"/>
  <c r="S1" i="2" s="1"/>
  <c r="T1" i="2" s="1"/>
  <c r="U1" i="2" s="1"/>
  <c r="V1" i="2" s="1"/>
  <c r="W1" i="2" s="1"/>
  <c r="X1" i="2" s="1"/>
  <c r="Y1" i="2" s="1"/>
  <c r="Z1" i="2" s="1"/>
  <c r="AA1" i="2" s="1"/>
  <c r="AB1" i="2" s="1"/>
  <c r="AC1" i="2" s="1"/>
  <c r="AD1" i="2" s="1"/>
  <c r="AE1" i="2" s="1"/>
  <c r="AF1" i="2" s="1"/>
  <c r="AG1" i="2" s="1"/>
  <c r="AH1" i="2" s="1"/>
  <c r="AI1" i="2" s="1"/>
  <c r="AJ1" i="2" s="1"/>
  <c r="AK1" i="2" s="1"/>
  <c r="AL1" i="2" s="1"/>
  <c r="I1" i="2"/>
  <c r="H1" i="2" s="1"/>
  <c r="G1" i="2" s="1"/>
  <c r="F1" i="2" s="1"/>
  <c r="E1" i="2" s="1"/>
  <c r="D1" i="2" s="1"/>
  <c r="C1" i="2" s="1"/>
  <c r="C16" i="1" l="1"/>
  <c r="C17" i="1"/>
  <c r="J33" i="2"/>
  <c r="J28" i="2"/>
  <c r="J27" i="2"/>
  <c r="K33" i="2"/>
  <c r="K28" i="2"/>
  <c r="F20" i="2"/>
  <c r="K30" i="2"/>
  <c r="E35" i="2"/>
  <c r="L33" i="2"/>
  <c r="L28" i="2"/>
  <c r="L27" i="2"/>
  <c r="M20" i="2"/>
  <c r="D33" i="2"/>
  <c r="D28" i="2"/>
  <c r="D27" i="2"/>
  <c r="D25" i="2"/>
  <c r="D32" i="2"/>
  <c r="K25" i="2"/>
  <c r="J20" i="2"/>
  <c r="C33" i="2"/>
  <c r="C28" i="2"/>
  <c r="C27" i="2"/>
  <c r="E37" i="2"/>
  <c r="E32" i="2"/>
  <c r="O11" i="2"/>
  <c r="N13" i="2"/>
  <c r="N15" i="2"/>
  <c r="H20" i="2"/>
  <c r="M30" i="2"/>
  <c r="M34" i="2"/>
  <c r="M35" i="2"/>
  <c r="E30" i="2"/>
  <c r="F32" i="2"/>
  <c r="L22" i="2"/>
  <c r="G25" i="2"/>
  <c r="F30" i="2"/>
  <c r="G32" i="2"/>
  <c r="H4" i="2"/>
  <c r="I6" i="2"/>
  <c r="J8" i="2"/>
  <c r="L12" i="2"/>
  <c r="E27" i="2"/>
  <c r="E28" i="2"/>
  <c r="J6" i="2"/>
  <c r="K8" i="2"/>
  <c r="D19" i="2"/>
  <c r="D20" i="2" s="1"/>
  <c r="E21" i="2"/>
  <c r="E22" i="2" s="1"/>
  <c r="F25" i="2"/>
  <c r="F26" i="2"/>
  <c r="J4" i="2"/>
  <c r="K6" i="2"/>
  <c r="L8" i="2"/>
  <c r="E19" i="2"/>
  <c r="F21" i="2"/>
  <c r="F22" i="2" s="1"/>
  <c r="G26" i="2"/>
  <c r="G21" i="2"/>
  <c r="G22" i="2" s="1"/>
  <c r="H26" i="2"/>
  <c r="J37" i="2"/>
  <c r="L4" i="2"/>
  <c r="M6" i="2"/>
  <c r="D12" i="2"/>
  <c r="G19" i="2"/>
  <c r="G20" i="2" s="1"/>
  <c r="I26" i="2"/>
  <c r="K37" i="2"/>
  <c r="M4" i="2"/>
  <c r="C8" i="2"/>
  <c r="C6" i="2"/>
  <c r="D8" i="2"/>
  <c r="M37" i="2"/>
  <c r="N3" i="2"/>
  <c r="G12" i="2"/>
  <c r="K19" i="2"/>
  <c r="K20" i="2" s="1"/>
  <c r="M27" i="2"/>
  <c r="M28" i="2"/>
  <c r="E4" i="2"/>
  <c r="P38" i="2"/>
  <c r="K22" i="2" l="1"/>
  <c r="D22" i="2"/>
  <c r="K32" i="2"/>
  <c r="K27" i="2"/>
  <c r="P11" i="2"/>
  <c r="O13" i="2"/>
  <c r="O15" i="2"/>
  <c r="G33" i="2"/>
  <c r="G28" i="2"/>
  <c r="G27" i="2"/>
  <c r="D30" i="2"/>
  <c r="K34" i="2"/>
  <c r="K35" i="2"/>
  <c r="H33" i="2"/>
  <c r="H28" i="2"/>
  <c r="H27" i="2"/>
  <c r="D34" i="2"/>
  <c r="D35" i="2"/>
  <c r="D37" i="2"/>
  <c r="P39" i="2"/>
  <c r="Q38" i="2"/>
  <c r="E20" i="2"/>
  <c r="E25" i="2"/>
  <c r="C34" i="2"/>
  <c r="C35" i="2"/>
  <c r="C37" i="2"/>
  <c r="L34" i="2"/>
  <c r="L35" i="2"/>
  <c r="L37" i="2"/>
  <c r="F33" i="2"/>
  <c r="F28" i="2"/>
  <c r="F27" i="2"/>
  <c r="I33" i="2"/>
  <c r="I28" i="2"/>
  <c r="I27" i="2"/>
  <c r="L20" i="2"/>
  <c r="G30" i="2"/>
  <c r="N19" i="2"/>
  <c r="O3" i="2"/>
  <c r="N5" i="2"/>
  <c r="N21" i="2" s="1"/>
  <c r="N7" i="2"/>
  <c r="N26" i="2" s="1"/>
  <c r="E34" i="2"/>
  <c r="J34" i="2"/>
  <c r="J35" i="2"/>
  <c r="F34" i="2" l="1"/>
  <c r="F35" i="2"/>
  <c r="F37" i="2"/>
  <c r="N27" i="2"/>
  <c r="Q11" i="2"/>
  <c r="P13" i="2"/>
  <c r="P15" i="2"/>
  <c r="Q39" i="2"/>
  <c r="R38" i="2"/>
  <c r="N22" i="2"/>
  <c r="N24" i="2"/>
  <c r="I34" i="2"/>
  <c r="I35" i="2"/>
  <c r="I37" i="2"/>
  <c r="P3" i="2"/>
  <c r="O5" i="2"/>
  <c r="O21" i="2" s="1"/>
  <c r="O7" i="2"/>
  <c r="O26" i="2" s="1"/>
  <c r="O19" i="2"/>
  <c r="N20" i="2"/>
  <c r="N31" i="2"/>
  <c r="N32" i="2" s="1"/>
  <c r="H34" i="2"/>
  <c r="H35" i="2"/>
  <c r="H37" i="2"/>
  <c r="G34" i="2"/>
  <c r="G35" i="2"/>
  <c r="G37" i="2"/>
  <c r="N33" i="2" l="1"/>
  <c r="N29" i="2" s="1"/>
  <c r="N30" i="2" s="1"/>
  <c r="N25" i="2"/>
  <c r="N37" i="2"/>
  <c r="N40" i="2" s="1"/>
  <c r="R39" i="2"/>
  <c r="S38" i="2"/>
  <c r="O20" i="2"/>
  <c r="O31" i="2"/>
  <c r="O32" i="2" s="1"/>
  <c r="O28" i="2"/>
  <c r="O27" i="2"/>
  <c r="R11" i="2"/>
  <c r="Q13" i="2"/>
  <c r="Q15" i="2"/>
  <c r="O22" i="2"/>
  <c r="O24" i="2"/>
  <c r="Q3" i="2"/>
  <c r="P5" i="2"/>
  <c r="P21" i="2" s="1"/>
  <c r="P7" i="2"/>
  <c r="P26" i="2" s="1"/>
  <c r="P19" i="2"/>
  <c r="N28" i="2"/>
  <c r="S11" i="2" l="1"/>
  <c r="R13" i="2"/>
  <c r="R15" i="2"/>
  <c r="S39" i="2"/>
  <c r="T38" i="2"/>
  <c r="P24" i="2"/>
  <c r="P22" i="2"/>
  <c r="R3" i="2"/>
  <c r="Q5" i="2"/>
  <c r="Q21" i="2" s="1"/>
  <c r="Q7" i="2"/>
  <c r="Q26" i="2" s="1"/>
  <c r="Q19" i="2"/>
  <c r="O33" i="2"/>
  <c r="O29" i="2" s="1"/>
  <c r="O30" i="2" s="1"/>
  <c r="O25" i="2"/>
  <c r="P31" i="2"/>
  <c r="P32" i="2" s="1"/>
  <c r="P20" i="2"/>
  <c r="P27" i="2"/>
  <c r="Q22" i="2" l="1"/>
  <c r="Q24" i="2"/>
  <c r="Q20" i="2"/>
  <c r="Q31" i="2"/>
  <c r="Q32" i="2" s="1"/>
  <c r="R5" i="2"/>
  <c r="R21" i="2" s="1"/>
  <c r="R7" i="2"/>
  <c r="R26" i="2" s="1"/>
  <c r="R19" i="2"/>
  <c r="S3" i="2"/>
  <c r="P33" i="2"/>
  <c r="P29" i="2" s="1"/>
  <c r="P30" i="2" s="1"/>
  <c r="P25" i="2"/>
  <c r="P37" i="2"/>
  <c r="P40" i="2" s="1"/>
  <c r="Q28" i="2"/>
  <c r="Q27" i="2"/>
  <c r="P28" i="2"/>
  <c r="T39" i="2"/>
  <c r="U38" i="2"/>
  <c r="O37" i="2"/>
  <c r="O40" i="2" s="1"/>
  <c r="T11" i="2"/>
  <c r="S13" i="2"/>
  <c r="S15" i="2"/>
  <c r="R20" i="2" l="1"/>
  <c r="R31" i="2"/>
  <c r="R32" i="2" s="1"/>
  <c r="U11" i="2"/>
  <c r="T13" i="2"/>
  <c r="T15" i="2"/>
  <c r="R22" i="2"/>
  <c r="R24" i="2"/>
  <c r="U39" i="2"/>
  <c r="V38" i="2"/>
  <c r="S5" i="2"/>
  <c r="S21" i="2" s="1"/>
  <c r="S7" i="2"/>
  <c r="S26" i="2" s="1"/>
  <c r="S19" i="2"/>
  <c r="T3" i="2"/>
  <c r="R27" i="2"/>
  <c r="Q33" i="2"/>
  <c r="Q29" i="2" s="1"/>
  <c r="Q30" i="2" s="1"/>
  <c r="Q25" i="2"/>
  <c r="S22" i="2" l="1"/>
  <c r="S24" i="2"/>
  <c r="V39" i="2"/>
  <c r="W38" i="2"/>
  <c r="R33" i="2"/>
  <c r="R29" i="2" s="1"/>
  <c r="R30" i="2" s="1"/>
  <c r="R25" i="2"/>
  <c r="Q37" i="2"/>
  <c r="Q40" i="2" s="1"/>
  <c r="S28" i="2"/>
  <c r="S27" i="2"/>
  <c r="V11" i="2"/>
  <c r="U13" i="2"/>
  <c r="U15" i="2"/>
  <c r="R28" i="2"/>
  <c r="T5" i="2"/>
  <c r="T21" i="2" s="1"/>
  <c r="T7" i="2"/>
  <c r="T26" i="2" s="1"/>
  <c r="T19" i="2"/>
  <c r="U3" i="2"/>
  <c r="S20" i="2"/>
  <c r="S31" i="2"/>
  <c r="S32" i="2" s="1"/>
  <c r="V13" i="2" l="1"/>
  <c r="V15" i="2"/>
  <c r="W11" i="2"/>
  <c r="U7" i="2"/>
  <c r="U26" i="2" s="1"/>
  <c r="U19" i="2"/>
  <c r="V3" i="2"/>
  <c r="U5" i="2"/>
  <c r="U21" i="2" s="1"/>
  <c r="T22" i="2"/>
  <c r="T24" i="2"/>
  <c r="R37" i="2"/>
  <c r="R40" i="2" s="1"/>
  <c r="W39" i="2"/>
  <c r="X38" i="2"/>
  <c r="S33" i="2"/>
  <c r="S29" i="2" s="1"/>
  <c r="S30" i="2" s="1"/>
  <c r="S25" i="2"/>
  <c r="S37" i="2"/>
  <c r="S40" i="2" s="1"/>
  <c r="T20" i="2"/>
  <c r="T31" i="2"/>
  <c r="T32" i="2" s="1"/>
  <c r="T27" i="2"/>
  <c r="T33" i="2" l="1"/>
  <c r="T29" i="2" s="1"/>
  <c r="T30" i="2" s="1"/>
  <c r="T25" i="2"/>
  <c r="T37" i="2"/>
  <c r="T40" i="2" s="1"/>
  <c r="T28" i="2"/>
  <c r="U22" i="2"/>
  <c r="U24" i="2"/>
  <c r="V19" i="2"/>
  <c r="W3" i="2"/>
  <c r="V5" i="2"/>
  <c r="V21" i="2" s="1"/>
  <c r="V7" i="2"/>
  <c r="V26" i="2" s="1"/>
  <c r="W13" i="2"/>
  <c r="W15" i="2"/>
  <c r="X11" i="2"/>
  <c r="X39" i="2"/>
  <c r="Y38" i="2"/>
  <c r="U20" i="2"/>
  <c r="U31" i="2"/>
  <c r="U32" i="2" s="1"/>
  <c r="U27" i="2"/>
  <c r="V22" i="2" l="1"/>
  <c r="V24" i="2"/>
  <c r="U33" i="2"/>
  <c r="U29" i="2" s="1"/>
  <c r="U30" i="2" s="1"/>
  <c r="U25" i="2"/>
  <c r="U37" i="2"/>
  <c r="U40" i="2" s="1"/>
  <c r="W19" i="2"/>
  <c r="X3" i="2"/>
  <c r="W5" i="2"/>
  <c r="W21" i="2" s="1"/>
  <c r="W7" i="2"/>
  <c r="W26" i="2" s="1"/>
  <c r="U28" i="2"/>
  <c r="V28" i="2"/>
  <c r="V27" i="2"/>
  <c r="V20" i="2"/>
  <c r="V31" i="2"/>
  <c r="V32" i="2" s="1"/>
  <c r="Y39" i="2"/>
  <c r="Z38" i="2"/>
  <c r="X13" i="2"/>
  <c r="X15" i="2"/>
  <c r="Y11" i="2"/>
  <c r="W22" i="2" l="1"/>
  <c r="W24" i="2"/>
  <c r="W28" i="2"/>
  <c r="W27" i="2"/>
  <c r="X19" i="2"/>
  <c r="Y3" i="2"/>
  <c r="X5" i="2"/>
  <c r="X21" i="2" s="1"/>
  <c r="X7" i="2"/>
  <c r="X26" i="2" s="1"/>
  <c r="W20" i="2"/>
  <c r="W31" i="2"/>
  <c r="W32" i="2" s="1"/>
  <c r="Z39" i="2"/>
  <c r="AA38" i="2"/>
  <c r="Y15" i="2"/>
  <c r="Z11" i="2"/>
  <c r="Y13" i="2"/>
  <c r="V33" i="2"/>
  <c r="V29" i="2" s="1"/>
  <c r="V30" i="2" s="1"/>
  <c r="V25" i="2"/>
  <c r="V37" i="2"/>
  <c r="V40" i="2" s="1"/>
  <c r="AA39" i="2" l="1"/>
  <c r="AB38" i="2"/>
  <c r="X27" i="2"/>
  <c r="X22" i="2"/>
  <c r="X24" i="2"/>
  <c r="X28" i="2" s="1"/>
  <c r="Y19" i="2"/>
  <c r="Z3" i="2"/>
  <c r="Y5" i="2"/>
  <c r="Y21" i="2" s="1"/>
  <c r="Y7" i="2"/>
  <c r="Y26" i="2" s="1"/>
  <c r="X20" i="2"/>
  <c r="X31" i="2"/>
  <c r="X32" i="2" s="1"/>
  <c r="W33" i="2"/>
  <c r="W29" i="2" s="1"/>
  <c r="W30" i="2" s="1"/>
  <c r="W25" i="2"/>
  <c r="W37" i="2"/>
  <c r="W40" i="2" s="1"/>
  <c r="AA11" i="2"/>
  <c r="Z13" i="2"/>
  <c r="Z15" i="2"/>
  <c r="Y20" i="2" l="1"/>
  <c r="Y31" i="2"/>
  <c r="Y32" i="2" s="1"/>
  <c r="Y27" i="2"/>
  <c r="Z19" i="2"/>
  <c r="AA3" i="2"/>
  <c r="Z5" i="2"/>
  <c r="Z21" i="2" s="1"/>
  <c r="Z7" i="2"/>
  <c r="Z26" i="2" s="1"/>
  <c r="X33" i="2"/>
  <c r="X29" i="2" s="1"/>
  <c r="X30" i="2" s="1"/>
  <c r="X25" i="2"/>
  <c r="X37" i="2"/>
  <c r="X40" i="2" s="1"/>
  <c r="AB11" i="2"/>
  <c r="AA13" i="2"/>
  <c r="AA15" i="2"/>
  <c r="AB39" i="2"/>
  <c r="AC38" i="2"/>
  <c r="Y22" i="2"/>
  <c r="Y24" i="2"/>
  <c r="AC11" i="2" l="1"/>
  <c r="AB13" i="2"/>
  <c r="AB15" i="2"/>
  <c r="Z27" i="2"/>
  <c r="Y33" i="2"/>
  <c r="Y29" i="2" s="1"/>
  <c r="Y30" i="2" s="1"/>
  <c r="Y25" i="2"/>
  <c r="Y37" i="2"/>
  <c r="Y40" i="2" s="1"/>
  <c r="Z22" i="2"/>
  <c r="Z24" i="2"/>
  <c r="Z20" i="2"/>
  <c r="Z31" i="2"/>
  <c r="Z32" i="2" s="1"/>
  <c r="AC39" i="2"/>
  <c r="AD38" i="2"/>
  <c r="AB3" i="2"/>
  <c r="AA5" i="2"/>
  <c r="AA21" i="2" s="1"/>
  <c r="AA7" i="2"/>
  <c r="AA26" i="2" s="1"/>
  <c r="AA19" i="2"/>
  <c r="Y28" i="2"/>
  <c r="Z33" i="2" l="1"/>
  <c r="Z29" i="2" s="1"/>
  <c r="Z30" i="2" s="1"/>
  <c r="Z25" i="2"/>
  <c r="Z37" i="2"/>
  <c r="Z40" i="2" s="1"/>
  <c r="AA27" i="2"/>
  <c r="AA22" i="2"/>
  <c r="AA24" i="2"/>
  <c r="AD39" i="2"/>
  <c r="AE38" i="2"/>
  <c r="AA20" i="2"/>
  <c r="AA31" i="2"/>
  <c r="AA32" i="2" s="1"/>
  <c r="Z28" i="2"/>
  <c r="AC3" i="2"/>
  <c r="AB5" i="2"/>
  <c r="AB21" i="2" s="1"/>
  <c r="AB7" i="2"/>
  <c r="AB26" i="2" s="1"/>
  <c r="AB19" i="2"/>
  <c r="AD11" i="2"/>
  <c r="AC13" i="2"/>
  <c r="AC15" i="2"/>
  <c r="AE39" i="2" l="1"/>
  <c r="AF38" i="2"/>
  <c r="AB27" i="2"/>
  <c r="AA33" i="2"/>
  <c r="AA29" i="2" s="1"/>
  <c r="AA30" i="2" s="1"/>
  <c r="AA25" i="2"/>
  <c r="AA37" i="2"/>
  <c r="AA40" i="2" s="1"/>
  <c r="AA28" i="2"/>
  <c r="AB24" i="2"/>
  <c r="AB22" i="2"/>
  <c r="AE11" i="2"/>
  <c r="AD13" i="2"/>
  <c r="AD15" i="2"/>
  <c r="AB31" i="2"/>
  <c r="AB32" i="2" s="1"/>
  <c r="AB20" i="2"/>
  <c r="AD3" i="2"/>
  <c r="AC5" i="2"/>
  <c r="AC21" i="2" s="1"/>
  <c r="AC7" i="2"/>
  <c r="AC26" i="2" s="1"/>
  <c r="AC19" i="2"/>
  <c r="AF11" i="2" l="1"/>
  <c r="AE13" i="2"/>
  <c r="AE15" i="2"/>
  <c r="AC27" i="2"/>
  <c r="AD5" i="2"/>
  <c r="AD21" i="2" s="1"/>
  <c r="AD7" i="2"/>
  <c r="AD26" i="2" s="1"/>
  <c r="AD19" i="2"/>
  <c r="AE3" i="2"/>
  <c r="AF39" i="2"/>
  <c r="AG38" i="2"/>
  <c r="AB33" i="2"/>
  <c r="AB29" i="2" s="1"/>
  <c r="AB30" i="2" s="1"/>
  <c r="AB25" i="2"/>
  <c r="AC20" i="2"/>
  <c r="AC31" i="2"/>
  <c r="AC32" i="2" s="1"/>
  <c r="AC22" i="2"/>
  <c r="AC24" i="2"/>
  <c r="AB28" i="2"/>
  <c r="AE5" i="2" l="1"/>
  <c r="AE21" i="2" s="1"/>
  <c r="AE7" i="2"/>
  <c r="AE26" i="2" s="1"/>
  <c r="AE19" i="2"/>
  <c r="AF3" i="2"/>
  <c r="AD27" i="2"/>
  <c r="AD22" i="2"/>
  <c r="AD24" i="2"/>
  <c r="AB37" i="2"/>
  <c r="AB40" i="2" s="1"/>
  <c r="AG39" i="2"/>
  <c r="AH38" i="2"/>
  <c r="AD20" i="2"/>
  <c r="AD31" i="2"/>
  <c r="AD32" i="2" s="1"/>
  <c r="AC33" i="2"/>
  <c r="AC29" i="2" s="1"/>
  <c r="AC30" i="2" s="1"/>
  <c r="AC25" i="2"/>
  <c r="AC28" i="2"/>
  <c r="AG11" i="2"/>
  <c r="AF13" i="2"/>
  <c r="AF15" i="2"/>
  <c r="AH39" i="2" l="1"/>
  <c r="AI38" i="2"/>
  <c r="AD33" i="2"/>
  <c r="AD29" i="2" s="1"/>
  <c r="AD30" i="2" s="1"/>
  <c r="AD25" i="2"/>
  <c r="AD28" i="2"/>
  <c r="AF5" i="2"/>
  <c r="AF21" i="2" s="1"/>
  <c r="AF7" i="2"/>
  <c r="AF26" i="2" s="1"/>
  <c r="AF19" i="2"/>
  <c r="AG3" i="2"/>
  <c r="AE28" i="2"/>
  <c r="AE27" i="2"/>
  <c r="AH11" i="2"/>
  <c r="AG13" i="2"/>
  <c r="AG15" i="2"/>
  <c r="AE20" i="2"/>
  <c r="AE31" i="2"/>
  <c r="AE32" i="2" s="1"/>
  <c r="AC37" i="2"/>
  <c r="AC40" i="2" s="1"/>
  <c r="AE22" i="2"/>
  <c r="AE24" i="2"/>
  <c r="AE33" i="2" l="1"/>
  <c r="AE29" i="2" s="1"/>
  <c r="AE30" i="2" s="1"/>
  <c r="AE25" i="2"/>
  <c r="AE37" i="2"/>
  <c r="AE40" i="2" s="1"/>
  <c r="AG7" i="2"/>
  <c r="AG26" i="2" s="1"/>
  <c r="AG19" i="2"/>
  <c r="AH3" i="2"/>
  <c r="AG5" i="2"/>
  <c r="AG21" i="2" s="1"/>
  <c r="AF20" i="2"/>
  <c r="AF31" i="2"/>
  <c r="AF32" i="2" s="1"/>
  <c r="AD37" i="2"/>
  <c r="AD40" i="2" s="1"/>
  <c r="AF28" i="2"/>
  <c r="AF27" i="2"/>
  <c r="AI39" i="2"/>
  <c r="AJ38" i="2"/>
  <c r="AF22" i="2"/>
  <c r="AF24" i="2"/>
  <c r="AH13" i="2"/>
  <c r="AH15" i="2"/>
  <c r="AI11" i="2"/>
  <c r="AG22" i="2" l="1"/>
  <c r="AG24" i="2"/>
  <c r="AI13" i="2"/>
  <c r="AI15" i="2"/>
  <c r="AJ11" i="2"/>
  <c r="AH19" i="2"/>
  <c r="AI3" i="2"/>
  <c r="AH5" i="2"/>
  <c r="AH21" i="2" s="1"/>
  <c r="AH7" i="2"/>
  <c r="AH26" i="2" s="1"/>
  <c r="AG20" i="2"/>
  <c r="AG31" i="2"/>
  <c r="AG32" i="2" s="1"/>
  <c r="AF33" i="2"/>
  <c r="AF29" i="2" s="1"/>
  <c r="AF30" i="2" s="1"/>
  <c r="AF25" i="2"/>
  <c r="AG28" i="2"/>
  <c r="AG27" i="2"/>
  <c r="AJ39" i="2"/>
  <c r="AK38" i="2"/>
  <c r="AH22" i="2" l="1"/>
  <c r="AH24" i="2"/>
  <c r="AK39" i="2"/>
  <c r="AL38" i="2"/>
  <c r="AL39" i="2" s="1"/>
  <c r="AF37" i="2"/>
  <c r="AF40" i="2" s="1"/>
  <c r="AG33" i="2"/>
  <c r="AG29" i="2" s="1"/>
  <c r="AG30" i="2" s="1"/>
  <c r="AG25" i="2"/>
  <c r="AG37" i="2"/>
  <c r="AG40" i="2" s="1"/>
  <c r="AH28" i="2"/>
  <c r="AH27" i="2"/>
  <c r="AI19" i="2"/>
  <c r="AJ3" i="2"/>
  <c r="AI5" i="2"/>
  <c r="AI21" i="2" s="1"/>
  <c r="AI7" i="2"/>
  <c r="AI26" i="2" s="1"/>
  <c r="AH20" i="2"/>
  <c r="AH31" i="2"/>
  <c r="AH32" i="2" s="1"/>
  <c r="AJ13" i="2"/>
  <c r="AJ15" i="2"/>
  <c r="AK11" i="2"/>
  <c r="AI20" i="2" l="1"/>
  <c r="AI31" i="2"/>
  <c r="AI32" i="2" s="1"/>
  <c r="AK15" i="2"/>
  <c r="AL11" i="2"/>
  <c r="AK13" i="2"/>
  <c r="AJ19" i="2"/>
  <c r="AK3" i="2"/>
  <c r="AJ5" i="2"/>
  <c r="AJ21" i="2" s="1"/>
  <c r="AJ7" i="2"/>
  <c r="AJ26" i="2" s="1"/>
  <c r="AI28" i="2"/>
  <c r="AI27" i="2"/>
  <c r="AH33" i="2"/>
  <c r="AH29" i="2" s="1"/>
  <c r="AH30" i="2" s="1"/>
  <c r="AH25" i="2"/>
  <c r="AI22" i="2"/>
  <c r="AI24" i="2"/>
  <c r="AL13" i="2" l="1"/>
  <c r="AL15" i="2"/>
  <c r="AJ27" i="2"/>
  <c r="AJ22" i="2"/>
  <c r="AJ24" i="2"/>
  <c r="AJ28" i="2" s="1"/>
  <c r="AJ20" i="2"/>
  <c r="AJ31" i="2"/>
  <c r="AJ32" i="2" s="1"/>
  <c r="AI33" i="2"/>
  <c r="AI29" i="2" s="1"/>
  <c r="AI30" i="2" s="1"/>
  <c r="AI25" i="2"/>
  <c r="AI37" i="2"/>
  <c r="AI40" i="2" s="1"/>
  <c r="AH37" i="2"/>
  <c r="AH40" i="2" s="1"/>
  <c r="AK19" i="2"/>
  <c r="AL3" i="2"/>
  <c r="AK5" i="2"/>
  <c r="AK21" i="2" s="1"/>
  <c r="AK7" i="2"/>
  <c r="AK26" i="2" s="1"/>
  <c r="AJ33" i="2" l="1"/>
  <c r="AJ29" i="2" s="1"/>
  <c r="AJ30" i="2" s="1"/>
  <c r="AJ25" i="2"/>
  <c r="AJ37" i="2"/>
  <c r="AJ40" i="2" s="1"/>
  <c r="AL19" i="2"/>
  <c r="AL5" i="2"/>
  <c r="AL21" i="2" s="1"/>
  <c r="AL7" i="2"/>
  <c r="AL26" i="2" s="1"/>
  <c r="AK27" i="2"/>
  <c r="AK22" i="2"/>
  <c r="AK24" i="2"/>
  <c r="AK28" i="2" s="1"/>
  <c r="AK20" i="2"/>
  <c r="AK31" i="2"/>
  <c r="AK32" i="2" s="1"/>
  <c r="AL22" i="2" l="1"/>
  <c r="AL24" i="2"/>
  <c r="AK33" i="2"/>
  <c r="AK29" i="2" s="1"/>
  <c r="AK30" i="2" s="1"/>
  <c r="AK25" i="2"/>
  <c r="AL28" i="2"/>
  <c r="AL27" i="2"/>
  <c r="AL20" i="2"/>
  <c r="AL31" i="2"/>
  <c r="AL32" i="2" s="1"/>
  <c r="AK37" i="2" l="1"/>
  <c r="AK40" i="2" s="1"/>
  <c r="AL33" i="2"/>
  <c r="AL29" i="2" s="1"/>
  <c r="AL30" i="2" s="1"/>
  <c r="AL25" i="2"/>
  <c r="AL37" i="2"/>
  <c r="C45" i="2" l="1"/>
  <c r="C48" i="2" s="1"/>
  <c r="C49" i="2" s="1"/>
  <c r="AL40" i="2"/>
  <c r="C44" i="2" s="1"/>
  <c r="C50" i="2" s="1"/>
  <c r="C53" i="2" s="1"/>
  <c r="C55" i="2" s="1"/>
  <c r="C57" i="2" s="1"/>
  <c r="C59" i="2" s="1"/>
  <c r="C6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tc={F57DFF7A-CD68-41A6-8B33-ADA12DB4D952}</author>
  </authors>
  <commentList>
    <comment ref="M1" authorId="0" shapeId="0" xr:uid="{F57DFF7A-CD68-41A6-8B33-ADA12DB4D952}">
      <text>
        <t>[Threaded comment]
Your version of Excel allows you to read this threaded comment; however, any edits to it will get removed if the file is opened in a newer version of Excel. Learn more: https://go.microsoft.com/fwlink/?linkid=870924
Comment:
    P.345 of 369
Reply:
    Consolidated: p.243</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<sst xmlns="http://schemas.openxmlformats.org/spreadsheetml/2006/main" count="183" uniqueCount="154">
  <si>
    <t>FY2025</t>
  </si>
  <si>
    <t>OEM - Segment</t>
  </si>
  <si>
    <t>Revenue</t>
  </si>
  <si>
    <t>y/y growth</t>
  </si>
  <si>
    <t>Segment EBIT</t>
  </si>
  <si>
    <t>margin</t>
  </si>
  <si>
    <t>Segment CAPEX</t>
  </si>
  <si>
    <t>MRO - Segment</t>
  </si>
  <si>
    <t>CONSOLIDATED</t>
  </si>
  <si>
    <t>EBIT</t>
  </si>
  <si>
    <t xml:space="preserve">Effective tax rate: </t>
  </si>
  <si>
    <t>NOPAT</t>
  </si>
  <si>
    <t>CAPEX</t>
  </si>
  <si>
    <t>% of revenue</t>
  </si>
  <si>
    <t>% of nopat</t>
  </si>
  <si>
    <t>ΔNWC</t>
  </si>
  <si>
    <t>D&amp;A</t>
  </si>
  <si>
    <t>Reinvestment</t>
  </si>
  <si>
    <t>FCFF</t>
  </si>
  <si>
    <t>Forecast year</t>
  </si>
  <si>
    <t>Discount Factor</t>
  </si>
  <si>
    <t>PV (FCFF)</t>
  </si>
  <si>
    <t>WACC</t>
  </si>
  <si>
    <t>Sum PV(FCFF)</t>
  </si>
  <si>
    <t>Terminal FCFF</t>
  </si>
  <si>
    <t>Terminal growth rate</t>
  </si>
  <si>
    <t>Terminal Cost of Capital</t>
  </si>
  <si>
    <t>Terminal Value</t>
  </si>
  <si>
    <t>PV Terminal Value</t>
  </si>
  <si>
    <t>Sum of PV</t>
  </si>
  <si>
    <t>Probability of failure</t>
  </si>
  <si>
    <t>Proceeds if firm fails</t>
  </si>
  <si>
    <t>Value of operating assets</t>
  </si>
  <si>
    <t>Net Debt</t>
  </si>
  <si>
    <t>Value of Equity</t>
  </si>
  <si>
    <t>(-) value of options</t>
  </si>
  <si>
    <t>Value of equity in common stock</t>
  </si>
  <si>
    <t>No. Shares</t>
  </si>
  <si>
    <t>Implied PPS</t>
  </si>
  <si>
    <t>Current Price</t>
  </si>
  <si>
    <t>FV upside (downside)</t>
  </si>
  <si>
    <t>Engine Portfolio</t>
  </si>
  <si>
    <t xml:space="preserve">Price: </t>
  </si>
  <si>
    <t>Engine</t>
  </si>
  <si>
    <t>Manufacturer</t>
  </si>
  <si>
    <t>Application</t>
  </si>
  <si>
    <t>Thrust category (IBF)</t>
  </si>
  <si>
    <t>EIS</t>
  </si>
  <si>
    <t>Program share</t>
  </si>
  <si>
    <t>MTU Service</t>
  </si>
  <si>
    <t>52w High:</t>
  </si>
  <si>
    <t>CF6</t>
  </si>
  <si>
    <t>GE</t>
  </si>
  <si>
    <t>A300|747|C-5M</t>
  </si>
  <si>
    <t>41,500-69,800 IBF</t>
  </si>
  <si>
    <t>Turbine &amp; compressor parts</t>
  </si>
  <si>
    <t>52w Low:</t>
  </si>
  <si>
    <t>EJ200</t>
  </si>
  <si>
    <t>JV</t>
  </si>
  <si>
    <t xml:space="preserve">Eurofighter Typhoon </t>
  </si>
  <si>
    <t xml:space="preserve">Engineering &amp; parts for compressor. </t>
  </si>
  <si>
    <t>Shares outstanding</t>
  </si>
  <si>
    <t>GEnx</t>
  </si>
  <si>
    <t>787</t>
  </si>
  <si>
    <t>66,500-76,100</t>
  </si>
  <si>
    <t>Dev. Manu, assembly, repair of turbine center frame.</t>
  </si>
  <si>
    <t>P/E</t>
  </si>
  <si>
    <t>Attractive-ish</t>
  </si>
  <si>
    <t>GE9X</t>
  </si>
  <si>
    <t>777X</t>
  </si>
  <si>
    <t>100,000</t>
  </si>
  <si>
    <t>planned</t>
  </si>
  <si>
    <t>dev,manu,assembly, repair of turbine center frame</t>
  </si>
  <si>
    <t>Market Cap</t>
  </si>
  <si>
    <t>GTF (PW)</t>
  </si>
  <si>
    <t>PW</t>
  </si>
  <si>
    <t>A320 neo | A220| Embraer E-jets</t>
  </si>
  <si>
    <t>Manu high-speed, low pressure turbine + forward 4 stages of high pressure compressor</t>
  </si>
  <si>
    <t>(-) Cash</t>
  </si>
  <si>
    <t>F110</t>
  </si>
  <si>
    <t>F-16|F-15|F-15EX</t>
  </si>
  <si>
    <t>29,000</t>
  </si>
  <si>
    <t xml:space="preserve">Manu turbine disks for low-pressure compressor </t>
  </si>
  <si>
    <t>(+) Debt</t>
  </si>
  <si>
    <t>F414</t>
  </si>
  <si>
    <t>F/A-18 Super hornet</t>
  </si>
  <si>
    <t>22,000</t>
  </si>
  <si>
    <t>Parts for high and low pressure turbine</t>
  </si>
  <si>
    <t>(+) Pension</t>
  </si>
  <si>
    <t>GP7000</t>
  </si>
  <si>
    <t>GE/PW</t>
  </si>
  <si>
    <t>A380</t>
  </si>
  <si>
    <t>70,000-81,500</t>
  </si>
  <si>
    <t>Various components + maintenance of low-pressure turbine</t>
  </si>
  <si>
    <t>(+) Minority</t>
  </si>
  <si>
    <t>JT8D-200</t>
  </si>
  <si>
    <t>MD-80</t>
  </si>
  <si>
    <t xml:space="preserve">18,500-21,700 </t>
  </si>
  <si>
    <t>Various components of various assemblies</t>
  </si>
  <si>
    <t>Lazrac 04</t>
  </si>
  <si>
    <t>Safran helicopter engines</t>
  </si>
  <si>
    <t>Dessault Alpha Jet</t>
  </si>
  <si>
    <t>3,000</t>
  </si>
  <si>
    <t xml:space="preserve">Hot section of engine </t>
  </si>
  <si>
    <t>Enterprise Value</t>
  </si>
  <si>
    <t>MTR390</t>
  </si>
  <si>
    <t>MTU/RR</t>
  </si>
  <si>
    <t>Airbus Tiger heli</t>
  </si>
  <si>
    <t>1467 shp (shaft horsepower)</t>
  </si>
  <si>
    <t>Manu high-pressure turbine and combustor</t>
  </si>
  <si>
    <t>Equity BV</t>
  </si>
  <si>
    <t>PW300</t>
  </si>
  <si>
    <t xml:space="preserve">Dassault Falcon </t>
  </si>
  <si>
    <t>4,000-7,000</t>
  </si>
  <si>
    <t>BVPS</t>
  </si>
  <si>
    <t>PW500</t>
  </si>
  <si>
    <t>Cessna citation/Excel/XLS</t>
  </si>
  <si>
    <t>3,000-4,500</t>
  </si>
  <si>
    <t>development of entire low-pressure turbine, incl. exit case and mixer</t>
  </si>
  <si>
    <t>P/BV</t>
  </si>
  <si>
    <t>PW800</t>
  </si>
  <si>
    <t>Gulfstream G400/500/700| Dassault Falcon 6X</t>
  </si>
  <si>
    <t>10,000-20,000</t>
  </si>
  <si>
    <t>high-pressure compressor and low-pressure turbine</t>
  </si>
  <si>
    <t>PW2000</t>
  </si>
  <si>
    <t>757|C-17</t>
  </si>
  <si>
    <t>37,500-43,000</t>
  </si>
  <si>
    <t>PW4000</t>
  </si>
  <si>
    <t>777-200(ER) &amp; -300</t>
  </si>
  <si>
    <t>74,000-98,000</t>
  </si>
  <si>
    <t>RB199</t>
  </si>
  <si>
    <t>RR/MTU</t>
  </si>
  <si>
    <t>Panavia Tornado</t>
  </si>
  <si>
    <t>16,000-17,000</t>
  </si>
  <si>
    <t>Manu. Intermediate pressure and high-pressure compressor + intermediate pressure turbine</t>
  </si>
  <si>
    <t>T408</t>
  </si>
  <si>
    <t>MTU/FiatAvio</t>
  </si>
  <si>
    <t>Sikorsky CH-53K</t>
  </si>
  <si>
    <t>7,510 shp</t>
  </si>
  <si>
    <t>The power turbine</t>
  </si>
  <si>
    <t>T64</t>
  </si>
  <si>
    <t>Sikorsky CH-53G/GS/GA/GE</t>
  </si>
  <si>
    <t>4,330 shp</t>
  </si>
  <si>
    <t>Maintenance</t>
  </si>
  <si>
    <t>TP400-D6</t>
  </si>
  <si>
    <t>RR/Safran/MTU</t>
  </si>
  <si>
    <t>A400M</t>
  </si>
  <si>
    <t>11,000 shp</t>
  </si>
  <si>
    <t>Joint venture with RR and Safran</t>
  </si>
  <si>
    <t>V2500</t>
  </si>
  <si>
    <t>PW/PAWEI/Japanese aero engines</t>
  </si>
  <si>
    <t>Airbus A319/320/321|MD-90| Embraer C-390</t>
  </si>
  <si>
    <t>22,000-33,000</t>
  </si>
  <si>
    <t>15-18%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</si>
</sst>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quot;FY&quot;yyyy"/>
    <numFmt numFmtId="165" formatCode="&quot;FY&quot;yy&quot;(E)&quot;"/>
    <numFmt numFmtId="166" formatCode="_(* #,##0_);_(* \(#,##0\);_(* &quot;-&quot;??_);_(@_)"/>
    <numFmt numFmtId="167" formatCode="0.0%"/>
    <numFmt numFmtId="168" formatCode="_([$€-2]\ * #,##0.00_);_([$€-2]\ * \(#,##0.00\);_([$€-2]\ * &quot;-&quot;??_);_(@_)"/>
    <numFmt numFmtId="169" formatCode="0.00\x"/>
    <numFmt numFmtId="170" formatCode="_([$€-2]\ * #,##0_);_([$€-2]\ * \(#,##0\);_([$€-2]\ * &quot;-&quot;_);_(@_)"/>
  </numFmts>
  <fonts count="20" x14ac:knownFonts="1">
    <font>
      <sz val="10"/>
      <color theme="1"/>
      <name val="Calibri"/>
      <family val="2"/>
    </font>
    <font>
      <sz val="10"/>
      <color theme="1"/>
      <name val="Calibri"/>
      <family val="2"/>
    </font>
    <font>
      <b/>
      <sz val="10"/>
      <color theme="1"/>
      <name val="Calibri"/>
      <family val="2"/>
    </font>
    <font>
      <sz val="10"/>
      <color theme="0"/>
      <name val="Calibri"/>
      <family val="2"/>
    </font>
    <font>
      <sz val="10"/>
      <color theme="1"/>
      <name val="Aptos Narrow"/>
      <family val="2"/>
      <scheme val="minor"/>
    </font>
    <font>
      <b/>
      <u/>
      <sz val="10"/>
      <color theme="1"/>
      <name val="Calibri"/>
      <family val="2"/>
    </font>
    <font>
      <sz val="10"/>
      <color rgb="FF0000FF"/>
      <name val="Calibri"/>
      <family val="2"/>
    </font>
    <font>
      <b/>
      <u/>
      <sz val="10"/>
      <color theme="0"/>
      <name val="Calibri"/>
      <family val="2"/>
    </font>
    <font>
      <sz val="10"/>
      <name val="Calibri"/>
      <family val="2"/>
    </font>
    <font>
      <sz val="10"/>
      <name val="Aptos Narrow"/>
      <family val="2"/>
      <scheme val="minor"/>
    </font>
    <font>
      <u/>
      <sz val="10"/>
      <color theme="1"/>
      <name val="Calibri"/>
      <family val="2"/>
    </font>
    <font>
      <sz val="9"/>
      <color indexed="81"/>
      <name val="Tahoma"/>
      <family val="2"/>
    </font>
    <font>
      <sz val="8"/>
      <color theme="1"/>
      <name val="Aptos Narrow"/>
      <family val="2"/>
      <scheme val="minor"/>
    </font>
    <font>
      <b/>
      <u/>
      <sz val="9"/>
      <color theme="1"/>
      <name val="Aptos Narrow"/>
      <family val="2"/>
      <scheme val="minor"/>
    </font>
    <font>
      <sz val="9"/>
      <color theme="1"/>
      <name val="Aptos Narrow"/>
      <family val="2"/>
      <scheme val="minor"/>
    </font>
    <font>
      <b/>
      <sz val="8"/>
      <color theme="1"/>
      <name val="Aptos Narrow"/>
      <family val="2"/>
      <scheme val="minor"/>
    </font>
    <font>
      <b/>
      <sz val="9"/>
      <color theme="1"/>
      <name val="Aptos Narrow"/>
      <family val="2"/>
      <scheme val="minor"/>
    </font>
    <font>
      <i/>
      <sz val="8"/>
      <color theme="1"/>
      <name val="Aptos Narrow"/>
      <family val="2"/>
      <scheme val="minor"/>
    </font>
    <font>
      <i/>
      <sz val="9"/>
      <color theme="1"/>
      <name val="Aptos Narrow"/>
      <family val="2"/>
      <scheme val="minor"/>
    </font>
    <font>
      <u val="singleAccounting"/>
      <sz val="8"/>
      <color theme="1"/>
      <name val="Aptos Narrow"/>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3" tint="0.79998168889431442"/>
        <bgColor indexed="64"/>
      </patternFill>
    </fill>
    <fill>
      <patternFill patternType="solid">
        <fgColor theme="1"/>
        <bgColor indexed="64"/>
      </patternFill>
    </fill>
    <fill>
      <patternFill patternType="solid">
        <fgColor theme="5" tint="0.79998168889431442"/>
        <bgColor indexed="64"/>
      </patternFill>
    </fill>
    <fill>
      <patternFill patternType="solid">
        <fgColor theme="7" tint="0.79998168889431442"/>
        <bgColor indexed="64"/>
      </patternFill>
    </fill>
  </fills>
  <borders count="8">
    <border>
      <left/>
      <right/>
      <top/>
      <bottom/>
      <diagonal/>
    </border>
    <border>
      <left style="dotted">
        <color auto="1"/>
      </left>
      <right/>
      <top/>
      <bottom/>
      <diagonal/>
    </border>
    <border>
      <left/>
      <right/>
      <top style="thin">
        <color indexed="64"/>
      </top>
      <bottom style="medium">
        <color indexed="64"/>
      </bottom>
      <diagonal/>
    </border>
    <border>
      <left style="dotted">
        <color auto="1"/>
      </left>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82">
    <xf numFmtId="0" fontId="0" fillId="0" borderId="0" xfId="0"/>
    <xf numFmtId="0" fontId="1" fillId="0" borderId="0" xfId="3"/>
    <xf numFmtId="164" fontId="4" fillId="0" borderId="0" xfId="3" applyNumberFormat="1" applyFont="1" applyAlignment="1">
      <alignment horizontal="center"/>
    </xf>
    <xf numFmtId="164" fontId="4" fillId="0" borderId="1" xfId="3" applyNumberFormat="1" applyFont="1" applyBorder="1" applyAlignment="1">
      <alignment horizontal="center"/>
    </xf>
    <xf numFmtId="165" fontId="1" fillId="0" borderId="0" xfId="3" applyNumberFormat="1"/>
    <xf numFmtId="0" fontId="5" fillId="2" borderId="0" xfId="3" applyFont="1" applyFill="1"/>
    <xf numFmtId="0" fontId="1" fillId="2" borderId="0" xfId="3" applyFill="1"/>
    <xf numFmtId="0" fontId="1" fillId="2" borderId="1" xfId="3" applyFill="1" applyBorder="1"/>
    <xf numFmtId="166" fontId="4" fillId="0" borderId="0" xfId="4" applyNumberFormat="1" applyFont="1"/>
    <xf numFmtId="166" fontId="4" fillId="0" borderId="1" xfId="4" applyNumberFormat="1" applyFont="1" applyBorder="1"/>
    <xf numFmtId="166" fontId="4" fillId="0" borderId="0" xfId="4" applyNumberFormat="1" applyFont="1" applyBorder="1"/>
    <xf numFmtId="0" fontId="1" fillId="0" borderId="0" xfId="3" applyAlignment="1">
      <alignment horizontal="left" indent="1"/>
    </xf>
    <xf numFmtId="167" fontId="4" fillId="0" borderId="0" xfId="5" applyNumberFormat="1" applyFont="1"/>
    <xf numFmtId="167" fontId="4" fillId="0" borderId="1" xfId="5" applyNumberFormat="1" applyFont="1" applyBorder="1"/>
    <xf numFmtId="9" fontId="6" fillId="3" borderId="0" xfId="3" applyNumberFormat="1" applyFont="1" applyFill="1"/>
    <xf numFmtId="9" fontId="4" fillId="0" borderId="0" xfId="5" applyFont="1"/>
    <xf numFmtId="9" fontId="4" fillId="0" borderId="1" xfId="5" applyFont="1" applyBorder="1"/>
    <xf numFmtId="0" fontId="1" fillId="0" borderId="1" xfId="3" applyBorder="1"/>
    <xf numFmtId="0" fontId="7" fillId="4" borderId="0" xfId="3" applyFont="1" applyFill="1"/>
    <xf numFmtId="0" fontId="3" fillId="4" borderId="0" xfId="3" applyFont="1" applyFill="1"/>
    <xf numFmtId="0" fontId="3" fillId="4" borderId="1" xfId="3" applyFont="1" applyFill="1" applyBorder="1"/>
    <xf numFmtId="0" fontId="8" fillId="0" borderId="0" xfId="3" applyFont="1" applyAlignment="1">
      <alignment horizontal="left" indent="1"/>
    </xf>
    <xf numFmtId="0" fontId="8" fillId="0" borderId="0" xfId="3" applyFont="1"/>
    <xf numFmtId="167" fontId="9" fillId="0" borderId="0" xfId="5" applyNumberFormat="1" applyFont="1" applyFill="1"/>
    <xf numFmtId="167" fontId="9" fillId="0" borderId="1" xfId="5" applyNumberFormat="1" applyFont="1" applyFill="1" applyBorder="1"/>
    <xf numFmtId="167" fontId="9" fillId="0" borderId="0" xfId="5" applyNumberFormat="1" applyFont="1" applyFill="1" applyBorder="1"/>
    <xf numFmtId="9" fontId="4" fillId="0" borderId="0" xfId="5" applyFont="1" applyBorder="1"/>
    <xf numFmtId="0" fontId="1" fillId="0" borderId="2" xfId="3" applyBorder="1"/>
    <xf numFmtId="166" fontId="4" fillId="0" borderId="2" xfId="4" applyNumberFormat="1" applyFont="1" applyBorder="1"/>
    <xf numFmtId="166" fontId="4" fillId="0" borderId="3" xfId="4" applyNumberFormat="1" applyFont="1" applyBorder="1"/>
    <xf numFmtId="0" fontId="1" fillId="5" borderId="0" xfId="3" applyFill="1"/>
    <xf numFmtId="166" fontId="4" fillId="5" borderId="0" xfId="4" applyNumberFormat="1" applyFont="1" applyFill="1"/>
    <xf numFmtId="166" fontId="1" fillId="5" borderId="0" xfId="3" applyNumberFormat="1" applyFill="1"/>
    <xf numFmtId="0" fontId="1" fillId="5" borderId="0" xfId="3" applyFill="1" applyAlignment="1">
      <alignment horizontal="left" indent="1"/>
    </xf>
    <xf numFmtId="9" fontId="4" fillId="5" borderId="0" xfId="5" applyFont="1" applyFill="1"/>
    <xf numFmtId="9" fontId="4" fillId="5" borderId="0" xfId="5" applyFont="1" applyFill="1" applyBorder="1"/>
    <xf numFmtId="166" fontId="1" fillId="0" borderId="0" xfId="3" applyNumberFormat="1"/>
    <xf numFmtId="0" fontId="10" fillId="0" borderId="0" xfId="3" applyFont="1" applyAlignment="1">
      <alignment horizontal="left" indent="1"/>
    </xf>
    <xf numFmtId="9" fontId="10" fillId="0" borderId="0" xfId="5" applyFont="1"/>
    <xf numFmtId="9" fontId="10" fillId="0" borderId="0" xfId="5" applyFont="1" applyBorder="1"/>
    <xf numFmtId="0" fontId="10" fillId="0" borderId="0" xfId="3" applyFont="1"/>
    <xf numFmtId="0" fontId="2" fillId="0" borderId="2" xfId="3" applyFont="1" applyBorder="1"/>
    <xf numFmtId="166" fontId="2" fillId="0" borderId="2" xfId="3" applyNumberFormat="1" applyFont="1" applyBorder="1"/>
    <xf numFmtId="166" fontId="2" fillId="0" borderId="0" xfId="3" applyNumberFormat="1" applyFont="1"/>
    <xf numFmtId="0" fontId="2" fillId="0" borderId="0" xfId="3" applyFont="1"/>
    <xf numFmtId="2" fontId="1" fillId="0" borderId="0" xfId="3" applyNumberFormat="1"/>
    <xf numFmtId="167" fontId="6" fillId="3" borderId="0" xfId="3" applyNumberFormat="1" applyFont="1" applyFill="1"/>
    <xf numFmtId="0" fontId="1" fillId="0" borderId="4" xfId="3" applyBorder="1"/>
    <xf numFmtId="166" fontId="4" fillId="0" borderId="4" xfId="4" applyNumberFormat="1" applyFont="1" applyBorder="1"/>
    <xf numFmtId="0" fontId="2" fillId="0" borderId="4" xfId="3" applyFont="1" applyBorder="1"/>
    <xf numFmtId="166" fontId="1" fillId="0" borderId="4" xfId="3" applyNumberFormat="1" applyBorder="1"/>
    <xf numFmtId="167" fontId="6" fillId="0" borderId="0" xfId="3" applyNumberFormat="1" applyFont="1"/>
    <xf numFmtId="166" fontId="2" fillId="0" borderId="0" xfId="4" applyNumberFormat="1" applyFont="1"/>
    <xf numFmtId="0" fontId="1" fillId="0" borderId="5" xfId="3" applyBorder="1"/>
    <xf numFmtId="168" fontId="4" fillId="0" borderId="6" xfId="4" applyNumberFormat="1" applyFont="1" applyBorder="1"/>
    <xf numFmtId="168" fontId="1" fillId="0" borderId="0" xfId="3" applyNumberFormat="1"/>
    <xf numFmtId="0" fontId="12" fillId="0" borderId="0" xfId="0" applyFont="1"/>
    <xf numFmtId="0" fontId="13" fillId="0" borderId="0" xfId="0" applyFont="1"/>
    <xf numFmtId="0" fontId="14" fillId="0" borderId="0" xfId="0" applyFont="1"/>
    <xf numFmtId="0" fontId="15" fillId="0" borderId="0" xfId="0" applyFont="1"/>
    <xf numFmtId="168" fontId="15" fillId="0" borderId="0" xfId="0" applyNumberFormat="1" applyFont="1"/>
    <xf numFmtId="0" fontId="14" fillId="2" borderId="7" xfId="0" applyFont="1" applyFill="1" applyBorder="1" applyAlignment="1">
      <alignment horizontal="center"/>
    </xf>
    <xf numFmtId="0" fontId="12" fillId="0" borderId="0" xfId="0" applyFont="1" applyAlignment="1">
      <alignment horizontal="left" indent="1"/>
    </xf>
    <xf numFmtId="168" fontId="12" fillId="0" borderId="0" xfId="0" applyNumberFormat="1" applyFont="1"/>
    <xf numFmtId="0" fontId="16" fillId="0" borderId="7" xfId="0" applyFont="1" applyBorder="1"/>
    <xf numFmtId="0" fontId="14" fillId="0" borderId="7" xfId="0" applyFont="1" applyBorder="1"/>
    <xf numFmtId="0" fontId="14" fillId="0" borderId="7" xfId="0" applyFont="1" applyBorder="1" applyAlignment="1">
      <alignment horizontal="center"/>
    </xf>
    <xf numFmtId="0" fontId="17" fillId="0" borderId="7" xfId="0" applyFont="1" applyBorder="1"/>
    <xf numFmtId="0" fontId="18" fillId="0" borderId="7" xfId="0" applyFont="1" applyBorder="1"/>
    <xf numFmtId="3" fontId="14" fillId="0" borderId="7" xfId="0" applyNumberFormat="1" applyFont="1" applyBorder="1"/>
    <xf numFmtId="3" fontId="12" fillId="0" borderId="0" xfId="0" applyNumberFormat="1" applyFont="1"/>
    <xf numFmtId="0" fontId="14" fillId="0" borderId="7" xfId="0" quotePrefix="1" applyFont="1" applyBorder="1" applyAlignment="1">
      <alignment horizontal="left"/>
    </xf>
    <xf numFmtId="169" fontId="12" fillId="0" borderId="0" xfId="0" applyNumberFormat="1" applyFont="1"/>
    <xf numFmtId="3" fontId="14" fillId="0" borderId="7" xfId="0" quotePrefix="1" applyNumberFormat="1" applyFont="1" applyBorder="1"/>
    <xf numFmtId="0" fontId="18" fillId="0" borderId="7" xfId="0" applyFont="1" applyBorder="1" applyAlignment="1">
      <alignment horizontal="center"/>
    </xf>
    <xf numFmtId="170" fontId="12" fillId="0" borderId="0" xfId="0" applyNumberFormat="1" applyFont="1"/>
    <xf numFmtId="166" fontId="12" fillId="0" borderId="0" xfId="1" applyNumberFormat="1" applyFont="1"/>
    <xf numFmtId="0" fontId="14" fillId="0" borderId="7" xfId="0" quotePrefix="1" applyFont="1" applyBorder="1"/>
    <xf numFmtId="166" fontId="19" fillId="0" borderId="0" xfId="1" applyNumberFormat="1" applyFont="1"/>
    <xf numFmtId="169" fontId="12" fillId="6" borderId="0" xfId="0" applyNumberFormat="1" applyFont="1" applyFill="1"/>
    <xf numFmtId="170" fontId="12" fillId="6" borderId="0" xfId="0" applyNumberFormat="1" applyFont="1" applyFill="1"/>
    <xf numFmtId="9" fontId="12" fillId="0" borderId="0" xfId="2" applyFont="1"/>
  </cellXfs>
  <cellStyles count="6">
    <cellStyle name="Comma" xfId="1" builtinId="3"/>
    <cellStyle name="Comma 2" xfId="4" xr:uid="{45D9D293-FA8F-450D-8827-358583814341}"/>
    <cellStyle name="Normal" xfId="0" builtinId="0"/>
    <cellStyle name="Normal 2" xfId="3" xr:uid="{21361FBB-D696-4B80-813A-FA447132EF7B}"/>
    <cellStyle name="Percent" xfId="2" builtinId="5"/>
    <cellStyle name="Percent 2" xfId="5" xr:uid="{56721F8E-3FA7-4ED5-9EC0-32AB7FDF25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6</xdr:col>
      <xdr:colOff>593912</xdr:colOff>
      <xdr:row>0</xdr:row>
      <xdr:rowOff>56029</xdr:rowOff>
    </xdr:from>
    <xdr:to>
      <xdr:col>7</xdr:col>
      <xdr:colOff>0</xdr:colOff>
      <xdr:row>39</xdr:row>
      <xdr:rowOff>33617</xdr:rowOff>
    </xdr:to>
    <xdr:cxnSp macro="">
      <xdr:nvCxnSpPr>
        <xdr:cNvPr id="2" name="Straight Connector 1">
          <a:extLst>
            <a:ext uri="{FF2B5EF4-FFF2-40B4-BE49-F238E27FC236}">
              <a16:creationId xmlns:a16="http://schemas.microsoft.com/office/drawing/2014/main" id="{C995A5E1-D9A6-43D5-B673-1FD4B212AE96}"/>
            </a:ext>
          </a:extLst>
        </xdr:cNvPr>
        <xdr:cNvCxnSpPr/>
      </xdr:nvCxnSpPr>
      <xdr:spPr>
        <a:xfrm>
          <a:off x="4108637" y="56029"/>
          <a:ext cx="15688" cy="631171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600636</xdr:colOff>
      <xdr:row>0</xdr:row>
      <xdr:rowOff>0</xdr:rowOff>
    </xdr:from>
    <xdr:to>
      <xdr:col>13</xdr:col>
      <xdr:colOff>6724</xdr:colOff>
      <xdr:row>38</xdr:row>
      <xdr:rowOff>134471</xdr:rowOff>
    </xdr:to>
    <xdr:cxnSp macro="">
      <xdr:nvCxnSpPr>
        <xdr:cNvPr id="3" name="Straight Connector 2">
          <a:extLst>
            <a:ext uri="{FF2B5EF4-FFF2-40B4-BE49-F238E27FC236}">
              <a16:creationId xmlns:a16="http://schemas.microsoft.com/office/drawing/2014/main" id="{9604E1F9-1021-4510-B024-377AC9DC43FA}"/>
            </a:ext>
          </a:extLst>
        </xdr:cNvPr>
        <xdr:cNvCxnSpPr/>
      </xdr:nvCxnSpPr>
      <xdr:spPr>
        <a:xfrm>
          <a:off x="7772961" y="0"/>
          <a:ext cx="15688" cy="6306671"/>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159125</xdr:colOff>
      <xdr:row>0</xdr:row>
      <xdr:rowOff>0</xdr:rowOff>
    </xdr:from>
    <xdr:to>
      <xdr:col>17</xdr:col>
      <xdr:colOff>170331</xdr:colOff>
      <xdr:row>38</xdr:row>
      <xdr:rowOff>134471</xdr:rowOff>
    </xdr:to>
    <xdr:cxnSp macro="">
      <xdr:nvCxnSpPr>
        <xdr:cNvPr id="4" name="Straight Connector 3">
          <a:extLst>
            <a:ext uri="{FF2B5EF4-FFF2-40B4-BE49-F238E27FC236}">
              <a16:creationId xmlns:a16="http://schemas.microsoft.com/office/drawing/2014/main" id="{39084EC9-F78D-4B10-9F97-900CB8F87270}"/>
            </a:ext>
          </a:extLst>
        </xdr:cNvPr>
        <xdr:cNvCxnSpPr/>
      </xdr:nvCxnSpPr>
      <xdr:spPr>
        <a:xfrm>
          <a:off x="10465175" y="0"/>
          <a:ext cx="11206" cy="630667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dc8c86c708ee123/Documents/corporate%20financials/MTU%20Aeroengines%20June%202026.xlsx" TargetMode="External"/><Relationship Id="rId1" Type="http://schemas.openxmlformats.org/officeDocument/2006/relationships/externalLinkPath" Target="MTU%20Aeroengines%20June%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R&amp;D Capitalization"/>
      <sheetName val="DCF-Build "/>
      <sheetName val="DCF August 26"/>
      <sheetName val="Alt Presentation"/>
      <sheetName val="Customers"/>
    </sheetNames>
    <sheetDataSet>
      <sheetData sheetId="0">
        <row r="3">
          <cell r="C3">
            <v>355.1</v>
          </cell>
        </row>
        <row r="13">
          <cell r="C13">
            <v>2706</v>
          </cell>
        </row>
      </sheetData>
      <sheetData sheetId="1">
        <row r="8">
          <cell r="S8">
            <v>2897.1</v>
          </cell>
          <cell r="T8">
            <v>2905.2</v>
          </cell>
          <cell r="U8">
            <v>1734.8000000000002</v>
          </cell>
          <cell r="V8">
            <v>2033.9</v>
          </cell>
          <cell r="W8">
            <v>1996</v>
          </cell>
          <cell r="X8">
            <v>1535</v>
          </cell>
          <cell r="Y8">
            <v>1548</v>
          </cell>
          <cell r="Z8">
            <v>1831</v>
          </cell>
          <cell r="AA8">
            <v>1250</v>
          </cell>
          <cell r="AB8">
            <v>2454</v>
          </cell>
          <cell r="AC8">
            <v>2921</v>
          </cell>
        </row>
        <row r="19">
          <cell r="S19">
            <v>232.8</v>
          </cell>
          <cell r="T19">
            <v>273.7</v>
          </cell>
          <cell r="U19">
            <v>229.3</v>
          </cell>
          <cell r="V19">
            <v>382.6</v>
          </cell>
          <cell r="W19">
            <v>447</v>
          </cell>
          <cell r="X19">
            <v>137</v>
          </cell>
          <cell r="Y19">
            <v>209</v>
          </cell>
          <cell r="Z19">
            <v>268</v>
          </cell>
          <cell r="AA19">
            <v>508</v>
          </cell>
          <cell r="AB19">
            <v>517</v>
          </cell>
          <cell r="AC19">
            <v>902</v>
          </cell>
        </row>
        <row r="34">
          <cell r="S34">
            <v>-263.8</v>
          </cell>
          <cell r="T34">
            <v>-226.39999999999998</v>
          </cell>
          <cell r="U34">
            <v>-230.4</v>
          </cell>
          <cell r="V34">
            <v>-258.8</v>
          </cell>
          <cell r="W34">
            <v>-303</v>
          </cell>
          <cell r="X34">
            <v>-214</v>
          </cell>
          <cell r="Y34">
            <v>-220</v>
          </cell>
          <cell r="Z34">
            <v>-241</v>
          </cell>
          <cell r="AA34">
            <v>-298</v>
          </cell>
          <cell r="AB34">
            <v>-399</v>
          </cell>
          <cell r="AC34">
            <v>-316</v>
          </cell>
        </row>
        <row r="39">
          <cell r="S39">
            <v>1580.6</v>
          </cell>
          <cell r="T39">
            <v>1914.4</v>
          </cell>
          <cell r="U39">
            <v>2285.3000000000002</v>
          </cell>
          <cell r="V39">
            <v>2799.8</v>
          </cell>
          <cell r="W39">
            <v>2711</v>
          </cell>
          <cell r="X39">
            <v>2522</v>
          </cell>
          <cell r="Y39">
            <v>2741</v>
          </cell>
          <cell r="Z39">
            <v>3616</v>
          </cell>
          <cell r="AA39">
            <v>4224</v>
          </cell>
          <cell r="AB39">
            <v>5066</v>
          </cell>
          <cell r="AC39">
            <v>5960</v>
          </cell>
        </row>
        <row r="49">
          <cell r="S49">
            <v>152.69999999999999</v>
          </cell>
          <cell r="T49">
            <v>179.1</v>
          </cell>
          <cell r="U49">
            <v>191.9</v>
          </cell>
          <cell r="V49">
            <v>237.3</v>
          </cell>
          <cell r="W49">
            <v>259</v>
          </cell>
          <cell r="X49">
            <v>125</v>
          </cell>
          <cell r="Y49">
            <v>146</v>
          </cell>
          <cell r="Z49">
            <v>239</v>
          </cell>
          <cell r="AA49">
            <v>346</v>
          </cell>
          <cell r="AB49">
            <v>438</v>
          </cell>
          <cell r="AC49">
            <v>477</v>
          </cell>
        </row>
        <row r="64">
          <cell r="S64">
            <v>-45.9</v>
          </cell>
          <cell r="T64">
            <v>-48.4</v>
          </cell>
          <cell r="U64">
            <v>-57.699999999999996</v>
          </cell>
          <cell r="V64">
            <v>-73.5</v>
          </cell>
          <cell r="W64">
            <v>-192</v>
          </cell>
          <cell r="X64">
            <v>-125</v>
          </cell>
          <cell r="Y64">
            <v>-402</v>
          </cell>
          <cell r="Z64">
            <v>-473</v>
          </cell>
          <cell r="AA64">
            <v>-217</v>
          </cell>
          <cell r="AB64">
            <v>-440</v>
          </cell>
          <cell r="AC64">
            <v>-587</v>
          </cell>
        </row>
        <row r="168">
          <cell r="AC168">
            <v>53.785595000000001</v>
          </cell>
        </row>
        <row r="172">
          <cell r="S172">
            <v>0.32179607109448061</v>
          </cell>
          <cell r="T172">
            <v>0.24783445620789243</v>
          </cell>
          <cell r="U172">
            <v>0.24973854842083246</v>
          </cell>
          <cell r="V172">
            <v>0.25358142598386296</v>
          </cell>
          <cell r="W172">
            <v>0.26726726726726729</v>
          </cell>
          <cell r="X172">
            <v>0.24489795918367346</v>
          </cell>
          <cell r="Y172">
            <v>0.26582278481012656</v>
          </cell>
          <cell r="Z172">
            <v>0.28017241379310343</v>
          </cell>
          <cell r="AA172">
            <v>-0.52682926829268295</v>
          </cell>
          <cell r="AB172">
            <v>0.28268156424581004</v>
          </cell>
          <cell r="AC172">
            <v>0.24614254224834681</v>
          </cell>
        </row>
        <row r="173">
          <cell r="S173">
            <v>261.4476145930779</v>
          </cell>
          <cell r="T173">
            <v>340.58055822906601</v>
          </cell>
          <cell r="U173">
            <v>391.03626856306215</v>
          </cell>
          <cell r="V173">
            <v>462.92879960480826</v>
          </cell>
          <cell r="W173">
            <v>516.57657657657649</v>
          </cell>
          <cell r="X173">
            <v>198.59183673469386</v>
          </cell>
          <cell r="Y173">
            <v>260.63291139240505</v>
          </cell>
          <cell r="Z173">
            <v>366.39224137931035</v>
          </cell>
          <cell r="AA173">
            <v>-161</v>
          </cell>
          <cell r="AB173">
            <v>685.03910614525137</v>
          </cell>
          <cell r="AC173">
            <v>1038.8155767817782</v>
          </cell>
        </row>
        <row r="188">
          <cell r="AC188">
            <v>1256</v>
          </cell>
        </row>
        <row r="192">
          <cell r="AC192">
            <v>61</v>
          </cell>
        </row>
        <row r="193">
          <cell r="AC193">
            <v>4375</v>
          </cell>
        </row>
        <row r="194">
          <cell r="AC194">
            <v>640</v>
          </cell>
        </row>
        <row r="196">
          <cell r="AC196">
            <v>2376</v>
          </cell>
        </row>
        <row r="201">
          <cell r="AC201">
            <v>31</v>
          </cell>
        </row>
        <row r="205">
          <cell r="AC205">
            <v>854</v>
          </cell>
        </row>
        <row r="225">
          <cell r="S225">
            <v>0</v>
          </cell>
          <cell r="T225">
            <v>0</v>
          </cell>
          <cell r="U225">
            <v>47.3</v>
          </cell>
          <cell r="V225">
            <v>49</v>
          </cell>
          <cell r="W225">
            <v>53</v>
          </cell>
          <cell r="X225">
            <v>119</v>
          </cell>
          <cell r="Y225">
            <v>92</v>
          </cell>
          <cell r="Z225">
            <v>109</v>
          </cell>
          <cell r="AA225">
            <v>50</v>
          </cell>
          <cell r="AB225">
            <v>137</v>
          </cell>
          <cell r="AC225">
            <v>49</v>
          </cell>
        </row>
        <row r="226">
          <cell r="S226">
            <v>163.19999999999999</v>
          </cell>
          <cell r="T226">
            <v>175.3</v>
          </cell>
          <cell r="U226">
            <v>146.19999999999999</v>
          </cell>
          <cell r="V226">
            <v>151.5</v>
          </cell>
          <cell r="W226">
            <v>207</v>
          </cell>
          <cell r="X226">
            <v>233</v>
          </cell>
          <cell r="Y226">
            <v>265</v>
          </cell>
          <cell r="Z226">
            <v>247</v>
          </cell>
          <cell r="AA226">
            <v>282</v>
          </cell>
          <cell r="AB226">
            <v>346</v>
          </cell>
          <cell r="AC226">
            <v>367</v>
          </cell>
        </row>
        <row r="234">
          <cell r="S234">
            <v>-255</v>
          </cell>
          <cell r="T234">
            <v>-291.60000000000002</v>
          </cell>
          <cell r="U234">
            <v>-191</v>
          </cell>
          <cell r="V234">
            <v>-320.39999999999998</v>
          </cell>
          <cell r="W234">
            <v>-142</v>
          </cell>
          <cell r="X234">
            <v>-25</v>
          </cell>
          <cell r="Y234">
            <v>50</v>
          </cell>
          <cell r="Z234">
            <v>-293</v>
          </cell>
          <cell r="AA234">
            <v>-81</v>
          </cell>
          <cell r="AB234">
            <v>-696</v>
          </cell>
          <cell r="AC234">
            <v>-404</v>
          </cell>
        </row>
      </sheetData>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Joaquin Goquiolay" id="{3569CD64-77A3-4032-A539-E7CCFFE43E4B}" userId="9dc8c86c708ee123"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https://www.bing.com/financeapi/forcetrigger?t=afg352&amp;q=XFRA%3aMTX&amp;form=skydnc</v>
    <v>Learn more on Bing</v>
  </rv>
  <rv s="1">
    <v>en-US</v>
    <v>afg352</v>
    <v>268435456</v>
    <v>1</v>
    <v>Powered by Refinitiv</v>
    <v>0</v>
    <v>MTU Aero Engines AG (XFRA:MTX)</v>
    <v>2</v>
    <v>3</v>
    <v>Finance</v>
    <v>4</v>
    <v>402.7</v>
    <v>99.98</v>
    <v>0.87390000000000001</v>
    <v>2.4</v>
    <v>6.8050000000000003E-3</v>
    <v>EUR</v>
    <v>MTU Aero Engines AG is a Germany-based engine manufacturer of military aircraft engines in all thrust and power categories and stationary gas turbines. The Company operates through two segments: the commercial and military engine business (OEM) and the commercial maintenance business (MRO). The commercial and military engine business (OEM) segment covers the development and production of modules, components, and parts for engine programs, including final assembly, as well as maintenance services. The commercial maintenance business (MRO) segment covers all activities relating to the maintenance, repair, and overhaul of commercial engines and associated services. It operates through numerous subsidiaries in Europe, the Americas, Asia, and Australia.</v>
    <v>14085</v>
    <v>Deutsche Boerse AG</v>
    <v>XFRA</v>
    <v>XFRA</v>
    <v>Dachauer Strasse 665, MUNICH, BAYERN, 80995 DE</v>
    <v>355.1</v>
    <v>Aerospace &amp; Defense</v>
    <v>Stock</v>
    <v>46309.836805555555</v>
    <v>0</v>
    <v>350.2</v>
    <v>18819690000</v>
    <v>MTU Aero Engines AG</v>
    <v>MTU Aero Engines AG</v>
    <v>350.2</v>
    <v>20.170000000000002</v>
    <v>352.7</v>
    <v>355.1</v>
    <v>53909160</v>
    <v>MTX</v>
    <v>MTU Aero Engines AG (XFRA:MTX)</v>
    <v>200</v>
    <v>117440</v>
    <v>2005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dxfs>
  <richProperties>
    <rPr n="NumberFormat" t="s"/>
    <rPr n="IsTitleField" t="b"/>
  </richProperties>
  <richStyles>
    <rSty dxfid="0">
      <rpv i="0">_([$€-x-euro2] * #,##0.00_);_([$€-x-euro2] * (#,##0.00);_([$€-x-euro2] * "-"??_);_(@_)</rpv>
    </rSty>
    <rSty dxfid="1">
      <rpv i="0">#,##0.00</rpv>
    </rSty>
    <rSty>
      <rpv i="1">1</rpv>
    </rSty>
    <rSty dxfid="2">
      <rpv i="0">#,##0</rpv>
    </rSty>
    <rSty dxfid="3"/>
    <rSty dxfid="0">
      <rpv i="0">_([$€-x-euro2] * #,##0_);_([$€-x-euro2] * (#,##0);_([$€-x-euro2] * "-"_);_(@_)</rpv>
    </rSty>
    <rSty dxfid="4"/>
    <rSty dxfid="5">
      <rpv i="0">0</rpv>
    </rSty>
    <rSty dxfid="6">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 dT="2026-04-15T00:18:16.68" personId="{3569CD64-77A3-4032-A539-E7CCFFE43E4B}" id="{F57DFF7A-CD68-41A6-8B33-ADA12DB4D952}">
    <text>P.345 of 369</text>
  </threadedComment>
  <threadedComment ref="M1" dT="2026-04-30T19:01:31.66" personId="{3569CD64-77A3-4032-A539-E7CCFFE43E4B}" id="{DB29FA87-09D8-4A09-BF96-831FB2B3B9C7}" parentId="{F57DFF7A-CD68-41A6-8B33-ADA12DB4D952}">
    <text>Consolidated: p.243</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F36D-4CE1-4278-BA29-9371570ED880}">
  <dimension ref="B2:K24"/>
  <sheetViews>
    <sheetView showGridLines="0" tabSelected="1" workbookViewId="0">
      <selection activeCell="C35" sqref="C35"/>
    </sheetView>
  </sheetViews>
  <sheetFormatPr defaultRowHeight="12.75" x14ac:dyDescent="0.2"/>
  <cols>
    <col min="11" max="11" width="60.140625" bestFit="1" customWidth="1"/>
  </cols>
  <sheetData>
    <row r="2" spans="2:11" x14ac:dyDescent="0.2">
      <c r="B2" s="56" t="e" vm="1">
        <v>#VALUE!</v>
      </c>
      <c r="C2" s="56"/>
      <c r="E2" s="57" t="s">
        <v>41</v>
      </c>
      <c r="F2" s="57"/>
      <c r="G2" s="58"/>
      <c r="H2" s="58"/>
      <c r="I2" s="58"/>
      <c r="J2" s="58"/>
    </row>
    <row r="3" spans="2:11" x14ac:dyDescent="0.2">
      <c r="B3" s="59" t="s">
        <v>42</v>
      </c>
      <c r="C3" s="60" cm="1">
        <f t="array" aca="1" ref="C3" ca="1">_FV(B2,"Price")</f>
        <v>355.1</v>
      </c>
      <c r="E3" s="61" t="s">
        <v>43</v>
      </c>
      <c r="F3" s="61" t="s">
        <v>44</v>
      </c>
      <c r="G3" s="61" t="s">
        <v>45</v>
      </c>
      <c r="H3" s="61" t="s">
        <v>46</v>
      </c>
      <c r="I3" s="61" t="s">
        <v>47</v>
      </c>
      <c r="J3" s="61" t="s">
        <v>48</v>
      </c>
      <c r="K3" s="61" t="s">
        <v>49</v>
      </c>
    </row>
    <row r="4" spans="2:11" x14ac:dyDescent="0.2">
      <c r="B4" s="62" t="s">
        <v>50</v>
      </c>
      <c r="C4" s="63" cm="1">
        <f t="array" aca="1" ref="C4" ca="1">_FV(B2,"52 week high",TRUE)</f>
        <v>402.7</v>
      </c>
      <c r="E4" s="64" t="s">
        <v>51</v>
      </c>
      <c r="F4" s="64" t="s">
        <v>52</v>
      </c>
      <c r="G4" s="65" t="s">
        <v>53</v>
      </c>
      <c r="H4" s="65" t="s">
        <v>54</v>
      </c>
      <c r="I4" s="66">
        <v>1971</v>
      </c>
      <c r="J4" s="66"/>
      <c r="K4" s="67" t="s">
        <v>55</v>
      </c>
    </row>
    <row r="5" spans="2:11" x14ac:dyDescent="0.2">
      <c r="B5" s="62" t="s">
        <v>56</v>
      </c>
      <c r="C5" s="63" cm="1">
        <f t="array" aca="1" ref="C5" ca="1">_FV(B2,"52 week low",TRUE)</f>
        <v>99.98</v>
      </c>
      <c r="E5" s="64" t="s">
        <v>57</v>
      </c>
      <c r="F5" s="68" t="s">
        <v>58</v>
      </c>
      <c r="G5" s="65" t="s">
        <v>59</v>
      </c>
      <c r="H5" s="69">
        <v>20000</v>
      </c>
      <c r="I5" s="66">
        <v>2003</v>
      </c>
      <c r="J5" s="66"/>
      <c r="K5" s="67" t="s">
        <v>60</v>
      </c>
    </row>
    <row r="6" spans="2:11" x14ac:dyDescent="0.2">
      <c r="B6" s="56" t="s">
        <v>61</v>
      </c>
      <c r="C6" s="70" cm="1">
        <f t="array" aca="1" ref="C6" ca="1">_FV(B2,"Shares outstanding",TRUE)/1000</f>
        <v>53909.16</v>
      </c>
      <c r="E6" s="64" t="s">
        <v>62</v>
      </c>
      <c r="F6" s="64" t="s">
        <v>52</v>
      </c>
      <c r="G6" s="71" t="s">
        <v>63</v>
      </c>
      <c r="H6" s="65" t="s">
        <v>64</v>
      </c>
      <c r="I6" s="66">
        <v>2012</v>
      </c>
      <c r="J6" s="66"/>
      <c r="K6" s="67" t="s">
        <v>65</v>
      </c>
    </row>
    <row r="7" spans="2:11" x14ac:dyDescent="0.2">
      <c r="B7" s="56" t="s">
        <v>66</v>
      </c>
      <c r="C7" s="72" cm="1">
        <f t="array" aca="1" ref="C7" ca="1">_FV(B2,"P/E",TRUE)</f>
        <v>20.170000000000002</v>
      </c>
      <c r="D7" t="s">
        <v>67</v>
      </c>
      <c r="E7" s="64" t="s">
        <v>68</v>
      </c>
      <c r="F7" s="64" t="s">
        <v>52</v>
      </c>
      <c r="G7" s="65" t="s">
        <v>69</v>
      </c>
      <c r="H7" s="73" t="s">
        <v>70</v>
      </c>
      <c r="I7" s="74" t="s">
        <v>71</v>
      </c>
      <c r="J7" s="74"/>
      <c r="K7" s="67" t="s">
        <v>72</v>
      </c>
    </row>
    <row r="8" spans="2:11" x14ac:dyDescent="0.2">
      <c r="B8" s="56" t="s">
        <v>73</v>
      </c>
      <c r="C8" s="75" cm="1">
        <f t="array" aca="1" ref="C8" ca="1">_FV(B2,"Market cap",TRUE)/1000000</f>
        <v>18819.689999999999</v>
      </c>
      <c r="E8" s="64" t="s">
        <v>74</v>
      </c>
      <c r="F8" s="64" t="s">
        <v>75</v>
      </c>
      <c r="G8" s="65" t="s">
        <v>76</v>
      </c>
      <c r="H8" s="65"/>
      <c r="I8" s="66">
        <v>2016</v>
      </c>
      <c r="J8" s="66"/>
      <c r="K8" s="67" t="s">
        <v>77</v>
      </c>
    </row>
    <row r="9" spans="2:11" x14ac:dyDescent="0.2">
      <c r="B9" s="62" t="s">
        <v>78</v>
      </c>
      <c r="C9" s="76">
        <f>-[1]Model!AC188</f>
        <v>-1256</v>
      </c>
      <c r="E9" s="64" t="s">
        <v>79</v>
      </c>
      <c r="F9" s="64" t="s">
        <v>52</v>
      </c>
      <c r="G9" s="65" t="s">
        <v>80</v>
      </c>
      <c r="H9" s="77" t="s">
        <v>81</v>
      </c>
      <c r="I9" s="66">
        <v>1986</v>
      </c>
      <c r="J9" s="66"/>
      <c r="K9" s="67" t="s">
        <v>82</v>
      </c>
    </row>
    <row r="10" spans="2:11" x14ac:dyDescent="0.2">
      <c r="B10" s="62" t="s">
        <v>83</v>
      </c>
      <c r="C10" s="76">
        <f>+[1]Model!AC205+[1]Model!AC196</f>
        <v>3230</v>
      </c>
      <c r="E10" s="64" t="s">
        <v>84</v>
      </c>
      <c r="F10" s="64" t="s">
        <v>52</v>
      </c>
      <c r="G10" s="65" t="s">
        <v>85</v>
      </c>
      <c r="H10" s="77" t="s">
        <v>86</v>
      </c>
      <c r="I10" s="66">
        <v>1995</v>
      </c>
      <c r="J10" s="66"/>
      <c r="K10" s="67" t="s">
        <v>87</v>
      </c>
    </row>
    <row r="11" spans="2:11" x14ac:dyDescent="0.2">
      <c r="B11" s="62" t="s">
        <v>88</v>
      </c>
      <c r="C11" s="76">
        <f>+[1]Model!AC194+[1]Model!AC201</f>
        <v>671</v>
      </c>
      <c r="E11" s="64" t="s">
        <v>89</v>
      </c>
      <c r="F11" s="64" t="s">
        <v>90</v>
      </c>
      <c r="G11" s="65" t="s">
        <v>91</v>
      </c>
      <c r="H11" s="65" t="s">
        <v>92</v>
      </c>
      <c r="I11" s="66">
        <v>2008</v>
      </c>
      <c r="J11" s="66"/>
      <c r="K11" s="67" t="s">
        <v>93</v>
      </c>
    </row>
    <row r="12" spans="2:11" x14ac:dyDescent="0.2">
      <c r="B12" s="62" t="s">
        <v>94</v>
      </c>
      <c r="C12" s="76">
        <f>+[1]Model!AC192</f>
        <v>61</v>
      </c>
      <c r="E12" s="64" t="s">
        <v>95</v>
      </c>
      <c r="F12" s="64" t="s">
        <v>75</v>
      </c>
      <c r="G12" s="65" t="s">
        <v>96</v>
      </c>
      <c r="H12" s="65" t="s">
        <v>97</v>
      </c>
      <c r="I12" s="66">
        <v>1980</v>
      </c>
      <c r="J12" s="66"/>
      <c r="K12" s="67" t="s">
        <v>98</v>
      </c>
    </row>
    <row r="13" spans="2:11" ht="15" x14ac:dyDescent="0.35">
      <c r="B13" s="56" t="s">
        <v>33</v>
      </c>
      <c r="C13" s="78">
        <f>C9+C10+C11+C12</f>
        <v>2706</v>
      </c>
      <c r="E13" s="64" t="s">
        <v>99</v>
      </c>
      <c r="F13" s="64" t="s">
        <v>100</v>
      </c>
      <c r="G13" s="65" t="s">
        <v>101</v>
      </c>
      <c r="H13" s="73" t="s">
        <v>102</v>
      </c>
      <c r="I13" s="66">
        <v>1979</v>
      </c>
      <c r="J13" s="66"/>
      <c r="K13" s="67" t="s">
        <v>103</v>
      </c>
    </row>
    <row r="14" spans="2:11" x14ac:dyDescent="0.2">
      <c r="B14" s="79" t="s">
        <v>104</v>
      </c>
      <c r="C14" s="80">
        <f ca="1">C8+C13</f>
        <v>21525.69</v>
      </c>
      <c r="E14" s="65" t="s">
        <v>105</v>
      </c>
      <c r="F14" s="65" t="s">
        <v>106</v>
      </c>
      <c r="G14" s="65" t="s">
        <v>107</v>
      </c>
      <c r="H14" s="69" t="s">
        <v>108</v>
      </c>
      <c r="I14" s="66">
        <v>2013</v>
      </c>
      <c r="J14" s="66"/>
      <c r="K14" s="67" t="s">
        <v>109</v>
      </c>
    </row>
    <row r="15" spans="2:11" x14ac:dyDescent="0.2">
      <c r="B15" s="56" t="s">
        <v>110</v>
      </c>
      <c r="C15" s="75">
        <f>[1]Model!AC193</f>
        <v>4375</v>
      </c>
      <c r="E15" s="64" t="s">
        <v>111</v>
      </c>
      <c r="F15" s="64" t="s">
        <v>75</v>
      </c>
      <c r="G15" s="65" t="s">
        <v>112</v>
      </c>
      <c r="H15" s="73" t="s">
        <v>113</v>
      </c>
      <c r="I15" s="66">
        <v>1992</v>
      </c>
      <c r="J15" s="66"/>
      <c r="K15" s="67"/>
    </row>
    <row r="16" spans="2:11" x14ac:dyDescent="0.2">
      <c r="B16" s="56" t="s">
        <v>114</v>
      </c>
      <c r="C16" s="63">
        <f ca="1">C15/(C6/1000)</f>
        <v>81.155039329123284</v>
      </c>
      <c r="E16" s="64" t="s">
        <v>115</v>
      </c>
      <c r="F16" s="64" t="s">
        <v>75</v>
      </c>
      <c r="G16" s="65" t="s">
        <v>116</v>
      </c>
      <c r="H16" s="73" t="s">
        <v>117</v>
      </c>
      <c r="I16" s="66">
        <v>1997</v>
      </c>
      <c r="J16" s="66"/>
      <c r="K16" s="67" t="s">
        <v>118</v>
      </c>
    </row>
    <row r="17" spans="2:11" x14ac:dyDescent="0.2">
      <c r="B17" s="56" t="s">
        <v>119</v>
      </c>
      <c r="C17" s="72">
        <f ca="1">C3/C16</f>
        <v>4.3755754779428573</v>
      </c>
      <c r="E17" s="64" t="s">
        <v>120</v>
      </c>
      <c r="F17" s="64" t="s">
        <v>75</v>
      </c>
      <c r="G17" s="65" t="s">
        <v>121</v>
      </c>
      <c r="H17" s="73" t="s">
        <v>122</v>
      </c>
      <c r="I17" s="66">
        <v>2018</v>
      </c>
      <c r="J17" s="66"/>
      <c r="K17" s="67" t="s">
        <v>123</v>
      </c>
    </row>
    <row r="18" spans="2:11" x14ac:dyDescent="0.2">
      <c r="B18" s="56"/>
      <c r="C18" s="56"/>
      <c r="E18" s="64" t="s">
        <v>124</v>
      </c>
      <c r="F18" s="64" t="s">
        <v>75</v>
      </c>
      <c r="G18" s="65" t="s">
        <v>125</v>
      </c>
      <c r="H18" s="73" t="s">
        <v>126</v>
      </c>
      <c r="I18" s="66">
        <v>1984</v>
      </c>
      <c r="J18" s="66"/>
      <c r="K18" s="67" t="s">
        <v>123</v>
      </c>
    </row>
    <row r="19" spans="2:11" x14ac:dyDescent="0.2">
      <c r="B19" s="56"/>
      <c r="C19" s="56"/>
      <c r="E19" s="64" t="s">
        <v>127</v>
      </c>
      <c r="F19" s="64" t="s">
        <v>75</v>
      </c>
      <c r="G19" s="65" t="s">
        <v>128</v>
      </c>
      <c r="H19" s="73" t="s">
        <v>129</v>
      </c>
      <c r="I19" s="66">
        <v>1995</v>
      </c>
      <c r="J19" s="66"/>
      <c r="K19" s="67" t="s">
        <v>123</v>
      </c>
    </row>
    <row r="20" spans="2:11" x14ac:dyDescent="0.2">
      <c r="B20" s="56"/>
      <c r="C20" s="56"/>
      <c r="E20" s="64" t="s">
        <v>130</v>
      </c>
      <c r="F20" s="64" t="s">
        <v>131</v>
      </c>
      <c r="G20" s="65" t="s">
        <v>132</v>
      </c>
      <c r="H20" s="69" t="s">
        <v>133</v>
      </c>
      <c r="I20" s="66">
        <v>1979</v>
      </c>
      <c r="J20" s="66"/>
      <c r="K20" s="67" t="s">
        <v>134</v>
      </c>
    </row>
    <row r="21" spans="2:11" x14ac:dyDescent="0.2">
      <c r="B21" s="56"/>
      <c r="C21" s="56"/>
      <c r="E21" s="64" t="s">
        <v>135</v>
      </c>
      <c r="F21" s="64" t="s">
        <v>136</v>
      </c>
      <c r="G21" s="65" t="s">
        <v>137</v>
      </c>
      <c r="H21" s="69" t="s">
        <v>138</v>
      </c>
      <c r="I21" s="66">
        <v>2019</v>
      </c>
      <c r="J21" s="66"/>
      <c r="K21" s="67" t="s">
        <v>139</v>
      </c>
    </row>
    <row r="22" spans="2:11" x14ac:dyDescent="0.2">
      <c r="B22" s="56"/>
      <c r="C22" s="56"/>
      <c r="E22" s="64" t="s">
        <v>140</v>
      </c>
      <c r="F22" s="64" t="s">
        <v>52</v>
      </c>
      <c r="G22" s="65" t="s">
        <v>141</v>
      </c>
      <c r="H22" s="69" t="s">
        <v>142</v>
      </c>
      <c r="I22" s="66">
        <v>1972</v>
      </c>
      <c r="J22" s="66"/>
      <c r="K22" s="67" t="s">
        <v>143</v>
      </c>
    </row>
    <row r="23" spans="2:11" x14ac:dyDescent="0.2">
      <c r="B23" s="56"/>
      <c r="C23" s="81"/>
      <c r="E23" s="64" t="s">
        <v>144</v>
      </c>
      <c r="F23" s="64" t="s">
        <v>145</v>
      </c>
      <c r="G23" s="65" t="s">
        <v>146</v>
      </c>
      <c r="H23" s="69" t="s">
        <v>147</v>
      </c>
      <c r="I23" s="66">
        <v>2013</v>
      </c>
      <c r="J23" s="66"/>
      <c r="K23" s="67" t="s">
        <v>148</v>
      </c>
    </row>
    <row r="24" spans="2:11" x14ac:dyDescent="0.2">
      <c r="B24" s="56"/>
      <c r="C24" s="76"/>
      <c r="E24" s="64" t="s">
        <v>149</v>
      </c>
      <c r="F24" s="64" t="s">
        <v>150</v>
      </c>
      <c r="G24" s="65" t="s">
        <v>151</v>
      </c>
      <c r="H24" s="69" t="s">
        <v>152</v>
      </c>
      <c r="I24" s="66">
        <v>1989</v>
      </c>
      <c r="J24" s="66" t="s">
        <v>153</v>
      </c>
      <c r="K24" s="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34E7-38F5-4864-A6EA-D80ED7594C4B}">
  <dimension ref="B1:AL61"/>
  <sheetViews>
    <sheetView showGridLines="0" zoomScale="130" zoomScaleNormal="130" workbookViewId="0">
      <pane xSplit="2" ySplit="1" topLeftCell="C2" activePane="bottomRight" state="frozen"/>
      <selection pane="topRight" activeCell="C1" sqref="C1"/>
      <selection pane="bottomLeft" activeCell="A2" sqref="A2"/>
      <selection pane="bottomRight" activeCell="H14" sqref="H14"/>
    </sheetView>
  </sheetViews>
  <sheetFormatPr defaultRowHeight="12.75" x14ac:dyDescent="0.2"/>
  <cols>
    <col min="1" max="1" width="1.7109375" style="1" customWidth="1"/>
    <col min="2" max="2" width="13.28515625" style="1" bestFit="1" customWidth="1"/>
    <col min="3" max="3" width="10.28515625" style="1" bestFit="1" customWidth="1"/>
    <col min="4" max="13" width="9.140625" style="1"/>
    <col min="14" max="14" width="10.42578125" style="1" bestFit="1" customWidth="1"/>
    <col min="15" max="16384" width="9.140625" style="1"/>
  </cols>
  <sheetData>
    <row r="1" spans="2:38" ht="13.5" x14ac:dyDescent="0.25">
      <c r="C1" s="2">
        <f t="shared" ref="C1:I1" si="0">EOMONTH(D1,-12)</f>
        <v>42369</v>
      </c>
      <c r="D1" s="2">
        <f t="shared" si="0"/>
        <v>42735</v>
      </c>
      <c r="E1" s="2">
        <f t="shared" si="0"/>
        <v>43100</v>
      </c>
      <c r="F1" s="2">
        <f t="shared" si="0"/>
        <v>43465</v>
      </c>
      <c r="G1" s="2">
        <f t="shared" si="0"/>
        <v>43830</v>
      </c>
      <c r="H1" s="3">
        <f t="shared" si="0"/>
        <v>44196</v>
      </c>
      <c r="I1" s="2">
        <f t="shared" si="0"/>
        <v>44561</v>
      </c>
      <c r="J1" s="2">
        <v>44926</v>
      </c>
      <c r="K1" s="2">
        <v>45291</v>
      </c>
      <c r="L1" s="2">
        <v>45657</v>
      </c>
      <c r="M1" s="2" t="s">
        <v>0</v>
      </c>
      <c r="N1" s="4">
        <v>46387</v>
      </c>
      <c r="O1" s="4">
        <f t="shared" ref="O1:AL1" si="1">EOMONTH(N1,12)</f>
        <v>46752</v>
      </c>
      <c r="P1" s="4">
        <f t="shared" si="1"/>
        <v>47118</v>
      </c>
      <c r="Q1" s="4">
        <f t="shared" si="1"/>
        <v>47483</v>
      </c>
      <c r="R1" s="4">
        <f t="shared" si="1"/>
        <v>47848</v>
      </c>
      <c r="S1" s="4">
        <f t="shared" si="1"/>
        <v>48213</v>
      </c>
      <c r="T1" s="4">
        <f t="shared" si="1"/>
        <v>48579</v>
      </c>
      <c r="U1" s="4">
        <f t="shared" si="1"/>
        <v>48944</v>
      </c>
      <c r="V1" s="4">
        <f t="shared" si="1"/>
        <v>49309</v>
      </c>
      <c r="W1" s="4">
        <f t="shared" si="1"/>
        <v>49674</v>
      </c>
      <c r="X1" s="4">
        <f t="shared" si="1"/>
        <v>50040</v>
      </c>
      <c r="Y1" s="4">
        <f t="shared" si="1"/>
        <v>50405</v>
      </c>
      <c r="Z1" s="4">
        <f t="shared" si="1"/>
        <v>50770</v>
      </c>
      <c r="AA1" s="4">
        <f t="shared" si="1"/>
        <v>51135</v>
      </c>
      <c r="AB1" s="4">
        <f t="shared" si="1"/>
        <v>51501</v>
      </c>
      <c r="AC1" s="4">
        <f t="shared" si="1"/>
        <v>51866</v>
      </c>
      <c r="AD1" s="4">
        <f t="shared" si="1"/>
        <v>52231</v>
      </c>
      <c r="AE1" s="4">
        <f t="shared" si="1"/>
        <v>52596</v>
      </c>
      <c r="AF1" s="4">
        <f t="shared" si="1"/>
        <v>52962</v>
      </c>
      <c r="AG1" s="4">
        <f t="shared" si="1"/>
        <v>53327</v>
      </c>
      <c r="AH1" s="4">
        <f t="shared" si="1"/>
        <v>53692</v>
      </c>
      <c r="AI1" s="4">
        <f t="shared" si="1"/>
        <v>54057</v>
      </c>
      <c r="AJ1" s="4">
        <f t="shared" si="1"/>
        <v>54423</v>
      </c>
      <c r="AK1" s="4">
        <f t="shared" si="1"/>
        <v>54788</v>
      </c>
      <c r="AL1" s="4">
        <f t="shared" si="1"/>
        <v>55153</v>
      </c>
    </row>
    <row r="2" spans="2:38" x14ac:dyDescent="0.2">
      <c r="B2" s="5" t="s">
        <v>1</v>
      </c>
      <c r="C2" s="6"/>
      <c r="D2" s="6"/>
      <c r="E2" s="6"/>
      <c r="F2" s="6"/>
      <c r="G2" s="6"/>
      <c r="H2" s="7"/>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row>
    <row r="3" spans="2:38" s="8" customFormat="1" ht="13.5" x14ac:dyDescent="0.25">
      <c r="B3" s="8" t="s">
        <v>2</v>
      </c>
      <c r="C3" s="8">
        <f>[1]Model!S8</f>
        <v>2897.1</v>
      </c>
      <c r="D3" s="8">
        <f>[1]Model!T8</f>
        <v>2905.2</v>
      </c>
      <c r="E3" s="8">
        <f>[1]Model!U8</f>
        <v>1734.8000000000002</v>
      </c>
      <c r="F3" s="8">
        <f>[1]Model!V8</f>
        <v>2033.9</v>
      </c>
      <c r="G3" s="8">
        <f>[1]Model!W8</f>
        <v>1996</v>
      </c>
      <c r="H3" s="9">
        <f>[1]Model!X8</f>
        <v>1535</v>
      </c>
      <c r="I3" s="8">
        <f>[1]Model!Y8</f>
        <v>1548</v>
      </c>
      <c r="J3" s="8">
        <f>[1]Model!Z8</f>
        <v>1831</v>
      </c>
      <c r="K3" s="8">
        <f>[1]Model!AA8</f>
        <v>1250</v>
      </c>
      <c r="L3" s="8">
        <f>[1]Model!AB8</f>
        <v>2454</v>
      </c>
      <c r="M3" s="8">
        <f>[1]Model!AC8</f>
        <v>2921</v>
      </c>
      <c r="N3" s="8">
        <f t="shared" ref="N3:AL3" si="2">M3*(1+N4)</f>
        <v>3359.1499999999996</v>
      </c>
      <c r="O3" s="8">
        <f t="shared" si="2"/>
        <v>3695.0650000000001</v>
      </c>
      <c r="P3" s="8">
        <f t="shared" si="2"/>
        <v>4064.5715000000005</v>
      </c>
      <c r="Q3" s="8">
        <f t="shared" si="2"/>
        <v>4389.7372200000009</v>
      </c>
      <c r="R3" s="10">
        <f t="shared" si="2"/>
        <v>4697.0188254000013</v>
      </c>
      <c r="S3" s="8">
        <f t="shared" si="2"/>
        <v>4978.8399549240021</v>
      </c>
      <c r="T3" s="8">
        <f t="shared" si="2"/>
        <v>5227.7819526702024</v>
      </c>
      <c r="U3" s="8">
        <f t="shared" si="2"/>
        <v>5436.893230777011</v>
      </c>
      <c r="V3" s="8">
        <f t="shared" si="2"/>
        <v>5654.3689600080916</v>
      </c>
      <c r="W3" s="8">
        <f t="shared" si="2"/>
        <v>5880.5437184084158</v>
      </c>
      <c r="X3" s="8">
        <f t="shared" si="2"/>
        <v>6115.7654671447526</v>
      </c>
      <c r="Y3" s="8">
        <f t="shared" si="2"/>
        <v>6360.3960858305427</v>
      </c>
      <c r="Z3" s="8">
        <f t="shared" si="2"/>
        <v>6614.8119292637648</v>
      </c>
      <c r="AA3" s="8">
        <f t="shared" si="2"/>
        <v>6879.4044064343152</v>
      </c>
      <c r="AB3" s="8">
        <f t="shared" si="2"/>
        <v>7154.5805826916885</v>
      </c>
      <c r="AC3" s="8">
        <f t="shared" si="2"/>
        <v>7440.763805999356</v>
      </c>
      <c r="AD3" s="8">
        <f t="shared" si="2"/>
        <v>7738.3943582393304</v>
      </c>
      <c r="AE3" s="8">
        <f t="shared" si="2"/>
        <v>7970.5461889865101</v>
      </c>
      <c r="AF3" s="8">
        <f t="shared" si="2"/>
        <v>8209.6625746561058</v>
      </c>
      <c r="AG3" s="8">
        <f t="shared" si="2"/>
        <v>8455.9524518957896</v>
      </c>
      <c r="AH3" s="8">
        <f t="shared" si="2"/>
        <v>8709.6310254526634</v>
      </c>
      <c r="AI3" s="8">
        <f t="shared" si="2"/>
        <v>8970.919956216243</v>
      </c>
      <c r="AJ3" s="8">
        <f t="shared" si="2"/>
        <v>9240.0475549027306</v>
      </c>
      <c r="AK3" s="8">
        <f t="shared" si="2"/>
        <v>9517.248981549812</v>
      </c>
      <c r="AL3" s="8">
        <f t="shared" si="2"/>
        <v>9802.766450996307</v>
      </c>
    </row>
    <row r="4" spans="2:38" ht="13.5" x14ac:dyDescent="0.25">
      <c r="B4" s="11" t="s">
        <v>3</v>
      </c>
      <c r="D4" s="12">
        <f t="shared" ref="D4:M4" si="3">D3/C3-1</f>
        <v>2.7958993476233651E-3</v>
      </c>
      <c r="E4" s="12">
        <f t="shared" si="3"/>
        <v>-0.4028638303731239</v>
      </c>
      <c r="F4" s="12">
        <f t="shared" si="3"/>
        <v>0.17241180539543466</v>
      </c>
      <c r="G4" s="12">
        <f t="shared" si="3"/>
        <v>-1.8634151138207433E-2</v>
      </c>
      <c r="H4" s="13">
        <f t="shared" si="3"/>
        <v>-0.23096192384769543</v>
      </c>
      <c r="I4" s="12">
        <f t="shared" si="3"/>
        <v>8.4690553745927488E-3</v>
      </c>
      <c r="J4" s="12">
        <f t="shared" si="3"/>
        <v>0.18281653746770021</v>
      </c>
      <c r="K4" s="12">
        <f t="shared" si="3"/>
        <v>-0.31731294374658658</v>
      </c>
      <c r="L4" s="12">
        <f t="shared" si="3"/>
        <v>0.96320000000000006</v>
      </c>
      <c r="M4" s="12">
        <f t="shared" si="3"/>
        <v>0.19030154849225744</v>
      </c>
      <c r="N4" s="14">
        <v>0.15</v>
      </c>
      <c r="O4" s="14">
        <v>0.1</v>
      </c>
      <c r="P4" s="14">
        <v>0.1</v>
      </c>
      <c r="Q4" s="14">
        <v>0.08</v>
      </c>
      <c r="R4" s="14">
        <v>7.0000000000000007E-2</v>
      </c>
      <c r="S4" s="14">
        <v>0.06</v>
      </c>
      <c r="T4" s="14">
        <v>0.05</v>
      </c>
      <c r="U4" s="14">
        <v>0.04</v>
      </c>
      <c r="V4" s="14">
        <v>0.04</v>
      </c>
      <c r="W4" s="14">
        <v>0.04</v>
      </c>
      <c r="X4" s="14">
        <v>0.04</v>
      </c>
      <c r="Y4" s="14">
        <v>0.04</v>
      </c>
      <c r="Z4" s="14">
        <v>0.04</v>
      </c>
      <c r="AA4" s="14">
        <v>0.04</v>
      </c>
      <c r="AB4" s="14">
        <v>0.04</v>
      </c>
      <c r="AC4" s="14">
        <v>0.04</v>
      </c>
      <c r="AD4" s="14">
        <v>0.04</v>
      </c>
      <c r="AE4" s="14">
        <v>0.03</v>
      </c>
      <c r="AF4" s="14">
        <v>0.03</v>
      </c>
      <c r="AG4" s="14">
        <v>0.03</v>
      </c>
      <c r="AH4" s="14">
        <v>0.03</v>
      </c>
      <c r="AI4" s="14">
        <v>0.03</v>
      </c>
      <c r="AJ4" s="14">
        <v>0.03</v>
      </c>
      <c r="AK4" s="14">
        <v>0.03</v>
      </c>
      <c r="AL4" s="14">
        <v>0.03</v>
      </c>
    </row>
    <row r="5" spans="2:38" ht="13.5" x14ac:dyDescent="0.25">
      <c r="B5" s="1" t="s">
        <v>4</v>
      </c>
      <c r="C5" s="8">
        <f>[1]Model!S19</f>
        <v>232.8</v>
      </c>
      <c r="D5" s="8">
        <f>[1]Model!T19</f>
        <v>273.7</v>
      </c>
      <c r="E5" s="8">
        <f>[1]Model!U19</f>
        <v>229.3</v>
      </c>
      <c r="F5" s="8">
        <f>[1]Model!V19</f>
        <v>382.6</v>
      </c>
      <c r="G5" s="8">
        <f>[1]Model!W19</f>
        <v>447</v>
      </c>
      <c r="H5" s="9">
        <f>[1]Model!X19</f>
        <v>137</v>
      </c>
      <c r="I5" s="8">
        <f>[1]Model!Y19</f>
        <v>209</v>
      </c>
      <c r="J5" s="8">
        <f>[1]Model!Z19</f>
        <v>268</v>
      </c>
      <c r="K5" s="8">
        <f>[1]Model!AA19</f>
        <v>508</v>
      </c>
      <c r="L5" s="8">
        <f>[1]Model!AB19</f>
        <v>517</v>
      </c>
      <c r="M5" s="8">
        <f>[1]Model!AC19</f>
        <v>902</v>
      </c>
      <c r="N5" s="8">
        <f t="shared" ref="N5:AL5" si="4">+N3*N6</f>
        <v>839.78749999999991</v>
      </c>
      <c r="O5" s="8">
        <f t="shared" si="4"/>
        <v>739.01300000000003</v>
      </c>
      <c r="P5" s="8">
        <f t="shared" si="4"/>
        <v>731.62287000000003</v>
      </c>
      <c r="Q5" s="8">
        <f t="shared" si="4"/>
        <v>658.46058300000016</v>
      </c>
      <c r="R5" s="10">
        <f t="shared" si="4"/>
        <v>704.55282381000018</v>
      </c>
      <c r="S5" s="8">
        <f t="shared" si="4"/>
        <v>746.82599323860029</v>
      </c>
      <c r="T5" s="8">
        <f t="shared" si="4"/>
        <v>784.16729290053036</v>
      </c>
      <c r="U5" s="8">
        <f t="shared" si="4"/>
        <v>815.53398461655161</v>
      </c>
      <c r="V5" s="8">
        <f t="shared" si="4"/>
        <v>848.15534400121373</v>
      </c>
      <c r="W5" s="8">
        <f t="shared" si="4"/>
        <v>882.08155776126239</v>
      </c>
      <c r="X5" s="8">
        <f t="shared" si="4"/>
        <v>917.36482007171287</v>
      </c>
      <c r="Y5" s="8">
        <f t="shared" si="4"/>
        <v>954.05941287458131</v>
      </c>
      <c r="Z5" s="8">
        <f t="shared" si="4"/>
        <v>992.22178938956472</v>
      </c>
      <c r="AA5" s="8">
        <f t="shared" si="4"/>
        <v>1031.9106609651471</v>
      </c>
      <c r="AB5" s="8">
        <f t="shared" si="4"/>
        <v>1073.1870874037531</v>
      </c>
      <c r="AC5" s="8">
        <f t="shared" si="4"/>
        <v>1116.1145708999034</v>
      </c>
      <c r="AD5" s="8">
        <f t="shared" si="4"/>
        <v>1160.7591537358994</v>
      </c>
      <c r="AE5" s="8">
        <f t="shared" si="4"/>
        <v>1195.5819283479764</v>
      </c>
      <c r="AF5" s="8">
        <f t="shared" si="4"/>
        <v>1231.4493861984158</v>
      </c>
      <c r="AG5" s="8">
        <f t="shared" si="4"/>
        <v>1268.3928677843685</v>
      </c>
      <c r="AH5" s="8">
        <f t="shared" si="4"/>
        <v>1306.4446538178995</v>
      </c>
      <c r="AI5" s="8">
        <f t="shared" si="4"/>
        <v>1345.6379934324364</v>
      </c>
      <c r="AJ5" s="8">
        <f t="shared" si="4"/>
        <v>1386.0071332354096</v>
      </c>
      <c r="AK5" s="8">
        <f t="shared" si="4"/>
        <v>1427.5873472324718</v>
      </c>
      <c r="AL5" s="8">
        <f t="shared" si="4"/>
        <v>1470.414967649446</v>
      </c>
    </row>
    <row r="6" spans="2:38" ht="13.5" x14ac:dyDescent="0.25">
      <c r="B6" s="11" t="s">
        <v>5</v>
      </c>
      <c r="C6" s="15">
        <f t="shared" ref="C6:M6" si="5">C5/C3</f>
        <v>8.035621828725277E-2</v>
      </c>
      <c r="D6" s="15">
        <f t="shared" si="5"/>
        <v>9.4210381385102571E-2</v>
      </c>
      <c r="E6" s="15">
        <f t="shared" si="5"/>
        <v>0.13217661978326031</v>
      </c>
      <c r="F6" s="15">
        <f t="shared" si="5"/>
        <v>0.18811150990707509</v>
      </c>
      <c r="G6" s="15">
        <f t="shared" si="5"/>
        <v>0.22394789579158317</v>
      </c>
      <c r="H6" s="16">
        <f t="shared" si="5"/>
        <v>8.9250814332247561E-2</v>
      </c>
      <c r="I6" s="15">
        <f t="shared" si="5"/>
        <v>0.13501291989664083</v>
      </c>
      <c r="J6" s="15">
        <f t="shared" si="5"/>
        <v>0.14636810486073185</v>
      </c>
      <c r="K6" s="15">
        <f t="shared" si="5"/>
        <v>0.40639999999999998</v>
      </c>
      <c r="L6" s="15">
        <f t="shared" si="5"/>
        <v>0.21067644661776691</v>
      </c>
      <c r="M6" s="15">
        <f t="shared" si="5"/>
        <v>0.30879835672714823</v>
      </c>
      <c r="N6" s="14">
        <v>0.25</v>
      </c>
      <c r="O6" s="14">
        <v>0.2</v>
      </c>
      <c r="P6" s="14">
        <v>0.18</v>
      </c>
      <c r="Q6" s="14">
        <v>0.15</v>
      </c>
      <c r="R6" s="14">
        <v>0.15</v>
      </c>
      <c r="S6" s="14">
        <v>0.15</v>
      </c>
      <c r="T6" s="14">
        <v>0.15</v>
      </c>
      <c r="U6" s="14">
        <v>0.15</v>
      </c>
      <c r="V6" s="14">
        <v>0.15</v>
      </c>
      <c r="W6" s="14">
        <v>0.15</v>
      </c>
      <c r="X6" s="14">
        <v>0.15</v>
      </c>
      <c r="Y6" s="14">
        <v>0.15</v>
      </c>
      <c r="Z6" s="14">
        <v>0.15</v>
      </c>
      <c r="AA6" s="14">
        <v>0.15</v>
      </c>
      <c r="AB6" s="14">
        <v>0.15</v>
      </c>
      <c r="AC6" s="14">
        <v>0.15</v>
      </c>
      <c r="AD6" s="14">
        <v>0.15</v>
      </c>
      <c r="AE6" s="14">
        <v>0.15</v>
      </c>
      <c r="AF6" s="14">
        <v>0.15</v>
      </c>
      <c r="AG6" s="14">
        <v>0.15</v>
      </c>
      <c r="AH6" s="14">
        <v>0.15</v>
      </c>
      <c r="AI6" s="14">
        <v>0.15</v>
      </c>
      <c r="AJ6" s="14">
        <v>0.15</v>
      </c>
      <c r="AK6" s="14">
        <v>0.15</v>
      </c>
      <c r="AL6" s="14">
        <v>0.15</v>
      </c>
    </row>
    <row r="7" spans="2:38" ht="13.5" x14ac:dyDescent="0.25">
      <c r="B7" s="1" t="s">
        <v>6</v>
      </c>
      <c r="C7" s="8">
        <f>[1]Model!S34</f>
        <v>-263.8</v>
      </c>
      <c r="D7" s="8">
        <f>[1]Model!T34</f>
        <v>-226.39999999999998</v>
      </c>
      <c r="E7" s="8">
        <f>[1]Model!U34</f>
        <v>-230.4</v>
      </c>
      <c r="F7" s="8">
        <f>[1]Model!V34</f>
        <v>-258.8</v>
      </c>
      <c r="G7" s="8">
        <f>[1]Model!W34</f>
        <v>-303</v>
      </c>
      <c r="H7" s="9">
        <f>[1]Model!X34</f>
        <v>-214</v>
      </c>
      <c r="I7" s="8">
        <f>[1]Model!Y34</f>
        <v>-220</v>
      </c>
      <c r="J7" s="8">
        <f>[1]Model!Z34</f>
        <v>-241</v>
      </c>
      <c r="K7" s="8">
        <f>[1]Model!AA34</f>
        <v>-298</v>
      </c>
      <c r="L7" s="8">
        <f>[1]Model!AB34</f>
        <v>-399</v>
      </c>
      <c r="M7" s="8">
        <f>[1]Model!AC34</f>
        <v>-316</v>
      </c>
      <c r="N7" s="8">
        <f t="shared" ref="N7:AL7" si="6">-N3*N8</f>
        <v>-335.91499999999996</v>
      </c>
      <c r="O7" s="8">
        <f t="shared" si="6"/>
        <v>-332.55585000000002</v>
      </c>
      <c r="P7" s="8">
        <f t="shared" si="6"/>
        <v>-325.16572000000002</v>
      </c>
      <c r="Q7" s="8">
        <f t="shared" si="6"/>
        <v>-351.17897760000005</v>
      </c>
      <c r="R7" s="10">
        <f t="shared" si="6"/>
        <v>-375.76150603200011</v>
      </c>
      <c r="S7" s="8">
        <f t="shared" si="6"/>
        <v>-398.30719639392015</v>
      </c>
      <c r="T7" s="8">
        <f t="shared" si="6"/>
        <v>-418.2225562136162</v>
      </c>
      <c r="U7" s="8">
        <f t="shared" si="6"/>
        <v>-434.95145846216087</v>
      </c>
      <c r="V7" s="8">
        <f t="shared" si="6"/>
        <v>-452.34951680064734</v>
      </c>
      <c r="W7" s="8">
        <f t="shared" si="6"/>
        <v>-470.44349747267324</v>
      </c>
      <c r="X7" s="8">
        <f t="shared" si="6"/>
        <v>-489.26123737158019</v>
      </c>
      <c r="Y7" s="8">
        <f t="shared" si="6"/>
        <v>-508.83168686644342</v>
      </c>
      <c r="Z7" s="8">
        <f t="shared" si="6"/>
        <v>-529.18495434110116</v>
      </c>
      <c r="AA7" s="8">
        <f t="shared" si="6"/>
        <v>-550.35235251474523</v>
      </c>
      <c r="AB7" s="8">
        <f t="shared" si="6"/>
        <v>-572.36644661533512</v>
      </c>
      <c r="AC7" s="8">
        <f t="shared" si="6"/>
        <v>-595.26110447994847</v>
      </c>
      <c r="AD7" s="8">
        <f t="shared" si="6"/>
        <v>-619.0715486591464</v>
      </c>
      <c r="AE7" s="8">
        <f t="shared" si="6"/>
        <v>-637.64369511892085</v>
      </c>
      <c r="AF7" s="8">
        <f t="shared" si="6"/>
        <v>-656.77300597248848</v>
      </c>
      <c r="AG7" s="8">
        <f t="shared" si="6"/>
        <v>-676.4761961516632</v>
      </c>
      <c r="AH7" s="8">
        <f t="shared" si="6"/>
        <v>-696.77048203621314</v>
      </c>
      <c r="AI7" s="8">
        <f t="shared" si="6"/>
        <v>-717.6735964972994</v>
      </c>
      <c r="AJ7" s="8">
        <f t="shared" si="6"/>
        <v>-739.20380439221844</v>
      </c>
      <c r="AK7" s="8">
        <f t="shared" si="6"/>
        <v>-761.379918523985</v>
      </c>
      <c r="AL7" s="8">
        <f t="shared" si="6"/>
        <v>-784.22131607970459</v>
      </c>
    </row>
    <row r="8" spans="2:38" ht="13.5" x14ac:dyDescent="0.25">
      <c r="B8" s="11" t="s">
        <v>5</v>
      </c>
      <c r="C8" s="15">
        <f t="shared" ref="C8:M8" si="7">-C7/C3</f>
        <v>9.1056573815194511E-2</v>
      </c>
      <c r="D8" s="15">
        <f t="shared" si="7"/>
        <v>7.7929230345587214E-2</v>
      </c>
      <c r="E8" s="15">
        <f t="shared" si="7"/>
        <v>0.13281069863961262</v>
      </c>
      <c r="F8" s="15">
        <f t="shared" si="7"/>
        <v>0.12724322729731058</v>
      </c>
      <c r="G8" s="15">
        <f t="shared" si="7"/>
        <v>0.15180360721442887</v>
      </c>
      <c r="H8" s="16">
        <f t="shared" si="7"/>
        <v>0.13941368078175895</v>
      </c>
      <c r="I8" s="15">
        <f t="shared" si="7"/>
        <v>0.1421188630490956</v>
      </c>
      <c r="J8" s="15">
        <f t="shared" si="7"/>
        <v>0.1316220644456581</v>
      </c>
      <c r="K8" s="15">
        <f t="shared" si="7"/>
        <v>0.2384</v>
      </c>
      <c r="L8" s="15">
        <f t="shared" si="7"/>
        <v>0.16259168704156479</v>
      </c>
      <c r="M8" s="15">
        <f t="shared" si="7"/>
        <v>0.10818212940773708</v>
      </c>
      <c r="N8" s="14">
        <v>0.1</v>
      </c>
      <c r="O8" s="14">
        <v>0.09</v>
      </c>
      <c r="P8" s="14">
        <v>0.08</v>
      </c>
      <c r="Q8" s="14">
        <v>0.08</v>
      </c>
      <c r="R8" s="14">
        <v>0.08</v>
      </c>
      <c r="S8" s="14">
        <v>0.08</v>
      </c>
      <c r="T8" s="14">
        <v>0.08</v>
      </c>
      <c r="U8" s="14">
        <v>0.08</v>
      </c>
      <c r="V8" s="14">
        <v>0.08</v>
      </c>
      <c r="W8" s="14">
        <v>0.08</v>
      </c>
      <c r="X8" s="14">
        <v>0.08</v>
      </c>
      <c r="Y8" s="14">
        <v>0.08</v>
      </c>
      <c r="Z8" s="14">
        <v>0.08</v>
      </c>
      <c r="AA8" s="14">
        <v>0.08</v>
      </c>
      <c r="AB8" s="14">
        <v>0.08</v>
      </c>
      <c r="AC8" s="14">
        <v>0.08</v>
      </c>
      <c r="AD8" s="14">
        <v>0.08</v>
      </c>
      <c r="AE8" s="14">
        <v>0.08</v>
      </c>
      <c r="AF8" s="14">
        <v>0.08</v>
      </c>
      <c r="AG8" s="14">
        <v>0.08</v>
      </c>
      <c r="AH8" s="14">
        <v>0.08</v>
      </c>
      <c r="AI8" s="14">
        <v>0.08</v>
      </c>
      <c r="AJ8" s="14">
        <v>0.08</v>
      </c>
      <c r="AK8" s="14">
        <v>0.08</v>
      </c>
      <c r="AL8" s="14">
        <v>0.08</v>
      </c>
    </row>
    <row r="9" spans="2:38" x14ac:dyDescent="0.2">
      <c r="H9" s="17"/>
    </row>
    <row r="10" spans="2:38" x14ac:dyDescent="0.2">
      <c r="B10" s="5" t="s">
        <v>7</v>
      </c>
      <c r="C10" s="6"/>
      <c r="D10" s="6"/>
      <c r="E10" s="6"/>
      <c r="F10" s="6"/>
      <c r="G10" s="6"/>
      <c r="H10" s="7"/>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row>
    <row r="11" spans="2:38" ht="13.5" x14ac:dyDescent="0.25">
      <c r="B11" s="8" t="s">
        <v>2</v>
      </c>
      <c r="C11" s="8">
        <f>[1]Model!S39</f>
        <v>1580.6</v>
      </c>
      <c r="D11" s="8">
        <f>[1]Model!T39</f>
        <v>1914.4</v>
      </c>
      <c r="E11" s="8">
        <f>[1]Model!U39</f>
        <v>2285.3000000000002</v>
      </c>
      <c r="F11" s="8">
        <f>[1]Model!V39</f>
        <v>2799.8</v>
      </c>
      <c r="G11" s="8">
        <f>[1]Model!W39</f>
        <v>2711</v>
      </c>
      <c r="H11" s="9">
        <f>[1]Model!X39</f>
        <v>2522</v>
      </c>
      <c r="I11" s="8">
        <f>[1]Model!Y39</f>
        <v>2741</v>
      </c>
      <c r="J11" s="8">
        <f>[1]Model!Z39</f>
        <v>3616</v>
      </c>
      <c r="K11" s="8">
        <f>[1]Model!AA39</f>
        <v>4224</v>
      </c>
      <c r="L11" s="8">
        <f>[1]Model!AB39</f>
        <v>5066</v>
      </c>
      <c r="M11" s="8">
        <f>[1]Model!AC39</f>
        <v>5960</v>
      </c>
      <c r="N11" s="8">
        <f t="shared" ref="N11:AL11" si="8">M11*(1+N12)</f>
        <v>6853.9999999999991</v>
      </c>
      <c r="O11" s="8">
        <f t="shared" si="8"/>
        <v>7745.0199999999986</v>
      </c>
      <c r="P11" s="8">
        <f t="shared" si="8"/>
        <v>8519.521999999999</v>
      </c>
      <c r="Q11" s="8">
        <f t="shared" si="8"/>
        <v>9201.0837599999995</v>
      </c>
      <c r="R11" s="10">
        <f t="shared" si="8"/>
        <v>9845.1596231999993</v>
      </c>
      <c r="S11" s="8">
        <f t="shared" si="8"/>
        <v>10435.869200592</v>
      </c>
      <c r="T11" s="8">
        <f t="shared" si="8"/>
        <v>10957.662660621601</v>
      </c>
      <c r="U11" s="8">
        <f t="shared" si="8"/>
        <v>11395.969167046465</v>
      </c>
      <c r="V11" s="8">
        <f t="shared" si="8"/>
        <v>11851.807933728325</v>
      </c>
      <c r="W11" s="8">
        <f t="shared" si="8"/>
        <v>12325.880251077459</v>
      </c>
      <c r="X11" s="8">
        <f t="shared" si="8"/>
        <v>12818.915461120558</v>
      </c>
      <c r="Y11" s="8">
        <f t="shared" si="8"/>
        <v>13331.67207956538</v>
      </c>
      <c r="Z11" s="8">
        <f t="shared" si="8"/>
        <v>13864.938962747996</v>
      </c>
      <c r="AA11" s="8">
        <f t="shared" si="8"/>
        <v>14419.536521257916</v>
      </c>
      <c r="AB11" s="8">
        <f t="shared" si="8"/>
        <v>14996.317982108234</v>
      </c>
      <c r="AC11" s="8">
        <f t="shared" si="8"/>
        <v>15596.170701392564</v>
      </c>
      <c r="AD11" s="8">
        <f t="shared" si="8"/>
        <v>16220.017529448267</v>
      </c>
      <c r="AE11" s="8">
        <f t="shared" si="8"/>
        <v>16868.818230626199</v>
      </c>
      <c r="AF11" s="8">
        <f t="shared" si="8"/>
        <v>17543.570959851248</v>
      </c>
      <c r="AG11" s="8">
        <f t="shared" si="8"/>
        <v>18245.313798245297</v>
      </c>
      <c r="AH11" s="8">
        <f t="shared" si="8"/>
        <v>18975.126350175109</v>
      </c>
      <c r="AI11" s="8">
        <f t="shared" si="8"/>
        <v>19734.131404182113</v>
      </c>
      <c r="AJ11" s="8">
        <f t="shared" si="8"/>
        <v>20523.496660349399</v>
      </c>
      <c r="AK11" s="8">
        <f t="shared" si="8"/>
        <v>21344.436526763377</v>
      </c>
      <c r="AL11" s="8">
        <f t="shared" si="8"/>
        <v>22198.213987833911</v>
      </c>
    </row>
    <row r="12" spans="2:38" ht="13.5" x14ac:dyDescent="0.25">
      <c r="B12" s="11" t="s">
        <v>3</v>
      </c>
      <c r="D12" s="12">
        <f t="shared" ref="D12:M12" si="9">D11/C11-1</f>
        <v>0.21118562571175525</v>
      </c>
      <c r="E12" s="12">
        <f t="shared" si="9"/>
        <v>0.19374216464688687</v>
      </c>
      <c r="F12" s="12">
        <f t="shared" si="9"/>
        <v>0.22513455563820939</v>
      </c>
      <c r="G12" s="12">
        <f t="shared" si="9"/>
        <v>-3.1716551182227382E-2</v>
      </c>
      <c r="H12" s="13">
        <f t="shared" si="9"/>
        <v>-6.9715971966064161E-2</v>
      </c>
      <c r="I12" s="12">
        <f t="shared" si="9"/>
        <v>8.6835844567803244E-2</v>
      </c>
      <c r="J12" s="12">
        <f t="shared" si="9"/>
        <v>0.31922655964976276</v>
      </c>
      <c r="K12" s="12">
        <f t="shared" si="9"/>
        <v>0.16814159292035402</v>
      </c>
      <c r="L12" s="12">
        <f t="shared" si="9"/>
        <v>0.1993371212121211</v>
      </c>
      <c r="M12" s="12">
        <f t="shared" si="9"/>
        <v>0.17647058823529416</v>
      </c>
      <c r="N12" s="14">
        <v>0.15</v>
      </c>
      <c r="O12" s="14">
        <v>0.13</v>
      </c>
      <c r="P12" s="14">
        <v>0.1</v>
      </c>
      <c r="Q12" s="14">
        <v>0.08</v>
      </c>
      <c r="R12" s="14">
        <v>7.0000000000000007E-2</v>
      </c>
      <c r="S12" s="14">
        <v>0.06</v>
      </c>
      <c r="T12" s="14">
        <v>0.05</v>
      </c>
      <c r="U12" s="14">
        <v>0.04</v>
      </c>
      <c r="V12" s="14">
        <v>0.04</v>
      </c>
      <c r="W12" s="14">
        <v>0.04</v>
      </c>
      <c r="X12" s="14">
        <v>0.04</v>
      </c>
      <c r="Y12" s="14">
        <v>0.04</v>
      </c>
      <c r="Z12" s="14">
        <v>0.04</v>
      </c>
      <c r="AA12" s="14">
        <v>0.04</v>
      </c>
      <c r="AB12" s="14">
        <v>0.04</v>
      </c>
      <c r="AC12" s="14">
        <v>0.04</v>
      </c>
      <c r="AD12" s="14">
        <v>0.04</v>
      </c>
      <c r="AE12" s="14">
        <v>0.04</v>
      </c>
      <c r="AF12" s="14">
        <v>0.04</v>
      </c>
      <c r="AG12" s="14">
        <v>0.04</v>
      </c>
      <c r="AH12" s="14">
        <v>0.04</v>
      </c>
      <c r="AI12" s="14">
        <v>0.04</v>
      </c>
      <c r="AJ12" s="14">
        <v>0.04</v>
      </c>
      <c r="AK12" s="14">
        <v>0.04</v>
      </c>
      <c r="AL12" s="14">
        <v>0.04</v>
      </c>
    </row>
    <row r="13" spans="2:38" ht="13.5" x14ac:dyDescent="0.25">
      <c r="B13" s="1" t="s">
        <v>4</v>
      </c>
      <c r="C13" s="8">
        <f>[1]Model!S49</f>
        <v>152.69999999999999</v>
      </c>
      <c r="D13" s="8">
        <f>[1]Model!T49</f>
        <v>179.1</v>
      </c>
      <c r="E13" s="8">
        <f>[1]Model!U49</f>
        <v>191.9</v>
      </c>
      <c r="F13" s="8">
        <f>[1]Model!V49</f>
        <v>237.3</v>
      </c>
      <c r="G13" s="8">
        <f>[1]Model!W49</f>
        <v>259</v>
      </c>
      <c r="H13" s="9">
        <f>[1]Model!X49</f>
        <v>125</v>
      </c>
      <c r="I13" s="8">
        <f>[1]Model!Y49</f>
        <v>146</v>
      </c>
      <c r="J13" s="8">
        <f>[1]Model!Z49</f>
        <v>239</v>
      </c>
      <c r="K13" s="8">
        <f>[1]Model!AA49</f>
        <v>346</v>
      </c>
      <c r="L13" s="8">
        <f>[1]Model!AB49</f>
        <v>438</v>
      </c>
      <c r="M13" s="8">
        <f>[1]Model!AC49</f>
        <v>477</v>
      </c>
      <c r="N13" s="8">
        <f t="shared" ref="N13:AL13" si="10">+N11*N14</f>
        <v>685.4</v>
      </c>
      <c r="O13" s="8">
        <f t="shared" si="10"/>
        <v>774.50199999999995</v>
      </c>
      <c r="P13" s="8">
        <f t="shared" si="10"/>
        <v>851.95219999999995</v>
      </c>
      <c r="Q13" s="8">
        <f t="shared" si="10"/>
        <v>920.10837600000002</v>
      </c>
      <c r="R13" s="10">
        <f t="shared" si="10"/>
        <v>1181.4191547839998</v>
      </c>
      <c r="S13" s="8">
        <f t="shared" si="10"/>
        <v>1252.30430407104</v>
      </c>
      <c r="T13" s="8">
        <f t="shared" si="10"/>
        <v>1424.4961458808082</v>
      </c>
      <c r="U13" s="8">
        <f t="shared" si="10"/>
        <v>1709.3953750569697</v>
      </c>
      <c r="V13" s="8">
        <f t="shared" si="10"/>
        <v>1777.7711900592487</v>
      </c>
      <c r="W13" s="8">
        <f t="shared" si="10"/>
        <v>1848.8820376616186</v>
      </c>
      <c r="X13" s="8">
        <f t="shared" si="10"/>
        <v>1922.8373191680835</v>
      </c>
      <c r="Y13" s="8">
        <f t="shared" si="10"/>
        <v>1999.750811934807</v>
      </c>
      <c r="Z13" s="8">
        <f t="shared" si="10"/>
        <v>2079.7408444121993</v>
      </c>
      <c r="AA13" s="8">
        <f t="shared" si="10"/>
        <v>2162.9304781886872</v>
      </c>
      <c r="AB13" s="8">
        <f t="shared" si="10"/>
        <v>2249.447697316235</v>
      </c>
      <c r="AC13" s="8">
        <f t="shared" si="10"/>
        <v>2339.4256052088845</v>
      </c>
      <c r="AD13" s="8">
        <f t="shared" si="10"/>
        <v>2433.0026294172399</v>
      </c>
      <c r="AE13" s="8">
        <f t="shared" si="10"/>
        <v>2530.3227345939299</v>
      </c>
      <c r="AF13" s="8">
        <f t="shared" si="10"/>
        <v>2631.535643977687</v>
      </c>
      <c r="AG13" s="8">
        <f t="shared" si="10"/>
        <v>2736.7970697367946</v>
      </c>
      <c r="AH13" s="8">
        <f t="shared" si="10"/>
        <v>2846.2689525262663</v>
      </c>
      <c r="AI13" s="8">
        <f t="shared" si="10"/>
        <v>2960.1197106273171</v>
      </c>
      <c r="AJ13" s="8">
        <f t="shared" si="10"/>
        <v>3078.5244990524097</v>
      </c>
      <c r="AK13" s="8">
        <f t="shared" si="10"/>
        <v>3201.6654790145062</v>
      </c>
      <c r="AL13" s="8">
        <f t="shared" si="10"/>
        <v>3329.7320981750868</v>
      </c>
    </row>
    <row r="14" spans="2:38" ht="13.5" x14ac:dyDescent="0.25">
      <c r="B14" s="11" t="s">
        <v>5</v>
      </c>
      <c r="C14" s="15">
        <f t="shared" ref="C14:M14" si="11">C13/C11</f>
        <v>9.6608882702771098E-2</v>
      </c>
      <c r="D14" s="15">
        <f t="shared" si="11"/>
        <v>9.3554116172168814E-2</v>
      </c>
      <c r="E14" s="15">
        <f t="shared" si="11"/>
        <v>8.3971469828906492E-2</v>
      </c>
      <c r="F14" s="15">
        <f t="shared" si="11"/>
        <v>8.4756054003857412E-2</v>
      </c>
      <c r="G14" s="15">
        <f t="shared" si="11"/>
        <v>9.5536702323865727E-2</v>
      </c>
      <c r="H14" s="16">
        <f t="shared" si="11"/>
        <v>4.9563838223632035E-2</v>
      </c>
      <c r="I14" s="15">
        <f t="shared" si="11"/>
        <v>5.3265231667274718E-2</v>
      </c>
      <c r="J14" s="15">
        <f t="shared" si="11"/>
        <v>6.6095132743362831E-2</v>
      </c>
      <c r="K14" s="15">
        <f t="shared" si="11"/>
        <v>8.1912878787878785E-2</v>
      </c>
      <c r="L14" s="15">
        <f t="shared" si="11"/>
        <v>8.6458744571654159E-2</v>
      </c>
      <c r="M14" s="15">
        <f t="shared" si="11"/>
        <v>8.003355704697987E-2</v>
      </c>
      <c r="N14" s="14">
        <v>0.1</v>
      </c>
      <c r="O14" s="14">
        <v>0.1</v>
      </c>
      <c r="P14" s="14">
        <v>0.1</v>
      </c>
      <c r="Q14" s="14">
        <v>0.1</v>
      </c>
      <c r="R14" s="14">
        <v>0.12</v>
      </c>
      <c r="S14" s="14">
        <v>0.12</v>
      </c>
      <c r="T14" s="14">
        <v>0.13</v>
      </c>
      <c r="U14" s="14">
        <v>0.15</v>
      </c>
      <c r="V14" s="14">
        <v>0.15</v>
      </c>
      <c r="W14" s="14">
        <v>0.15</v>
      </c>
      <c r="X14" s="14">
        <v>0.15</v>
      </c>
      <c r="Y14" s="14">
        <v>0.15</v>
      </c>
      <c r="Z14" s="14">
        <v>0.15</v>
      </c>
      <c r="AA14" s="14">
        <v>0.15</v>
      </c>
      <c r="AB14" s="14">
        <v>0.15</v>
      </c>
      <c r="AC14" s="14">
        <v>0.15</v>
      </c>
      <c r="AD14" s="14">
        <v>0.15</v>
      </c>
      <c r="AE14" s="14">
        <v>0.15</v>
      </c>
      <c r="AF14" s="14">
        <v>0.15</v>
      </c>
      <c r="AG14" s="14">
        <v>0.15</v>
      </c>
      <c r="AH14" s="14">
        <v>0.15</v>
      </c>
      <c r="AI14" s="14">
        <v>0.15</v>
      </c>
      <c r="AJ14" s="14">
        <v>0.15</v>
      </c>
      <c r="AK14" s="14">
        <v>0.15</v>
      </c>
      <c r="AL14" s="14">
        <v>0.15</v>
      </c>
    </row>
    <row r="15" spans="2:38" ht="13.5" x14ac:dyDescent="0.25">
      <c r="B15" s="1" t="s">
        <v>6</v>
      </c>
      <c r="C15" s="8">
        <f>[1]Model!S64</f>
        <v>-45.9</v>
      </c>
      <c r="D15" s="8">
        <f>[1]Model!T64</f>
        <v>-48.4</v>
      </c>
      <c r="E15" s="8">
        <f>[1]Model!U64</f>
        <v>-57.699999999999996</v>
      </c>
      <c r="F15" s="8">
        <f>[1]Model!V64</f>
        <v>-73.5</v>
      </c>
      <c r="G15" s="8">
        <f>[1]Model!W64</f>
        <v>-192</v>
      </c>
      <c r="H15" s="9">
        <f>[1]Model!X64</f>
        <v>-125</v>
      </c>
      <c r="I15" s="8">
        <f>[1]Model!Y64</f>
        <v>-402</v>
      </c>
      <c r="J15" s="8">
        <f>[1]Model!Z64</f>
        <v>-473</v>
      </c>
      <c r="K15" s="8">
        <f>[1]Model!AA64</f>
        <v>-217</v>
      </c>
      <c r="L15" s="8">
        <f>[1]Model!AB64</f>
        <v>-440</v>
      </c>
      <c r="M15" s="8">
        <f>[1]Model!AC64</f>
        <v>-587</v>
      </c>
      <c r="N15" s="8">
        <f t="shared" ref="N15:AL15" si="12">-N11*N16</f>
        <v>-685.4</v>
      </c>
      <c r="O15" s="8">
        <f t="shared" si="12"/>
        <v>-697.05179999999984</v>
      </c>
      <c r="P15" s="8">
        <f t="shared" si="12"/>
        <v>-681.56175999999994</v>
      </c>
      <c r="Q15" s="8">
        <f t="shared" si="12"/>
        <v>-736.08670080000002</v>
      </c>
      <c r="R15" s="10">
        <f t="shared" si="12"/>
        <v>-787.612769856</v>
      </c>
      <c r="S15" s="8">
        <f t="shared" si="12"/>
        <v>-834.86953604736004</v>
      </c>
      <c r="T15" s="8">
        <f t="shared" si="12"/>
        <v>-876.61301284972808</v>
      </c>
      <c r="U15" s="8">
        <f t="shared" si="12"/>
        <v>-911.6775333637172</v>
      </c>
      <c r="V15" s="8">
        <f t="shared" si="12"/>
        <v>-948.14463469826603</v>
      </c>
      <c r="W15" s="8">
        <f t="shared" si="12"/>
        <v>-986.07042008619669</v>
      </c>
      <c r="X15" s="8">
        <f t="shared" si="12"/>
        <v>-1025.5132368896445</v>
      </c>
      <c r="Y15" s="8">
        <f t="shared" si="12"/>
        <v>-1066.5337663652303</v>
      </c>
      <c r="Z15" s="8">
        <f t="shared" si="12"/>
        <v>-1109.1951170198397</v>
      </c>
      <c r="AA15" s="8">
        <f t="shared" si="12"/>
        <v>-1153.5629217006333</v>
      </c>
      <c r="AB15" s="8">
        <f t="shared" si="12"/>
        <v>-1199.7054385686588</v>
      </c>
      <c r="AC15" s="8">
        <f t="shared" si="12"/>
        <v>-1247.6936561114051</v>
      </c>
      <c r="AD15" s="8">
        <f t="shared" si="12"/>
        <v>-1297.6014023558614</v>
      </c>
      <c r="AE15" s="8">
        <f t="shared" si="12"/>
        <v>-1349.5054584500958</v>
      </c>
      <c r="AF15" s="8">
        <f t="shared" si="12"/>
        <v>-1403.4856767880999</v>
      </c>
      <c r="AG15" s="8">
        <f t="shared" si="12"/>
        <v>-1459.6251038596238</v>
      </c>
      <c r="AH15" s="8">
        <f t="shared" si="12"/>
        <v>-1518.0101080140087</v>
      </c>
      <c r="AI15" s="8">
        <f t="shared" si="12"/>
        <v>-1578.7305123345691</v>
      </c>
      <c r="AJ15" s="8">
        <f t="shared" si="12"/>
        <v>-1641.879732827952</v>
      </c>
      <c r="AK15" s="8">
        <f t="shared" si="12"/>
        <v>-1707.5549221410702</v>
      </c>
      <c r="AL15" s="8">
        <f t="shared" si="12"/>
        <v>-1775.857119026713</v>
      </c>
    </row>
    <row r="16" spans="2:38" ht="13.5" x14ac:dyDescent="0.25">
      <c r="B16" s="11" t="s">
        <v>5</v>
      </c>
      <c r="C16" s="15">
        <f t="shared" ref="C16:M16" si="13">-C15/C11</f>
        <v>2.9039605213210175E-2</v>
      </c>
      <c r="D16" s="15">
        <f t="shared" si="13"/>
        <v>2.528207271207689E-2</v>
      </c>
      <c r="E16" s="15">
        <f t="shared" si="13"/>
        <v>2.5248326259134465E-2</v>
      </c>
      <c r="F16" s="15">
        <f t="shared" si="13"/>
        <v>2.6251875133938136E-2</v>
      </c>
      <c r="G16" s="15">
        <f t="shared" si="13"/>
        <v>7.0822574695684246E-2</v>
      </c>
      <c r="H16" s="16">
        <f t="shared" si="13"/>
        <v>4.9563838223632035E-2</v>
      </c>
      <c r="I16" s="15">
        <f t="shared" si="13"/>
        <v>0.14666180226194819</v>
      </c>
      <c r="J16" s="15">
        <f t="shared" si="13"/>
        <v>0.13080752212389379</v>
      </c>
      <c r="K16" s="15">
        <f t="shared" si="13"/>
        <v>5.1373106060606064E-2</v>
      </c>
      <c r="L16" s="15">
        <f t="shared" si="13"/>
        <v>8.6853533359652582E-2</v>
      </c>
      <c r="M16" s="15">
        <f t="shared" si="13"/>
        <v>9.8489932885906045E-2</v>
      </c>
      <c r="N16" s="14">
        <v>0.1</v>
      </c>
      <c r="O16" s="14">
        <v>0.09</v>
      </c>
      <c r="P16" s="14">
        <v>0.08</v>
      </c>
      <c r="Q16" s="14">
        <v>0.08</v>
      </c>
      <c r="R16" s="14">
        <v>0.08</v>
      </c>
      <c r="S16" s="14">
        <v>0.08</v>
      </c>
      <c r="T16" s="14">
        <v>0.08</v>
      </c>
      <c r="U16" s="14">
        <v>0.08</v>
      </c>
      <c r="V16" s="14">
        <v>0.08</v>
      </c>
      <c r="W16" s="14">
        <v>0.08</v>
      </c>
      <c r="X16" s="14">
        <v>0.08</v>
      </c>
      <c r="Y16" s="14">
        <v>0.08</v>
      </c>
      <c r="Z16" s="14">
        <v>0.08</v>
      </c>
      <c r="AA16" s="14">
        <v>0.08</v>
      </c>
      <c r="AB16" s="14">
        <v>0.08</v>
      </c>
      <c r="AC16" s="14">
        <v>0.08</v>
      </c>
      <c r="AD16" s="14">
        <v>0.08</v>
      </c>
      <c r="AE16" s="14">
        <v>0.08</v>
      </c>
      <c r="AF16" s="14">
        <v>0.08</v>
      </c>
      <c r="AG16" s="14">
        <v>0.08</v>
      </c>
      <c r="AH16" s="14">
        <v>0.08</v>
      </c>
      <c r="AI16" s="14">
        <v>0.08</v>
      </c>
      <c r="AJ16" s="14">
        <v>0.08</v>
      </c>
      <c r="AK16" s="14">
        <v>0.08</v>
      </c>
      <c r="AL16" s="14">
        <v>0.08</v>
      </c>
    </row>
    <row r="17" spans="2:38" x14ac:dyDescent="0.2">
      <c r="H17" s="17"/>
    </row>
    <row r="18" spans="2:38" x14ac:dyDescent="0.2">
      <c r="B18" s="18" t="s">
        <v>8</v>
      </c>
      <c r="C18" s="19"/>
      <c r="D18" s="19"/>
      <c r="E18" s="19"/>
      <c r="F18" s="19"/>
      <c r="G18" s="19"/>
      <c r="H18" s="20"/>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row>
    <row r="19" spans="2:38" ht="13.5" x14ac:dyDescent="0.25">
      <c r="B19" s="8" t="s">
        <v>2</v>
      </c>
      <c r="C19" s="8">
        <f t="shared" ref="C19:AL19" si="14">C3+C11</f>
        <v>4477.7</v>
      </c>
      <c r="D19" s="8">
        <f t="shared" si="14"/>
        <v>4819.6000000000004</v>
      </c>
      <c r="E19" s="8">
        <f t="shared" si="14"/>
        <v>4020.1000000000004</v>
      </c>
      <c r="F19" s="8">
        <f t="shared" si="14"/>
        <v>4833.7000000000007</v>
      </c>
      <c r="G19" s="8">
        <f t="shared" si="14"/>
        <v>4707</v>
      </c>
      <c r="H19" s="9">
        <f t="shared" si="14"/>
        <v>4057</v>
      </c>
      <c r="I19" s="8">
        <f t="shared" si="14"/>
        <v>4289</v>
      </c>
      <c r="J19" s="8">
        <f t="shared" si="14"/>
        <v>5447</v>
      </c>
      <c r="K19" s="8">
        <f t="shared" si="14"/>
        <v>5474</v>
      </c>
      <c r="L19" s="8">
        <f t="shared" si="14"/>
        <v>7520</v>
      </c>
      <c r="M19" s="8">
        <f t="shared" si="14"/>
        <v>8881</v>
      </c>
      <c r="N19" s="8">
        <f t="shared" si="14"/>
        <v>10213.149999999998</v>
      </c>
      <c r="O19" s="8">
        <f t="shared" si="14"/>
        <v>11440.084999999999</v>
      </c>
      <c r="P19" s="8">
        <f t="shared" si="14"/>
        <v>12584.093499999999</v>
      </c>
      <c r="Q19" s="8">
        <f t="shared" si="14"/>
        <v>13590.82098</v>
      </c>
      <c r="R19" s="10">
        <f t="shared" si="14"/>
        <v>14542.1784486</v>
      </c>
      <c r="S19" s="8">
        <f t="shared" si="14"/>
        <v>15414.709155516002</v>
      </c>
      <c r="T19" s="8">
        <f t="shared" si="14"/>
        <v>16185.444613291804</v>
      </c>
      <c r="U19" s="8">
        <f t="shared" si="14"/>
        <v>16832.862397823475</v>
      </c>
      <c r="V19" s="8">
        <f t="shared" si="14"/>
        <v>17506.176893736418</v>
      </c>
      <c r="W19" s="8">
        <f t="shared" si="14"/>
        <v>18206.423969485873</v>
      </c>
      <c r="X19" s="8">
        <f t="shared" si="14"/>
        <v>18934.680928265312</v>
      </c>
      <c r="Y19" s="8">
        <f t="shared" si="14"/>
        <v>19692.068165395922</v>
      </c>
      <c r="Z19" s="8">
        <f t="shared" si="14"/>
        <v>20479.750892011762</v>
      </c>
      <c r="AA19" s="8">
        <f t="shared" si="14"/>
        <v>21298.940927692231</v>
      </c>
      <c r="AB19" s="8">
        <f t="shared" si="14"/>
        <v>22150.898564799922</v>
      </c>
      <c r="AC19" s="8">
        <f t="shared" si="14"/>
        <v>23036.934507391921</v>
      </c>
      <c r="AD19" s="8">
        <f t="shared" si="14"/>
        <v>23958.411887687598</v>
      </c>
      <c r="AE19" s="8">
        <f t="shared" si="14"/>
        <v>24839.36441961271</v>
      </c>
      <c r="AF19" s="8">
        <f t="shared" si="14"/>
        <v>25753.233534507352</v>
      </c>
      <c r="AG19" s="8">
        <f t="shared" si="14"/>
        <v>26701.266250141089</v>
      </c>
      <c r="AH19" s="8">
        <f t="shared" si="14"/>
        <v>27684.757375627771</v>
      </c>
      <c r="AI19" s="8">
        <f t="shared" si="14"/>
        <v>28705.051360398356</v>
      </c>
      <c r="AJ19" s="8">
        <f t="shared" si="14"/>
        <v>29763.544215252128</v>
      </c>
      <c r="AK19" s="8">
        <f t="shared" si="14"/>
        <v>30861.685508313189</v>
      </c>
      <c r="AL19" s="8">
        <f t="shared" si="14"/>
        <v>32000.980438830218</v>
      </c>
    </row>
    <row r="20" spans="2:38" s="22" customFormat="1" ht="13.5" x14ac:dyDescent="0.25">
      <c r="B20" s="21" t="s">
        <v>3</v>
      </c>
      <c r="D20" s="23">
        <f t="shared" ref="D20:AL20" si="15">D19/C19-1</f>
        <v>7.635616499542186E-2</v>
      </c>
      <c r="E20" s="23">
        <f t="shared" si="15"/>
        <v>-0.16588513569590835</v>
      </c>
      <c r="F20" s="23">
        <f t="shared" si="15"/>
        <v>0.20238302529787822</v>
      </c>
      <c r="G20" s="23">
        <f t="shared" si="15"/>
        <v>-2.621180462171846E-2</v>
      </c>
      <c r="H20" s="24">
        <f t="shared" si="15"/>
        <v>-0.13809220310176329</v>
      </c>
      <c r="I20" s="23">
        <f t="shared" si="15"/>
        <v>5.7185112151836304E-2</v>
      </c>
      <c r="J20" s="23">
        <f t="shared" si="15"/>
        <v>0.26999300536255544</v>
      </c>
      <c r="K20" s="23">
        <f t="shared" si="15"/>
        <v>4.9568569854965272E-3</v>
      </c>
      <c r="L20" s="23">
        <f t="shared" si="15"/>
        <v>0.37376689806357333</v>
      </c>
      <c r="M20" s="23">
        <f t="shared" si="15"/>
        <v>0.18098404255319145</v>
      </c>
      <c r="N20" s="23">
        <f t="shared" si="15"/>
        <v>0.14999999999999969</v>
      </c>
      <c r="O20" s="23">
        <f t="shared" si="15"/>
        <v>0.12013286792027933</v>
      </c>
      <c r="P20" s="23">
        <f t="shared" si="15"/>
        <v>0.10000000000000009</v>
      </c>
      <c r="Q20" s="23">
        <f t="shared" si="15"/>
        <v>8.0000000000000071E-2</v>
      </c>
      <c r="R20" s="25">
        <f t="shared" si="15"/>
        <v>6.999999999999984E-2</v>
      </c>
      <c r="S20" s="23">
        <f t="shared" si="15"/>
        <v>6.0000000000000275E-2</v>
      </c>
      <c r="T20" s="23">
        <f t="shared" si="15"/>
        <v>5.0000000000000044E-2</v>
      </c>
      <c r="U20" s="23">
        <f t="shared" si="15"/>
        <v>4.0000000000000036E-2</v>
      </c>
      <c r="V20" s="23">
        <f t="shared" si="15"/>
        <v>4.0000000000000258E-2</v>
      </c>
      <c r="W20" s="23">
        <f t="shared" si="15"/>
        <v>4.0000000000000036E-2</v>
      </c>
      <c r="X20" s="23">
        <f t="shared" si="15"/>
        <v>4.0000000000000258E-2</v>
      </c>
      <c r="Y20" s="23">
        <f t="shared" si="15"/>
        <v>3.9999999999999813E-2</v>
      </c>
      <c r="Z20" s="23">
        <f t="shared" si="15"/>
        <v>4.0000000000000258E-2</v>
      </c>
      <c r="AA20" s="23">
        <f t="shared" si="15"/>
        <v>4.0000000000000036E-2</v>
      </c>
      <c r="AB20" s="23">
        <f t="shared" si="15"/>
        <v>4.0000000000000036E-2</v>
      </c>
      <c r="AC20" s="23">
        <f t="shared" si="15"/>
        <v>4.0000000000000036E-2</v>
      </c>
      <c r="AD20" s="23">
        <f t="shared" si="15"/>
        <v>4.0000000000000036E-2</v>
      </c>
      <c r="AE20" s="23">
        <f t="shared" si="15"/>
        <v>3.6770072075513527E-2</v>
      </c>
      <c r="AF20" s="23">
        <f t="shared" si="15"/>
        <v>3.6791163391164172E-2</v>
      </c>
      <c r="AG20" s="23">
        <f t="shared" si="15"/>
        <v>3.6812181831980206E-2</v>
      </c>
      <c r="AH20" s="23">
        <f t="shared" si="15"/>
        <v>3.6833126799051596E-2</v>
      </c>
      <c r="AI20" s="23">
        <f t="shared" si="15"/>
        <v>3.6853997704484165E-2</v>
      </c>
      <c r="AJ20" s="23">
        <f t="shared" si="15"/>
        <v>3.6874793971421793E-2</v>
      </c>
      <c r="AK20" s="23">
        <f t="shared" si="15"/>
        <v>3.6895515034070625E-2</v>
      </c>
      <c r="AL20" s="23">
        <f t="shared" si="15"/>
        <v>3.6916160337715054E-2</v>
      </c>
    </row>
    <row r="21" spans="2:38" ht="13.5" x14ac:dyDescent="0.25">
      <c r="B21" s="1" t="s">
        <v>9</v>
      </c>
      <c r="C21" s="8">
        <f t="shared" ref="C21:AL21" si="16">C5+C13</f>
        <v>385.5</v>
      </c>
      <c r="D21" s="8">
        <f t="shared" si="16"/>
        <v>452.79999999999995</v>
      </c>
      <c r="E21" s="8">
        <f t="shared" si="16"/>
        <v>421.20000000000005</v>
      </c>
      <c r="F21" s="8">
        <f t="shared" si="16"/>
        <v>619.90000000000009</v>
      </c>
      <c r="G21" s="8">
        <f t="shared" si="16"/>
        <v>706</v>
      </c>
      <c r="H21" s="9">
        <f t="shared" si="16"/>
        <v>262</v>
      </c>
      <c r="I21" s="8">
        <f t="shared" si="16"/>
        <v>355</v>
      </c>
      <c r="J21" s="8">
        <f t="shared" si="16"/>
        <v>507</v>
      </c>
      <c r="K21" s="8">
        <f t="shared" si="16"/>
        <v>854</v>
      </c>
      <c r="L21" s="8">
        <f t="shared" si="16"/>
        <v>955</v>
      </c>
      <c r="M21" s="8">
        <f t="shared" si="16"/>
        <v>1379</v>
      </c>
      <c r="N21" s="8">
        <f t="shared" si="16"/>
        <v>1525.1875</v>
      </c>
      <c r="O21" s="8">
        <f t="shared" si="16"/>
        <v>1513.5149999999999</v>
      </c>
      <c r="P21" s="8">
        <f t="shared" si="16"/>
        <v>1583.5750699999999</v>
      </c>
      <c r="Q21" s="8">
        <f t="shared" si="16"/>
        <v>1578.5689590000002</v>
      </c>
      <c r="R21" s="10">
        <f t="shared" si="16"/>
        <v>1885.9719785940001</v>
      </c>
      <c r="S21" s="8">
        <f t="shared" si="16"/>
        <v>1999.1302973096404</v>
      </c>
      <c r="T21" s="8">
        <f t="shared" si="16"/>
        <v>2208.6634387813383</v>
      </c>
      <c r="U21" s="8">
        <f t="shared" si="16"/>
        <v>2524.9293596735215</v>
      </c>
      <c r="V21" s="8">
        <f t="shared" si="16"/>
        <v>2625.9265340604625</v>
      </c>
      <c r="W21" s="8">
        <f t="shared" si="16"/>
        <v>2730.9635954228811</v>
      </c>
      <c r="X21" s="8">
        <f t="shared" si="16"/>
        <v>2840.2021392397965</v>
      </c>
      <c r="Y21" s="8">
        <f t="shared" si="16"/>
        <v>2953.8102248093883</v>
      </c>
      <c r="Z21" s="8">
        <f t="shared" si="16"/>
        <v>3071.9626338017642</v>
      </c>
      <c r="AA21" s="8">
        <f t="shared" si="16"/>
        <v>3194.8411391538343</v>
      </c>
      <c r="AB21" s="8">
        <f t="shared" si="16"/>
        <v>3322.6347847199881</v>
      </c>
      <c r="AC21" s="8">
        <f t="shared" si="16"/>
        <v>3455.5401761087878</v>
      </c>
      <c r="AD21" s="8">
        <f t="shared" si="16"/>
        <v>3593.7617831531393</v>
      </c>
      <c r="AE21" s="8">
        <f t="shared" si="16"/>
        <v>3725.9046629419063</v>
      </c>
      <c r="AF21" s="8">
        <f t="shared" si="16"/>
        <v>3862.9850301761026</v>
      </c>
      <c r="AG21" s="8">
        <f t="shared" si="16"/>
        <v>4005.1899375211633</v>
      </c>
      <c r="AH21" s="8">
        <f t="shared" si="16"/>
        <v>4152.7136063441658</v>
      </c>
      <c r="AI21" s="8">
        <f t="shared" si="16"/>
        <v>4305.7577040597535</v>
      </c>
      <c r="AJ21" s="8">
        <f t="shared" si="16"/>
        <v>4464.5316322878189</v>
      </c>
      <c r="AK21" s="8">
        <f t="shared" si="16"/>
        <v>4629.2528262469777</v>
      </c>
      <c r="AL21" s="8">
        <f t="shared" si="16"/>
        <v>4800.1470658245325</v>
      </c>
    </row>
    <row r="22" spans="2:38" ht="13.5" x14ac:dyDescent="0.25">
      <c r="B22" s="11" t="s">
        <v>5</v>
      </c>
      <c r="C22" s="15">
        <f t="shared" ref="C22:AL22" si="17">C21/C$19</f>
        <v>8.6093306831632313E-2</v>
      </c>
      <c r="D22" s="15">
        <f t="shared" si="17"/>
        <v>9.3949705369740205E-2</v>
      </c>
      <c r="E22" s="15">
        <f t="shared" si="17"/>
        <v>0.10477351309668914</v>
      </c>
      <c r="F22" s="15">
        <f t="shared" si="17"/>
        <v>0.12824544344911765</v>
      </c>
      <c r="G22" s="15">
        <f t="shared" si="17"/>
        <v>0.14998937752283834</v>
      </c>
      <c r="H22" s="15">
        <f t="shared" si="17"/>
        <v>6.4579738723194474E-2</v>
      </c>
      <c r="I22" s="15">
        <f t="shared" si="17"/>
        <v>8.2769876428071806E-2</v>
      </c>
      <c r="J22" s="15">
        <f t="shared" si="17"/>
        <v>9.3078758949880672E-2</v>
      </c>
      <c r="K22" s="15">
        <f t="shared" si="17"/>
        <v>0.15601023017902813</v>
      </c>
      <c r="L22" s="15">
        <f t="shared" si="17"/>
        <v>0.12699468085106383</v>
      </c>
      <c r="M22" s="15">
        <f t="shared" si="17"/>
        <v>0.15527530683481591</v>
      </c>
      <c r="N22" s="15">
        <f t="shared" si="17"/>
        <v>0.1493356603986038</v>
      </c>
      <c r="O22" s="15">
        <f t="shared" si="17"/>
        <v>0.13229927924486576</v>
      </c>
      <c r="P22" s="15">
        <f t="shared" si="17"/>
        <v>0.1258394233958926</v>
      </c>
      <c r="Q22" s="15">
        <f t="shared" si="17"/>
        <v>0.11614963962243288</v>
      </c>
      <c r="R22" s="26">
        <f t="shared" si="17"/>
        <v>0.12968978377345974</v>
      </c>
      <c r="S22" s="15">
        <f t="shared" si="17"/>
        <v>0.12968978377345972</v>
      </c>
      <c r="T22" s="15">
        <f t="shared" si="17"/>
        <v>0.13645985584897313</v>
      </c>
      <c r="U22" s="15">
        <f t="shared" si="17"/>
        <v>0.15000000000000002</v>
      </c>
      <c r="V22" s="15">
        <f t="shared" si="17"/>
        <v>0.15</v>
      </c>
      <c r="W22" s="15">
        <f t="shared" si="17"/>
        <v>0.15</v>
      </c>
      <c r="X22" s="15">
        <f t="shared" si="17"/>
        <v>0.15</v>
      </c>
      <c r="Y22" s="15">
        <f t="shared" si="17"/>
        <v>0.15</v>
      </c>
      <c r="Z22" s="15">
        <f t="shared" si="17"/>
        <v>0.15</v>
      </c>
      <c r="AA22" s="15">
        <f t="shared" si="17"/>
        <v>0.15</v>
      </c>
      <c r="AB22" s="15">
        <f t="shared" si="17"/>
        <v>0.15</v>
      </c>
      <c r="AC22" s="15">
        <f t="shared" si="17"/>
        <v>0.15</v>
      </c>
      <c r="AD22" s="15">
        <f t="shared" si="17"/>
        <v>0.15</v>
      </c>
      <c r="AE22" s="15">
        <f t="shared" si="17"/>
        <v>0.15</v>
      </c>
      <c r="AF22" s="15">
        <f t="shared" si="17"/>
        <v>0.15</v>
      </c>
      <c r="AG22" s="15">
        <f t="shared" si="17"/>
        <v>0.15</v>
      </c>
      <c r="AH22" s="15">
        <f t="shared" si="17"/>
        <v>0.15</v>
      </c>
      <c r="AI22" s="15">
        <f t="shared" si="17"/>
        <v>0.15</v>
      </c>
      <c r="AJ22" s="15">
        <f t="shared" si="17"/>
        <v>0.15</v>
      </c>
      <c r="AK22" s="15">
        <f t="shared" si="17"/>
        <v>0.15</v>
      </c>
      <c r="AL22" s="15">
        <f t="shared" si="17"/>
        <v>0.15</v>
      </c>
    </row>
    <row r="23" spans="2:38" ht="13.5" x14ac:dyDescent="0.25">
      <c r="B23" s="1" t="s">
        <v>10</v>
      </c>
      <c r="C23" s="15">
        <f>[1]Model!S172</f>
        <v>0.32179607109448061</v>
      </c>
      <c r="D23" s="15">
        <f>[1]Model!T172</f>
        <v>0.24783445620789243</v>
      </c>
      <c r="E23" s="15">
        <f>[1]Model!U172</f>
        <v>0.24973854842083246</v>
      </c>
      <c r="F23" s="15">
        <f>[1]Model!V172</f>
        <v>0.25358142598386296</v>
      </c>
      <c r="G23" s="15">
        <f>[1]Model!W172</f>
        <v>0.26726726726726729</v>
      </c>
      <c r="H23" s="16">
        <f>[1]Model!X172</f>
        <v>0.24489795918367346</v>
      </c>
      <c r="I23" s="15">
        <f>[1]Model!Y172</f>
        <v>0.26582278481012656</v>
      </c>
      <c r="J23" s="15">
        <f>[1]Model!Z172</f>
        <v>0.28017241379310343</v>
      </c>
      <c r="K23" s="15">
        <f>[1]Model!AA172</f>
        <v>-0.52682926829268295</v>
      </c>
      <c r="L23" s="15">
        <f>[1]Model!AB172</f>
        <v>0.28268156424581004</v>
      </c>
      <c r="M23" s="15">
        <f>[1]Model!AC172</f>
        <v>0.24614254224834681</v>
      </c>
      <c r="N23" s="14">
        <v>0.27</v>
      </c>
      <c r="O23" s="14">
        <v>0.27</v>
      </c>
      <c r="P23" s="14">
        <v>0.27</v>
      </c>
      <c r="Q23" s="14">
        <v>0.27</v>
      </c>
      <c r="R23" s="14">
        <v>0.25</v>
      </c>
      <c r="S23" s="14">
        <v>0.27</v>
      </c>
      <c r="T23" s="14">
        <v>0.27</v>
      </c>
      <c r="U23" s="14">
        <v>0.27</v>
      </c>
      <c r="V23" s="14">
        <v>0.27</v>
      </c>
      <c r="W23" s="14">
        <v>0.27</v>
      </c>
      <c r="X23" s="14">
        <v>0.27</v>
      </c>
      <c r="Y23" s="14">
        <v>0.27</v>
      </c>
      <c r="Z23" s="14">
        <v>0.27</v>
      </c>
      <c r="AA23" s="14">
        <v>0.27</v>
      </c>
      <c r="AB23" s="14">
        <v>0.27</v>
      </c>
      <c r="AC23" s="14">
        <v>0.27</v>
      </c>
      <c r="AD23" s="14">
        <v>0.27</v>
      </c>
      <c r="AE23" s="14">
        <v>0.27</v>
      </c>
      <c r="AF23" s="14">
        <v>0.27</v>
      </c>
      <c r="AG23" s="14">
        <v>0.27</v>
      </c>
      <c r="AH23" s="14">
        <v>0.27</v>
      </c>
      <c r="AI23" s="14">
        <v>0.27</v>
      </c>
      <c r="AJ23" s="14">
        <v>0.27</v>
      </c>
      <c r="AK23" s="14">
        <v>0.27</v>
      </c>
      <c r="AL23" s="14">
        <v>0.27</v>
      </c>
    </row>
    <row r="24" spans="2:38" ht="14.25" thickBot="1" x14ac:dyDescent="0.3">
      <c r="B24" s="27" t="s">
        <v>11</v>
      </c>
      <c r="C24" s="28">
        <f>[1]Model!S173</f>
        <v>261.4476145930779</v>
      </c>
      <c r="D24" s="28">
        <f>[1]Model!T173</f>
        <v>340.58055822906601</v>
      </c>
      <c r="E24" s="28">
        <f>[1]Model!U173</f>
        <v>391.03626856306215</v>
      </c>
      <c r="F24" s="28">
        <f>[1]Model!V173</f>
        <v>462.92879960480826</v>
      </c>
      <c r="G24" s="28">
        <f>[1]Model!W173</f>
        <v>516.57657657657649</v>
      </c>
      <c r="H24" s="29">
        <f>[1]Model!X173</f>
        <v>198.59183673469386</v>
      </c>
      <c r="I24" s="28">
        <f>[1]Model!Y173</f>
        <v>260.63291139240505</v>
      </c>
      <c r="J24" s="28">
        <f>[1]Model!Z173</f>
        <v>366.39224137931035</v>
      </c>
      <c r="K24" s="28">
        <f>[1]Model!AA173</f>
        <v>-161</v>
      </c>
      <c r="L24" s="28">
        <f>[1]Model!AB173</f>
        <v>685.03910614525137</v>
      </c>
      <c r="M24" s="28">
        <f>[1]Model!AC173</f>
        <v>1038.8155767817782</v>
      </c>
      <c r="N24" s="28">
        <f t="shared" ref="N24:AL24" si="18">N21*(1-N23)</f>
        <v>1113.3868749999999</v>
      </c>
      <c r="O24" s="28">
        <f t="shared" si="18"/>
        <v>1104.8659499999999</v>
      </c>
      <c r="P24" s="28">
        <f t="shared" si="18"/>
        <v>1156.0098010999998</v>
      </c>
      <c r="Q24" s="28">
        <f t="shared" si="18"/>
        <v>1152.35534007</v>
      </c>
      <c r="R24" s="10">
        <f t="shared" si="18"/>
        <v>1414.4789839455002</v>
      </c>
      <c r="S24" s="28">
        <f t="shared" si="18"/>
        <v>1459.3651170360374</v>
      </c>
      <c r="T24" s="28">
        <f t="shared" si="18"/>
        <v>1612.3243103103769</v>
      </c>
      <c r="U24" s="28">
        <f t="shared" si="18"/>
        <v>1843.1984325616706</v>
      </c>
      <c r="V24" s="28">
        <f t="shared" si="18"/>
        <v>1916.9263698641375</v>
      </c>
      <c r="W24" s="28">
        <f t="shared" si="18"/>
        <v>1993.6034246587033</v>
      </c>
      <c r="X24" s="28">
        <f t="shared" si="18"/>
        <v>2073.3475616450514</v>
      </c>
      <c r="Y24" s="28">
        <f t="shared" si="18"/>
        <v>2156.2814641108534</v>
      </c>
      <c r="Z24" s="28">
        <f t="shared" si="18"/>
        <v>2242.5327226752879</v>
      </c>
      <c r="AA24" s="28">
        <f t="shared" si="18"/>
        <v>2332.2340315822989</v>
      </c>
      <c r="AB24" s="28">
        <f t="shared" si="18"/>
        <v>2425.5233928455914</v>
      </c>
      <c r="AC24" s="28">
        <f t="shared" si="18"/>
        <v>2522.5443285594151</v>
      </c>
      <c r="AD24" s="28">
        <f t="shared" si="18"/>
        <v>2623.4461017017916</v>
      </c>
      <c r="AE24" s="28">
        <f t="shared" si="18"/>
        <v>2719.9104039475915</v>
      </c>
      <c r="AF24" s="28">
        <f t="shared" si="18"/>
        <v>2819.9790720285546</v>
      </c>
      <c r="AG24" s="28">
        <f t="shared" si="18"/>
        <v>2923.7886543904492</v>
      </c>
      <c r="AH24" s="28">
        <f t="shared" si="18"/>
        <v>3031.4809326312411</v>
      </c>
      <c r="AI24" s="28">
        <f t="shared" si="18"/>
        <v>3143.2031239636199</v>
      </c>
      <c r="AJ24" s="28">
        <f t="shared" si="18"/>
        <v>3259.1080915701077</v>
      </c>
      <c r="AK24" s="28">
        <f t="shared" si="18"/>
        <v>3379.3545631602938</v>
      </c>
      <c r="AL24" s="28">
        <f t="shared" si="18"/>
        <v>3504.1073580519087</v>
      </c>
    </row>
    <row r="25" spans="2:38" ht="13.5" x14ac:dyDescent="0.25">
      <c r="B25" s="11" t="s">
        <v>5</v>
      </c>
      <c r="C25" s="15">
        <f t="shared" ref="C25:AL25" si="19">C24/C$19</f>
        <v>5.8388818945681466E-2</v>
      </c>
      <c r="D25" s="15">
        <f t="shared" si="19"/>
        <v>7.0665731228538878E-2</v>
      </c>
      <c r="E25" s="15">
        <f t="shared" si="19"/>
        <v>9.7270283963847196E-2</v>
      </c>
      <c r="F25" s="15">
        <f t="shared" si="19"/>
        <v>9.5771106937709863E-2</v>
      </c>
      <c r="G25" s="15">
        <f t="shared" si="19"/>
        <v>0.10974645773880953</v>
      </c>
      <c r="H25" s="15">
        <f t="shared" si="19"/>
        <v>4.8950415759106199E-2</v>
      </c>
      <c r="I25" s="15">
        <f t="shared" si="19"/>
        <v>6.0767757377571709E-2</v>
      </c>
      <c r="J25" s="15">
        <f t="shared" si="19"/>
        <v>6.7264960781955263E-2</v>
      </c>
      <c r="K25" s="15">
        <f t="shared" si="19"/>
        <v>-2.9411764705882353E-2</v>
      </c>
      <c r="L25" s="15">
        <f t="shared" si="19"/>
        <v>9.1095625817187678E-2</v>
      </c>
      <c r="M25" s="15">
        <f t="shared" si="19"/>
        <v>0.11697056376328997</v>
      </c>
      <c r="N25" s="15">
        <f t="shared" si="19"/>
        <v>0.10901503209098076</v>
      </c>
      <c r="O25" s="15">
        <f t="shared" si="19"/>
        <v>9.6578473848751997E-2</v>
      </c>
      <c r="P25" s="15">
        <f t="shared" si="19"/>
        <v>9.1862779079001589E-2</v>
      </c>
      <c r="Q25" s="15">
        <f t="shared" si="19"/>
        <v>8.4789236924375996E-2</v>
      </c>
      <c r="R25" s="26">
        <f t="shared" si="19"/>
        <v>9.7267337830094808E-2</v>
      </c>
      <c r="S25" s="15">
        <f t="shared" si="19"/>
        <v>9.4673542154625603E-2</v>
      </c>
      <c r="T25" s="15">
        <f t="shared" si="19"/>
        <v>9.9615694769750379E-2</v>
      </c>
      <c r="U25" s="15">
        <f t="shared" si="19"/>
        <v>0.1095</v>
      </c>
      <c r="V25" s="15">
        <f t="shared" si="19"/>
        <v>0.10949999999999999</v>
      </c>
      <c r="W25" s="15">
        <f t="shared" si="19"/>
        <v>0.1095</v>
      </c>
      <c r="X25" s="15">
        <f t="shared" si="19"/>
        <v>0.10949999999999999</v>
      </c>
      <c r="Y25" s="15">
        <f t="shared" si="19"/>
        <v>0.1095</v>
      </c>
      <c r="Z25" s="15">
        <f t="shared" si="19"/>
        <v>0.1095</v>
      </c>
      <c r="AA25" s="15">
        <f t="shared" si="19"/>
        <v>0.10949999999999999</v>
      </c>
      <c r="AB25" s="15">
        <f t="shared" si="19"/>
        <v>0.1095</v>
      </c>
      <c r="AC25" s="15">
        <f t="shared" si="19"/>
        <v>0.10949999999999999</v>
      </c>
      <c r="AD25" s="15">
        <f t="shared" si="19"/>
        <v>0.10949999999999999</v>
      </c>
      <c r="AE25" s="15">
        <f t="shared" si="19"/>
        <v>0.10949999999999999</v>
      </c>
      <c r="AF25" s="15">
        <f t="shared" si="19"/>
        <v>0.10949999999999999</v>
      </c>
      <c r="AG25" s="15">
        <f t="shared" si="19"/>
        <v>0.1095</v>
      </c>
      <c r="AH25" s="15">
        <f t="shared" si="19"/>
        <v>0.10950000000000001</v>
      </c>
      <c r="AI25" s="15">
        <f t="shared" si="19"/>
        <v>0.1095</v>
      </c>
      <c r="AJ25" s="15">
        <f t="shared" si="19"/>
        <v>0.10949999999999999</v>
      </c>
      <c r="AK25" s="15">
        <f t="shared" si="19"/>
        <v>0.10949999999999999</v>
      </c>
      <c r="AL25" s="15">
        <f t="shared" si="19"/>
        <v>0.1095</v>
      </c>
    </row>
    <row r="26" spans="2:38" ht="13.5" x14ac:dyDescent="0.25">
      <c r="B26" s="1" t="s">
        <v>12</v>
      </c>
      <c r="C26" s="8">
        <f t="shared" ref="C26:AL26" si="20">C7+C15</f>
        <v>-309.7</v>
      </c>
      <c r="D26" s="8">
        <f t="shared" si="20"/>
        <v>-274.79999999999995</v>
      </c>
      <c r="E26" s="8">
        <f t="shared" si="20"/>
        <v>-288.10000000000002</v>
      </c>
      <c r="F26" s="8">
        <f t="shared" si="20"/>
        <v>-332.3</v>
      </c>
      <c r="G26" s="8">
        <f t="shared" si="20"/>
        <v>-495</v>
      </c>
      <c r="H26" s="9">
        <f t="shared" si="20"/>
        <v>-339</v>
      </c>
      <c r="I26" s="8">
        <f t="shared" si="20"/>
        <v>-622</v>
      </c>
      <c r="J26" s="8">
        <f t="shared" si="20"/>
        <v>-714</v>
      </c>
      <c r="K26" s="8">
        <f t="shared" si="20"/>
        <v>-515</v>
      </c>
      <c r="L26" s="8">
        <f t="shared" si="20"/>
        <v>-839</v>
      </c>
      <c r="M26" s="8">
        <f t="shared" si="20"/>
        <v>-903</v>
      </c>
      <c r="N26" s="8">
        <f t="shared" si="20"/>
        <v>-1021.3149999999999</v>
      </c>
      <c r="O26" s="8">
        <f t="shared" si="20"/>
        <v>-1029.6076499999999</v>
      </c>
      <c r="P26" s="8">
        <f t="shared" si="20"/>
        <v>-1006.72748</v>
      </c>
      <c r="Q26" s="8">
        <f t="shared" si="20"/>
        <v>-1087.2656784000001</v>
      </c>
      <c r="R26" s="10">
        <f t="shared" si="20"/>
        <v>-1163.3742758880001</v>
      </c>
      <c r="S26" s="8">
        <f t="shared" si="20"/>
        <v>-1233.1767324412801</v>
      </c>
      <c r="T26" s="8">
        <f t="shared" si="20"/>
        <v>-1294.8355690633443</v>
      </c>
      <c r="U26" s="8">
        <f t="shared" si="20"/>
        <v>-1346.6289918258781</v>
      </c>
      <c r="V26" s="8">
        <f t="shared" si="20"/>
        <v>-1400.4941514989134</v>
      </c>
      <c r="W26" s="8">
        <f t="shared" si="20"/>
        <v>-1456.5139175588699</v>
      </c>
      <c r="X26" s="8">
        <f t="shared" si="20"/>
        <v>-1514.7744742612247</v>
      </c>
      <c r="Y26" s="8">
        <f t="shared" si="20"/>
        <v>-1575.3654532316737</v>
      </c>
      <c r="Z26" s="8">
        <f t="shared" si="20"/>
        <v>-1638.3800713609407</v>
      </c>
      <c r="AA26" s="8">
        <f t="shared" si="20"/>
        <v>-1703.9152742153785</v>
      </c>
      <c r="AB26" s="8">
        <f t="shared" si="20"/>
        <v>-1772.0718851839938</v>
      </c>
      <c r="AC26" s="8">
        <f t="shared" si="20"/>
        <v>-1842.9547605913535</v>
      </c>
      <c r="AD26" s="8">
        <f t="shared" si="20"/>
        <v>-1916.6729510150078</v>
      </c>
      <c r="AE26" s="8">
        <f t="shared" si="20"/>
        <v>-1987.1491535690166</v>
      </c>
      <c r="AF26" s="8">
        <f t="shared" si="20"/>
        <v>-2060.2586827605883</v>
      </c>
      <c r="AG26" s="8">
        <f t="shared" si="20"/>
        <v>-2136.1013000112871</v>
      </c>
      <c r="AH26" s="8">
        <f t="shared" si="20"/>
        <v>-2214.7805900502217</v>
      </c>
      <c r="AI26" s="8">
        <f t="shared" si="20"/>
        <v>-2296.4041088318686</v>
      </c>
      <c r="AJ26" s="8">
        <f t="shared" si="20"/>
        <v>-2381.0835372201705</v>
      </c>
      <c r="AK26" s="8">
        <f t="shared" si="20"/>
        <v>-2468.9348406650552</v>
      </c>
      <c r="AL26" s="8">
        <f t="shared" si="20"/>
        <v>-2560.0784351064176</v>
      </c>
    </row>
    <row r="27" spans="2:38" ht="13.5" x14ac:dyDescent="0.25">
      <c r="B27" s="11" t="s">
        <v>13</v>
      </c>
      <c r="C27" s="15">
        <f t="shared" ref="C27:M27" si="21">-C26/C$19</f>
        <v>6.9164973088862589E-2</v>
      </c>
      <c r="D27" s="15">
        <f t="shared" si="21"/>
        <v>5.7017179848950106E-2</v>
      </c>
      <c r="E27" s="15">
        <f t="shared" si="21"/>
        <v>7.1664883958110492E-2</v>
      </c>
      <c r="F27" s="15">
        <f t="shared" si="21"/>
        <v>6.8746508885532812E-2</v>
      </c>
      <c r="G27" s="15">
        <f t="shared" si="21"/>
        <v>0.10516252390057361</v>
      </c>
      <c r="H27" s="15">
        <f t="shared" si="21"/>
        <v>8.3559280256347054E-2</v>
      </c>
      <c r="I27" s="15">
        <f t="shared" si="21"/>
        <v>0.14502214968524132</v>
      </c>
      <c r="J27" s="15">
        <f t="shared" si="21"/>
        <v>0.13108132917202128</v>
      </c>
      <c r="K27" s="15">
        <f t="shared" si="21"/>
        <v>9.4081110705151627E-2</v>
      </c>
      <c r="L27" s="15">
        <f t="shared" si="21"/>
        <v>0.11156914893617022</v>
      </c>
      <c r="M27" s="15">
        <f t="shared" si="21"/>
        <v>0.10167773899335661</v>
      </c>
      <c r="N27" s="15">
        <f t="shared" ref="N27:AL27" si="22">-N26/N19</f>
        <v>0.10000000000000002</v>
      </c>
      <c r="O27" s="15">
        <f t="shared" si="22"/>
        <v>0.09</v>
      </c>
      <c r="P27" s="15">
        <f t="shared" si="22"/>
        <v>0.08</v>
      </c>
      <c r="Q27" s="15">
        <f t="shared" si="22"/>
        <v>0.08</v>
      </c>
      <c r="R27" s="26">
        <f t="shared" si="22"/>
        <v>0.08</v>
      </c>
      <c r="S27" s="15">
        <f t="shared" si="22"/>
        <v>0.08</v>
      </c>
      <c r="T27" s="15">
        <f t="shared" si="22"/>
        <v>0.08</v>
      </c>
      <c r="U27" s="15">
        <f t="shared" si="22"/>
        <v>0.08</v>
      </c>
      <c r="V27" s="15">
        <f t="shared" si="22"/>
        <v>0.08</v>
      </c>
      <c r="W27" s="15">
        <f t="shared" si="22"/>
        <v>0.08</v>
      </c>
      <c r="X27" s="15">
        <f t="shared" si="22"/>
        <v>7.9999999999999988E-2</v>
      </c>
      <c r="Y27" s="15">
        <f t="shared" si="22"/>
        <v>0.08</v>
      </c>
      <c r="Z27" s="15">
        <f t="shared" si="22"/>
        <v>7.9999999999999988E-2</v>
      </c>
      <c r="AA27" s="15">
        <f t="shared" si="22"/>
        <v>0.08</v>
      </c>
      <c r="AB27" s="15">
        <f t="shared" si="22"/>
        <v>0.08</v>
      </c>
      <c r="AC27" s="15">
        <f t="shared" si="22"/>
        <v>7.9999999999999988E-2</v>
      </c>
      <c r="AD27" s="15">
        <f t="shared" si="22"/>
        <v>0.08</v>
      </c>
      <c r="AE27" s="15">
        <f t="shared" si="22"/>
        <v>7.9999999999999988E-2</v>
      </c>
      <c r="AF27" s="15">
        <f t="shared" si="22"/>
        <v>0.08</v>
      </c>
      <c r="AG27" s="15">
        <f t="shared" si="22"/>
        <v>0.08</v>
      </c>
      <c r="AH27" s="15">
        <f t="shared" si="22"/>
        <v>0.08</v>
      </c>
      <c r="AI27" s="15">
        <f t="shared" si="22"/>
        <v>0.08</v>
      </c>
      <c r="AJ27" s="15">
        <f t="shared" si="22"/>
        <v>0.08</v>
      </c>
      <c r="AK27" s="15">
        <f t="shared" si="22"/>
        <v>0.08</v>
      </c>
      <c r="AL27" s="15">
        <f t="shared" si="22"/>
        <v>0.08</v>
      </c>
    </row>
    <row r="28" spans="2:38" ht="13.5" x14ac:dyDescent="0.25">
      <c r="B28" s="11" t="s">
        <v>14</v>
      </c>
      <c r="C28" s="15">
        <f t="shared" ref="C28:AL28" si="23">-C26/C$24</f>
        <v>1.1845585222952715</v>
      </c>
      <c r="D28" s="15">
        <f t="shared" si="23"/>
        <v>0.80685756529642039</v>
      </c>
      <c r="E28" s="15">
        <f t="shared" si="23"/>
        <v>0.73676030374031232</v>
      </c>
      <c r="F28" s="15">
        <f t="shared" si="23"/>
        <v>0.71782097005776468</v>
      </c>
      <c r="G28" s="15">
        <f t="shared" si="23"/>
        <v>0.95823160097663085</v>
      </c>
      <c r="H28" s="15">
        <f t="shared" si="23"/>
        <v>1.7070188058781217</v>
      </c>
      <c r="I28" s="15">
        <f t="shared" si="23"/>
        <v>2.3864983001457021</v>
      </c>
      <c r="J28" s="15">
        <f t="shared" si="23"/>
        <v>1.9487312212510146</v>
      </c>
      <c r="K28" s="15">
        <f t="shared" si="23"/>
        <v>-3.1987577639751552</v>
      </c>
      <c r="L28" s="15">
        <f t="shared" si="23"/>
        <v>1.2247475983102543</v>
      </c>
      <c r="M28" s="15">
        <f t="shared" si="23"/>
        <v>0.86925920267529</v>
      </c>
      <c r="N28" s="15">
        <f t="shared" si="23"/>
        <v>0.91730468800433818</v>
      </c>
      <c r="O28" s="15">
        <f t="shared" si="23"/>
        <v>0.93188467795572849</v>
      </c>
      <c r="P28" s="15">
        <f t="shared" si="23"/>
        <v>0.87086413890440173</v>
      </c>
      <c r="Q28" s="15">
        <f t="shared" si="23"/>
        <v>0.9435159803519928</v>
      </c>
      <c r="R28" s="26">
        <f t="shared" si="23"/>
        <v>0.82247547619472072</v>
      </c>
      <c r="S28" s="15">
        <f t="shared" si="23"/>
        <v>0.84500905088498712</v>
      </c>
      <c r="T28" s="15">
        <f t="shared" si="23"/>
        <v>0.80308630266455816</v>
      </c>
      <c r="U28" s="15">
        <f t="shared" si="23"/>
        <v>0.73059360730593603</v>
      </c>
      <c r="V28" s="15">
        <f t="shared" si="23"/>
        <v>0.73059360730593614</v>
      </c>
      <c r="W28" s="15">
        <f t="shared" si="23"/>
        <v>0.73059360730593603</v>
      </c>
      <c r="X28" s="15">
        <f t="shared" si="23"/>
        <v>0.73059360730593603</v>
      </c>
      <c r="Y28" s="15">
        <f t="shared" si="23"/>
        <v>0.73059360730593603</v>
      </c>
      <c r="Z28" s="15">
        <f t="shared" si="23"/>
        <v>0.73059360730593603</v>
      </c>
      <c r="AA28" s="15">
        <f t="shared" si="23"/>
        <v>0.73059360730593625</v>
      </c>
      <c r="AB28" s="15">
        <f t="shared" si="23"/>
        <v>0.73059360730593614</v>
      </c>
      <c r="AC28" s="15">
        <f t="shared" si="23"/>
        <v>0.73059360730593603</v>
      </c>
      <c r="AD28" s="15">
        <f t="shared" si="23"/>
        <v>0.73059360730593614</v>
      </c>
      <c r="AE28" s="15">
        <f t="shared" si="23"/>
        <v>0.73059360730593603</v>
      </c>
      <c r="AF28" s="15">
        <f t="shared" si="23"/>
        <v>0.73059360730593625</v>
      </c>
      <c r="AG28" s="15">
        <f t="shared" si="23"/>
        <v>0.73059360730593603</v>
      </c>
      <c r="AH28" s="15">
        <f t="shared" si="23"/>
        <v>0.73059360730593603</v>
      </c>
      <c r="AI28" s="15">
        <f t="shared" si="23"/>
        <v>0.73059360730593614</v>
      </c>
      <c r="AJ28" s="15">
        <f t="shared" si="23"/>
        <v>0.73059360730593625</v>
      </c>
      <c r="AK28" s="15">
        <f t="shared" si="23"/>
        <v>0.73059360730593614</v>
      </c>
      <c r="AL28" s="15">
        <f t="shared" si="23"/>
        <v>0.73059360730593614</v>
      </c>
    </row>
    <row r="29" spans="2:38" ht="13.5" x14ac:dyDescent="0.25">
      <c r="B29" s="30" t="s">
        <v>15</v>
      </c>
      <c r="C29" s="31">
        <f>[1]Model!S234</f>
        <v>-255</v>
      </c>
      <c r="D29" s="31">
        <f>[1]Model!T234</f>
        <v>-291.60000000000002</v>
      </c>
      <c r="E29" s="31">
        <f>[1]Model!U234</f>
        <v>-191</v>
      </c>
      <c r="F29" s="31">
        <f>[1]Model!V234</f>
        <v>-320.39999999999998</v>
      </c>
      <c r="G29" s="31">
        <f>[1]Model!W234</f>
        <v>-142</v>
      </c>
      <c r="H29" s="31">
        <f>[1]Model!X234</f>
        <v>-25</v>
      </c>
      <c r="I29" s="31">
        <f>[1]Model!Y234</f>
        <v>50</v>
      </c>
      <c r="J29" s="31">
        <f>[1]Model!Z234</f>
        <v>-293</v>
      </c>
      <c r="K29" s="31">
        <f>[1]Model!AA234</f>
        <v>-81</v>
      </c>
      <c r="L29" s="31">
        <f>[1]Model!AB234</f>
        <v>-696</v>
      </c>
      <c r="M29" s="31">
        <f>[1]Model!AC234</f>
        <v>-404</v>
      </c>
      <c r="N29" s="32">
        <f t="shared" ref="N29:AL29" si="24">N33-N26-N31</f>
        <v>2180.7378125</v>
      </c>
      <c r="O29" s="32">
        <f t="shared" si="24"/>
        <v>1562.4693499999998</v>
      </c>
      <c r="P29" s="32">
        <f t="shared" si="24"/>
        <v>1244.5301558249998</v>
      </c>
      <c r="Q29" s="32">
        <f t="shared" si="24"/>
        <v>983.90229943500015</v>
      </c>
      <c r="R29" s="32">
        <f t="shared" si="24"/>
        <v>789.88509944437499</v>
      </c>
      <c r="S29" s="32">
        <f t="shared" si="24"/>
        <v>608.37778636908388</v>
      </c>
      <c r="T29" s="32">
        <f t="shared" si="24"/>
        <v>485.56333839875413</v>
      </c>
      <c r="U29" s="32">
        <f t="shared" si="24"/>
        <v>320.66602867853715</v>
      </c>
      <c r="V29" s="32">
        <f t="shared" si="24"/>
        <v>141.80003283926499</v>
      </c>
      <c r="W29" s="32">
        <f t="shared" si="24"/>
        <v>-51.888308313034713</v>
      </c>
      <c r="X29" s="32">
        <f t="shared" si="24"/>
        <v>-261.29859681006167</v>
      </c>
      <c r="Y29" s="32">
        <f t="shared" si="24"/>
        <v>-487.37868709354916</v>
      </c>
      <c r="Z29" s="32">
        <f t="shared" si="24"/>
        <v>-506.87383457729129</v>
      </c>
      <c r="AA29" s="32">
        <f t="shared" si="24"/>
        <v>-527.14878796038261</v>
      </c>
      <c r="AB29" s="32">
        <f t="shared" si="24"/>
        <v>-548.23473947879802</v>
      </c>
      <c r="AC29" s="32">
        <f t="shared" si="24"/>
        <v>-570.16412905795005</v>
      </c>
      <c r="AD29" s="32">
        <f t="shared" si="24"/>
        <v>-592.97069422026789</v>
      </c>
      <c r="AE29" s="32">
        <f t="shared" si="24"/>
        <v>-614.77426938541475</v>
      </c>
      <c r="AF29" s="32">
        <f t="shared" si="24"/>
        <v>-637.39252997905669</v>
      </c>
      <c r="AG29" s="32">
        <f t="shared" si="24"/>
        <v>-660.85633969099194</v>
      </c>
      <c r="AH29" s="32">
        <f t="shared" si="24"/>
        <v>-685.19774504678753</v>
      </c>
      <c r="AI29" s="32">
        <f t="shared" si="24"/>
        <v>-710.45002116985916</v>
      </c>
      <c r="AJ29" s="32">
        <f t="shared" si="24"/>
        <v>-736.64771932748999</v>
      </c>
      <c r="AK29" s="32">
        <f t="shared" si="24"/>
        <v>-763.8267163307512</v>
      </c>
      <c r="AL29" s="32">
        <f t="shared" si="24"/>
        <v>-792.02426586104775</v>
      </c>
    </row>
    <row r="30" spans="2:38" ht="13.5" x14ac:dyDescent="0.25">
      <c r="B30" s="33" t="s">
        <v>13</v>
      </c>
      <c r="C30" s="34">
        <f t="shared" ref="C30:AL30" si="25">C29/C$19</f>
        <v>-5.69488800053599E-2</v>
      </c>
      <c r="D30" s="34">
        <f t="shared" si="25"/>
        <v>-6.0502946302597727E-2</v>
      </c>
      <c r="E30" s="34">
        <f t="shared" si="25"/>
        <v>-4.7511255938906989E-2</v>
      </c>
      <c r="F30" s="34">
        <f t="shared" si="25"/>
        <v>-6.6284626683492956E-2</v>
      </c>
      <c r="G30" s="34">
        <f t="shared" si="25"/>
        <v>-3.0167835139154452E-2</v>
      </c>
      <c r="H30" s="34">
        <f t="shared" si="25"/>
        <v>-6.1621888094651224E-3</v>
      </c>
      <c r="I30" s="34">
        <f t="shared" si="25"/>
        <v>1.1657729074376311E-2</v>
      </c>
      <c r="J30" s="34">
        <f t="shared" si="25"/>
        <v>-5.3791077657426106E-2</v>
      </c>
      <c r="K30" s="34">
        <f t="shared" si="25"/>
        <v>-1.4797223237120936E-2</v>
      </c>
      <c r="L30" s="34">
        <f t="shared" si="25"/>
        <v>-9.2553191489361697E-2</v>
      </c>
      <c r="M30" s="34">
        <f t="shared" si="25"/>
        <v>-4.5490372705776376E-2</v>
      </c>
      <c r="N30" s="34">
        <f t="shared" si="25"/>
        <v>0.21352254813647117</v>
      </c>
      <c r="O30" s="34">
        <f t="shared" si="25"/>
        <v>0.13657847384875199</v>
      </c>
      <c r="P30" s="34">
        <f t="shared" si="25"/>
        <v>9.889708430925119E-2</v>
      </c>
      <c r="Q30" s="34">
        <f t="shared" si="25"/>
        <v>7.2394618462188004E-2</v>
      </c>
      <c r="R30" s="35">
        <f t="shared" si="25"/>
        <v>5.4316834457523701E-2</v>
      </c>
      <c r="S30" s="34">
        <f t="shared" si="25"/>
        <v>3.9467354215462568E-2</v>
      </c>
      <c r="T30" s="34">
        <f t="shared" si="25"/>
        <v>3.0000000000000002E-2</v>
      </c>
      <c r="U30" s="34">
        <f t="shared" si="25"/>
        <v>1.9049999999999997E-2</v>
      </c>
      <c r="V30" s="34">
        <f t="shared" si="25"/>
        <v>8.0999999999999996E-3</v>
      </c>
      <c r="W30" s="34">
        <f t="shared" si="25"/>
        <v>-2.8499999999999984E-3</v>
      </c>
      <c r="X30" s="34">
        <f t="shared" si="25"/>
        <v>-1.3800000000000019E-2</v>
      </c>
      <c r="Y30" s="34">
        <f t="shared" si="25"/>
        <v>-2.4750000000000005E-2</v>
      </c>
      <c r="Z30" s="34">
        <f t="shared" si="25"/>
        <v>-2.4750000000000008E-2</v>
      </c>
      <c r="AA30" s="34">
        <f t="shared" si="25"/>
        <v>-2.4749999999999994E-2</v>
      </c>
      <c r="AB30" s="34">
        <f t="shared" si="25"/>
        <v>-2.4749999999999998E-2</v>
      </c>
      <c r="AC30" s="34">
        <f t="shared" si="25"/>
        <v>-2.4750000000000001E-2</v>
      </c>
      <c r="AD30" s="34">
        <f t="shared" si="25"/>
        <v>-2.4749999999999994E-2</v>
      </c>
      <c r="AE30" s="34">
        <f t="shared" si="25"/>
        <v>-2.4750000000000008E-2</v>
      </c>
      <c r="AF30" s="34">
        <f t="shared" si="25"/>
        <v>-2.4749999999999991E-2</v>
      </c>
      <c r="AG30" s="34">
        <f t="shared" si="25"/>
        <v>-2.4750000000000001E-2</v>
      </c>
      <c r="AH30" s="34">
        <f t="shared" si="25"/>
        <v>-2.4750000000000008E-2</v>
      </c>
      <c r="AI30" s="34">
        <f t="shared" si="25"/>
        <v>-2.4749999999999994E-2</v>
      </c>
      <c r="AJ30" s="34">
        <f t="shared" si="25"/>
        <v>-2.4749999999999994E-2</v>
      </c>
      <c r="AK30" s="34">
        <f t="shared" si="25"/>
        <v>-2.4749999999999994E-2</v>
      </c>
      <c r="AL30" s="34">
        <f t="shared" si="25"/>
        <v>-2.4749999999999994E-2</v>
      </c>
    </row>
    <row r="31" spans="2:38" ht="13.5" x14ac:dyDescent="0.25">
      <c r="B31" s="1" t="s">
        <v>16</v>
      </c>
      <c r="C31" s="8">
        <f>[1]Model!S225+[1]Model!S226</f>
        <v>163.19999999999999</v>
      </c>
      <c r="D31" s="8">
        <f>[1]Model!T225+[1]Model!T226</f>
        <v>175.3</v>
      </c>
      <c r="E31" s="8">
        <f>[1]Model!U225+[1]Model!U226</f>
        <v>193.5</v>
      </c>
      <c r="F31" s="8">
        <f>[1]Model!V225+[1]Model!V226</f>
        <v>200.5</v>
      </c>
      <c r="G31" s="8">
        <f>[1]Model!W225+[1]Model!W226</f>
        <v>260</v>
      </c>
      <c r="H31" s="8">
        <f>[1]Model!X225+[1]Model!X226</f>
        <v>352</v>
      </c>
      <c r="I31" s="8">
        <f>[1]Model!Y225+[1]Model!Y226</f>
        <v>357</v>
      </c>
      <c r="J31" s="8">
        <f>[1]Model!Z225+[1]Model!Z226</f>
        <v>356</v>
      </c>
      <c r="K31" s="8">
        <f>[1]Model!AA225+[1]Model!AA226</f>
        <v>332</v>
      </c>
      <c r="L31" s="8">
        <f>[1]Model!AB225+[1]Model!AB226</f>
        <v>483</v>
      </c>
      <c r="M31" s="8">
        <f>[1]Model!AC225+[1]Model!AC226</f>
        <v>416</v>
      </c>
      <c r="N31" s="36">
        <f t="shared" ref="N31:AL31" si="26">N19*5%</f>
        <v>510.65749999999991</v>
      </c>
      <c r="O31" s="36">
        <f t="shared" si="26"/>
        <v>572.00424999999996</v>
      </c>
      <c r="P31" s="36">
        <f t="shared" si="26"/>
        <v>629.20467499999995</v>
      </c>
      <c r="Q31" s="36">
        <f t="shared" si="26"/>
        <v>679.54104900000004</v>
      </c>
      <c r="R31" s="36">
        <f t="shared" si="26"/>
        <v>727.10892243000001</v>
      </c>
      <c r="S31" s="36">
        <f t="shared" si="26"/>
        <v>770.73545777580011</v>
      </c>
      <c r="T31" s="36">
        <f t="shared" si="26"/>
        <v>809.27223066459021</v>
      </c>
      <c r="U31" s="36">
        <f t="shared" si="26"/>
        <v>841.6431198911738</v>
      </c>
      <c r="V31" s="36">
        <f t="shared" si="26"/>
        <v>875.30884468682098</v>
      </c>
      <c r="W31" s="36">
        <f t="shared" si="26"/>
        <v>910.32119847429374</v>
      </c>
      <c r="X31" s="36">
        <f t="shared" si="26"/>
        <v>946.73404641326567</v>
      </c>
      <c r="Y31" s="36">
        <f t="shared" si="26"/>
        <v>984.60340826979609</v>
      </c>
      <c r="Z31" s="36">
        <f t="shared" si="26"/>
        <v>1023.9875446005881</v>
      </c>
      <c r="AA31" s="36">
        <f t="shared" si="26"/>
        <v>1064.9470463846117</v>
      </c>
      <c r="AB31" s="36">
        <f t="shared" si="26"/>
        <v>1107.5449282399961</v>
      </c>
      <c r="AC31" s="36">
        <f t="shared" si="26"/>
        <v>1151.846725369596</v>
      </c>
      <c r="AD31" s="36">
        <f t="shared" si="26"/>
        <v>1197.9205943843799</v>
      </c>
      <c r="AE31" s="36">
        <f t="shared" si="26"/>
        <v>1241.9682209806356</v>
      </c>
      <c r="AF31" s="36">
        <f t="shared" si="26"/>
        <v>1287.6616767253677</v>
      </c>
      <c r="AG31" s="36">
        <f t="shared" si="26"/>
        <v>1335.0633125070544</v>
      </c>
      <c r="AH31" s="36">
        <f t="shared" si="26"/>
        <v>1384.2378687813887</v>
      </c>
      <c r="AI31" s="36">
        <f t="shared" si="26"/>
        <v>1435.2525680199178</v>
      </c>
      <c r="AJ31" s="36">
        <f t="shared" si="26"/>
        <v>1488.1772107626066</v>
      </c>
      <c r="AK31" s="36">
        <f t="shared" si="26"/>
        <v>1543.0842754156595</v>
      </c>
      <c r="AL31" s="36">
        <f t="shared" si="26"/>
        <v>1600.049021941511</v>
      </c>
    </row>
    <row r="32" spans="2:38" s="40" customFormat="1" x14ac:dyDescent="0.2">
      <c r="B32" s="37" t="s">
        <v>13</v>
      </c>
      <c r="C32" s="38">
        <f t="shared" ref="C32:AL32" si="27">C31/C$19</f>
        <v>3.6447283203430332E-2</v>
      </c>
      <c r="D32" s="38">
        <f t="shared" si="27"/>
        <v>3.6372313055025314E-2</v>
      </c>
      <c r="E32" s="38">
        <f t="shared" si="27"/>
        <v>4.8133131016641371E-2</v>
      </c>
      <c r="F32" s="38">
        <f t="shared" si="27"/>
        <v>4.147961189151167E-2</v>
      </c>
      <c r="G32" s="38">
        <f t="shared" si="27"/>
        <v>5.5236881240705332E-2</v>
      </c>
      <c r="H32" s="38">
        <f t="shared" si="27"/>
        <v>8.6763618437268916E-2</v>
      </c>
      <c r="I32" s="38">
        <f t="shared" si="27"/>
        <v>8.3236185591046868E-2</v>
      </c>
      <c r="J32" s="38">
        <f t="shared" si="27"/>
        <v>6.5357077290251517E-2</v>
      </c>
      <c r="K32" s="38">
        <f t="shared" si="27"/>
        <v>6.065034709535988E-2</v>
      </c>
      <c r="L32" s="38">
        <f t="shared" si="27"/>
        <v>6.4228723404255325E-2</v>
      </c>
      <c r="M32" s="38">
        <f t="shared" si="27"/>
        <v>4.684157189505686E-2</v>
      </c>
      <c r="N32" s="38">
        <f t="shared" si="27"/>
        <v>0.05</v>
      </c>
      <c r="O32" s="38">
        <f t="shared" si="27"/>
        <v>0.05</v>
      </c>
      <c r="P32" s="38">
        <f t="shared" si="27"/>
        <v>0.05</v>
      </c>
      <c r="Q32" s="38">
        <f t="shared" si="27"/>
        <v>0.05</v>
      </c>
      <c r="R32" s="39">
        <f t="shared" si="27"/>
        <v>0.05</v>
      </c>
      <c r="S32" s="38">
        <f t="shared" si="27"/>
        <v>0.05</v>
      </c>
      <c r="T32" s="38">
        <f t="shared" si="27"/>
        <v>0.05</v>
      </c>
      <c r="U32" s="38">
        <f t="shared" si="27"/>
        <v>0.05</v>
      </c>
      <c r="V32" s="38">
        <f t="shared" si="27"/>
        <v>0.05</v>
      </c>
      <c r="W32" s="38">
        <f t="shared" si="27"/>
        <v>0.05</v>
      </c>
      <c r="X32" s="38">
        <f t="shared" si="27"/>
        <v>0.05</v>
      </c>
      <c r="Y32" s="38">
        <f t="shared" si="27"/>
        <v>0.05</v>
      </c>
      <c r="Z32" s="38">
        <f t="shared" si="27"/>
        <v>0.05</v>
      </c>
      <c r="AA32" s="38">
        <f t="shared" si="27"/>
        <v>5.000000000000001E-2</v>
      </c>
      <c r="AB32" s="38">
        <f t="shared" si="27"/>
        <v>0.05</v>
      </c>
      <c r="AC32" s="38">
        <f t="shared" si="27"/>
        <v>4.9999999999999996E-2</v>
      </c>
      <c r="AD32" s="38">
        <f t="shared" si="27"/>
        <v>0.05</v>
      </c>
      <c r="AE32" s="38">
        <f t="shared" si="27"/>
        <v>0.05</v>
      </c>
      <c r="AF32" s="38">
        <f t="shared" si="27"/>
        <v>0.05</v>
      </c>
      <c r="AG32" s="38">
        <f t="shared" si="27"/>
        <v>0.05</v>
      </c>
      <c r="AH32" s="38">
        <f t="shared" si="27"/>
        <v>0.05</v>
      </c>
      <c r="AI32" s="38">
        <f t="shared" si="27"/>
        <v>0.05</v>
      </c>
      <c r="AJ32" s="38">
        <f t="shared" si="27"/>
        <v>0.05</v>
      </c>
      <c r="AK32" s="38">
        <f t="shared" si="27"/>
        <v>0.05</v>
      </c>
      <c r="AL32" s="38">
        <f t="shared" si="27"/>
        <v>0.05</v>
      </c>
    </row>
    <row r="33" spans="2:38" s="44" customFormat="1" ht="13.5" thickBot="1" x14ac:dyDescent="0.25">
      <c r="B33" s="41" t="s">
        <v>17</v>
      </c>
      <c r="C33" s="42">
        <f t="shared" ref="C33:M33" si="28">+C26+C29+C31</f>
        <v>-401.50000000000006</v>
      </c>
      <c r="D33" s="42">
        <f t="shared" si="28"/>
        <v>-391.09999999999997</v>
      </c>
      <c r="E33" s="42">
        <f t="shared" si="28"/>
        <v>-285.60000000000002</v>
      </c>
      <c r="F33" s="42">
        <f t="shared" si="28"/>
        <v>-452.20000000000005</v>
      </c>
      <c r="G33" s="42">
        <f t="shared" si="28"/>
        <v>-377</v>
      </c>
      <c r="H33" s="42">
        <f t="shared" si="28"/>
        <v>-12</v>
      </c>
      <c r="I33" s="42">
        <f t="shared" si="28"/>
        <v>-215</v>
      </c>
      <c r="J33" s="42">
        <f t="shared" si="28"/>
        <v>-651</v>
      </c>
      <c r="K33" s="42">
        <f t="shared" si="28"/>
        <v>-264</v>
      </c>
      <c r="L33" s="42">
        <f t="shared" si="28"/>
        <v>-1052</v>
      </c>
      <c r="M33" s="42">
        <f t="shared" si="28"/>
        <v>-891</v>
      </c>
      <c r="N33" s="42">
        <f t="shared" ref="N33:AL33" si="29">-N35*N24</f>
        <v>1670.0803124999998</v>
      </c>
      <c r="O33" s="42">
        <f t="shared" si="29"/>
        <v>1104.8659499999999</v>
      </c>
      <c r="P33" s="42">
        <f t="shared" si="29"/>
        <v>867.00735082499978</v>
      </c>
      <c r="Q33" s="42">
        <f t="shared" si="29"/>
        <v>576.17767003500001</v>
      </c>
      <c r="R33" s="43">
        <f t="shared" si="29"/>
        <v>353.61974598637505</v>
      </c>
      <c r="S33" s="42">
        <f t="shared" si="29"/>
        <v>145.93651170360374</v>
      </c>
      <c r="T33" s="42">
        <f t="shared" si="29"/>
        <v>0</v>
      </c>
      <c r="U33" s="42">
        <f t="shared" si="29"/>
        <v>-184.31984325616708</v>
      </c>
      <c r="V33" s="42">
        <f t="shared" si="29"/>
        <v>-383.38527397282752</v>
      </c>
      <c r="W33" s="42">
        <f t="shared" si="29"/>
        <v>-598.08102739761091</v>
      </c>
      <c r="X33" s="42">
        <f t="shared" si="29"/>
        <v>-829.33902465802066</v>
      </c>
      <c r="Y33" s="42">
        <f t="shared" si="29"/>
        <v>-1078.1407320554267</v>
      </c>
      <c r="Z33" s="42">
        <f t="shared" si="29"/>
        <v>-1121.266361337644</v>
      </c>
      <c r="AA33" s="42">
        <f t="shared" si="29"/>
        <v>-1166.1170157911495</v>
      </c>
      <c r="AB33" s="42">
        <f t="shared" si="29"/>
        <v>-1212.7616964227957</v>
      </c>
      <c r="AC33" s="42">
        <f t="shared" si="29"/>
        <v>-1261.2721642797076</v>
      </c>
      <c r="AD33" s="42">
        <f t="shared" si="29"/>
        <v>-1311.7230508508958</v>
      </c>
      <c r="AE33" s="42">
        <f t="shared" si="29"/>
        <v>-1359.9552019737957</v>
      </c>
      <c r="AF33" s="42">
        <f t="shared" si="29"/>
        <v>-1409.9895360142773</v>
      </c>
      <c r="AG33" s="42">
        <f t="shared" si="29"/>
        <v>-1461.8943271952246</v>
      </c>
      <c r="AH33" s="42">
        <f t="shared" si="29"/>
        <v>-1515.7404663156206</v>
      </c>
      <c r="AI33" s="42">
        <f t="shared" si="29"/>
        <v>-1571.6015619818099</v>
      </c>
      <c r="AJ33" s="42">
        <f t="shared" si="29"/>
        <v>-1629.5540457850539</v>
      </c>
      <c r="AK33" s="42">
        <f t="shared" si="29"/>
        <v>-1689.6772815801469</v>
      </c>
      <c r="AL33" s="42">
        <f t="shared" si="29"/>
        <v>-1752.0536790259544</v>
      </c>
    </row>
    <row r="34" spans="2:38" ht="13.5" x14ac:dyDescent="0.25">
      <c r="B34" s="11" t="s">
        <v>13</v>
      </c>
      <c r="C34" s="15">
        <f t="shared" ref="C34:M34" si="30">-C33/C$19</f>
        <v>8.9666569890792164E-2</v>
      </c>
      <c r="D34" s="15">
        <f t="shared" si="30"/>
        <v>8.1147813096522525E-2</v>
      </c>
      <c r="E34" s="15">
        <f t="shared" si="30"/>
        <v>7.104300888037611E-2</v>
      </c>
      <c r="F34" s="15">
        <f t="shared" si="30"/>
        <v>9.3551523677514112E-2</v>
      </c>
      <c r="G34" s="15">
        <f t="shared" si="30"/>
        <v>8.0093477799022733E-2</v>
      </c>
      <c r="H34" s="15">
        <f t="shared" si="30"/>
        <v>2.9578506285432584E-3</v>
      </c>
      <c r="I34" s="15">
        <f t="shared" si="30"/>
        <v>5.012823501981814E-2</v>
      </c>
      <c r="J34" s="15">
        <f t="shared" si="30"/>
        <v>0.11951532953919589</v>
      </c>
      <c r="K34" s="15">
        <f t="shared" si="30"/>
        <v>4.8227986846912679E-2</v>
      </c>
      <c r="L34" s="15">
        <f t="shared" si="30"/>
        <v>0.13989361702127659</v>
      </c>
      <c r="M34" s="15">
        <f t="shared" si="30"/>
        <v>0.10032653980407612</v>
      </c>
    </row>
    <row r="35" spans="2:38" ht="13.5" x14ac:dyDescent="0.25">
      <c r="B35" s="11" t="s">
        <v>14</v>
      </c>
      <c r="C35" s="15">
        <f t="shared" ref="C35:M35" si="31">-C33/C$24</f>
        <v>1.5356804866049452</v>
      </c>
      <c r="D35" s="15">
        <f t="shared" si="31"/>
        <v>1.1483333107257281</v>
      </c>
      <c r="E35" s="15">
        <f t="shared" si="31"/>
        <v>0.73036703487758836</v>
      </c>
      <c r="F35" s="15">
        <f t="shared" si="31"/>
        <v>0.97682408263653686</v>
      </c>
      <c r="G35" s="15">
        <f t="shared" si="31"/>
        <v>0.72980467387513093</v>
      </c>
      <c r="H35" s="15">
        <f t="shared" si="31"/>
        <v>6.042544445586271E-2</v>
      </c>
      <c r="I35" s="15">
        <f t="shared" si="31"/>
        <v>0.82491500728508993</v>
      </c>
      <c r="J35" s="15">
        <f t="shared" si="31"/>
        <v>1.7767843487876898</v>
      </c>
      <c r="K35" s="15">
        <f t="shared" si="31"/>
        <v>-1.639751552795031</v>
      </c>
      <c r="L35" s="15">
        <f t="shared" si="31"/>
        <v>1.5356787525892581</v>
      </c>
      <c r="M35" s="15">
        <f t="shared" si="31"/>
        <v>0.8577075853639905</v>
      </c>
      <c r="N35" s="14">
        <v>-1.5</v>
      </c>
      <c r="O35" s="14">
        <v>-1</v>
      </c>
      <c r="P35" s="14">
        <v>-0.75</v>
      </c>
      <c r="Q35" s="14">
        <v>-0.5</v>
      </c>
      <c r="R35" s="14">
        <v>-0.25</v>
      </c>
      <c r="S35" s="14">
        <v>-0.1</v>
      </c>
      <c r="T35" s="14">
        <v>0</v>
      </c>
      <c r="U35" s="14">
        <v>0.1</v>
      </c>
      <c r="V35" s="14">
        <v>0.2</v>
      </c>
      <c r="W35" s="14">
        <v>0.3</v>
      </c>
      <c r="X35" s="14">
        <v>0.4</v>
      </c>
      <c r="Y35" s="14">
        <v>0.5</v>
      </c>
      <c r="Z35" s="14">
        <v>0.5</v>
      </c>
      <c r="AA35" s="14">
        <v>0.5</v>
      </c>
      <c r="AB35" s="14">
        <v>0.5</v>
      </c>
      <c r="AC35" s="14">
        <v>0.5</v>
      </c>
      <c r="AD35" s="14">
        <v>0.5</v>
      </c>
      <c r="AE35" s="14">
        <v>0.5</v>
      </c>
      <c r="AF35" s="14">
        <v>0.5</v>
      </c>
      <c r="AG35" s="14">
        <v>0.5</v>
      </c>
      <c r="AH35" s="14">
        <v>0.5</v>
      </c>
      <c r="AI35" s="14">
        <v>0.5</v>
      </c>
      <c r="AJ35" s="14">
        <v>0.5</v>
      </c>
      <c r="AK35" s="14">
        <v>0.5</v>
      </c>
      <c r="AL35" s="14">
        <v>0.5</v>
      </c>
    </row>
    <row r="37" spans="2:38" x14ac:dyDescent="0.2">
      <c r="B37" s="44" t="s">
        <v>18</v>
      </c>
      <c r="C37" s="36">
        <f t="shared" ref="C37:AL37" si="32">C24+C33</f>
        <v>-140.05238540692216</v>
      </c>
      <c r="D37" s="36">
        <f t="shared" si="32"/>
        <v>-50.519441770933952</v>
      </c>
      <c r="E37" s="36">
        <f t="shared" si="32"/>
        <v>105.43626856306213</v>
      </c>
      <c r="F37" s="36">
        <f t="shared" si="32"/>
        <v>10.728799604808216</v>
      </c>
      <c r="G37" s="36">
        <f t="shared" si="32"/>
        <v>139.57657657657649</v>
      </c>
      <c r="H37" s="36">
        <f t="shared" si="32"/>
        <v>186.59183673469386</v>
      </c>
      <c r="I37" s="36">
        <f t="shared" si="32"/>
        <v>45.632911392405049</v>
      </c>
      <c r="J37" s="36">
        <f t="shared" si="32"/>
        <v>-284.60775862068965</v>
      </c>
      <c r="K37" s="36">
        <f t="shared" si="32"/>
        <v>-425</v>
      </c>
      <c r="L37" s="36">
        <f t="shared" si="32"/>
        <v>-366.96089385474863</v>
      </c>
      <c r="M37" s="36">
        <f t="shared" si="32"/>
        <v>147.81557678177819</v>
      </c>
      <c r="N37" s="36">
        <f t="shared" si="32"/>
        <v>2783.4671874999995</v>
      </c>
      <c r="O37" s="36">
        <f t="shared" si="32"/>
        <v>2209.7318999999998</v>
      </c>
      <c r="P37" s="36">
        <f t="shared" si="32"/>
        <v>2023.0171519249996</v>
      </c>
      <c r="Q37" s="36">
        <f t="shared" si="32"/>
        <v>1728.5330101049999</v>
      </c>
      <c r="R37" s="36">
        <f t="shared" si="32"/>
        <v>1768.0987299318754</v>
      </c>
      <c r="S37" s="36">
        <f t="shared" si="32"/>
        <v>1605.3016287396413</v>
      </c>
      <c r="T37" s="36">
        <f t="shared" si="32"/>
        <v>1612.3243103103769</v>
      </c>
      <c r="U37" s="36">
        <f t="shared" si="32"/>
        <v>1658.8785893055035</v>
      </c>
      <c r="V37" s="36">
        <f t="shared" si="32"/>
        <v>1533.5410958913101</v>
      </c>
      <c r="W37" s="36">
        <f t="shared" si="32"/>
        <v>1395.5223972610925</v>
      </c>
      <c r="X37" s="36">
        <f t="shared" si="32"/>
        <v>1244.0085369870308</v>
      </c>
      <c r="Y37" s="36">
        <f t="shared" si="32"/>
        <v>1078.1407320554267</v>
      </c>
      <c r="Z37" s="36">
        <f t="shared" si="32"/>
        <v>1121.266361337644</v>
      </c>
      <c r="AA37" s="36">
        <f t="shared" si="32"/>
        <v>1166.1170157911495</v>
      </c>
      <c r="AB37" s="36">
        <f t="shared" si="32"/>
        <v>1212.7616964227957</v>
      </c>
      <c r="AC37" s="36">
        <f t="shared" si="32"/>
        <v>1261.2721642797076</v>
      </c>
      <c r="AD37" s="36">
        <f t="shared" si="32"/>
        <v>1311.7230508508958</v>
      </c>
      <c r="AE37" s="36">
        <f t="shared" si="32"/>
        <v>1359.9552019737957</v>
      </c>
      <c r="AF37" s="36">
        <f t="shared" si="32"/>
        <v>1409.9895360142773</v>
      </c>
      <c r="AG37" s="36">
        <f t="shared" si="32"/>
        <v>1461.8943271952246</v>
      </c>
      <c r="AH37" s="36">
        <f t="shared" si="32"/>
        <v>1515.7404663156206</v>
      </c>
      <c r="AI37" s="36">
        <f t="shared" si="32"/>
        <v>1571.6015619818099</v>
      </c>
      <c r="AJ37" s="36">
        <f t="shared" si="32"/>
        <v>1629.5540457850539</v>
      </c>
      <c r="AK37" s="36">
        <f t="shared" si="32"/>
        <v>1689.6772815801469</v>
      </c>
      <c r="AL37" s="36">
        <f t="shared" si="32"/>
        <v>1752.0536790259544</v>
      </c>
    </row>
    <row r="38" spans="2:38" x14ac:dyDescent="0.2">
      <c r="B38" s="1" t="s">
        <v>19</v>
      </c>
      <c r="N38" s="1">
        <v>1</v>
      </c>
      <c r="O38" s="1">
        <f t="shared" ref="O38:AL38" si="33">+N38+1</f>
        <v>2</v>
      </c>
      <c r="P38" s="1">
        <f t="shared" si="33"/>
        <v>3</v>
      </c>
      <c r="Q38" s="1">
        <f t="shared" si="33"/>
        <v>4</v>
      </c>
      <c r="R38" s="1">
        <f t="shared" si="33"/>
        <v>5</v>
      </c>
      <c r="S38" s="1">
        <f t="shared" si="33"/>
        <v>6</v>
      </c>
      <c r="T38" s="1">
        <f t="shared" si="33"/>
        <v>7</v>
      </c>
      <c r="U38" s="1">
        <f t="shared" si="33"/>
        <v>8</v>
      </c>
      <c r="V38" s="1">
        <f t="shared" si="33"/>
        <v>9</v>
      </c>
      <c r="W38" s="1">
        <f t="shared" si="33"/>
        <v>10</v>
      </c>
      <c r="X38" s="1">
        <f t="shared" si="33"/>
        <v>11</v>
      </c>
      <c r="Y38" s="1">
        <f t="shared" si="33"/>
        <v>12</v>
      </c>
      <c r="Z38" s="1">
        <f t="shared" si="33"/>
        <v>13</v>
      </c>
      <c r="AA38" s="1">
        <f t="shared" si="33"/>
        <v>14</v>
      </c>
      <c r="AB38" s="1">
        <f t="shared" si="33"/>
        <v>15</v>
      </c>
      <c r="AC38" s="1">
        <f t="shared" si="33"/>
        <v>16</v>
      </c>
      <c r="AD38" s="1">
        <f t="shared" si="33"/>
        <v>17</v>
      </c>
      <c r="AE38" s="1">
        <f t="shared" si="33"/>
        <v>18</v>
      </c>
      <c r="AF38" s="1">
        <f t="shared" si="33"/>
        <v>19</v>
      </c>
      <c r="AG38" s="1">
        <f t="shared" si="33"/>
        <v>20</v>
      </c>
      <c r="AH38" s="1">
        <f t="shared" si="33"/>
        <v>21</v>
      </c>
      <c r="AI38" s="1">
        <f t="shared" si="33"/>
        <v>22</v>
      </c>
      <c r="AJ38" s="1">
        <f t="shared" si="33"/>
        <v>23</v>
      </c>
      <c r="AK38" s="1">
        <f t="shared" si="33"/>
        <v>24</v>
      </c>
      <c r="AL38" s="1">
        <f t="shared" si="33"/>
        <v>25</v>
      </c>
    </row>
    <row r="39" spans="2:38" x14ac:dyDescent="0.2">
      <c r="B39" s="1" t="s">
        <v>20</v>
      </c>
      <c r="N39" s="45">
        <f t="shared" ref="N39:AL39" si="34">1/(1+$C$43)^(N38)</f>
        <v>0.92592592592592582</v>
      </c>
      <c r="O39" s="45">
        <f t="shared" si="34"/>
        <v>0.85733882030178321</v>
      </c>
      <c r="P39" s="45">
        <f t="shared" si="34"/>
        <v>0.79383224102016958</v>
      </c>
      <c r="Q39" s="45">
        <f t="shared" si="34"/>
        <v>0.73502985279645328</v>
      </c>
      <c r="R39" s="45">
        <f t="shared" si="34"/>
        <v>0.68058319703375303</v>
      </c>
      <c r="S39" s="45">
        <f t="shared" si="34"/>
        <v>0.63016962688310452</v>
      </c>
      <c r="T39" s="45">
        <f t="shared" si="34"/>
        <v>0.58349039526213387</v>
      </c>
      <c r="U39" s="45">
        <f t="shared" si="34"/>
        <v>0.54026888450197574</v>
      </c>
      <c r="V39" s="45">
        <f t="shared" si="34"/>
        <v>0.50024896713145905</v>
      </c>
      <c r="W39" s="45">
        <f t="shared" si="34"/>
        <v>0.46319348808468425</v>
      </c>
      <c r="X39" s="45">
        <f t="shared" si="34"/>
        <v>0.42888285933767062</v>
      </c>
      <c r="Y39" s="45">
        <f t="shared" si="34"/>
        <v>0.39711375864599124</v>
      </c>
      <c r="Z39" s="45">
        <f t="shared" si="34"/>
        <v>0.36769792467221413</v>
      </c>
      <c r="AA39" s="45">
        <f t="shared" si="34"/>
        <v>0.34046104136316119</v>
      </c>
      <c r="AB39" s="45">
        <f t="shared" si="34"/>
        <v>0.31524170496588994</v>
      </c>
      <c r="AC39" s="45">
        <f t="shared" si="34"/>
        <v>0.29189046756100923</v>
      </c>
      <c r="AD39" s="45">
        <f t="shared" si="34"/>
        <v>0.27026895144537894</v>
      </c>
      <c r="AE39" s="45">
        <f t="shared" si="34"/>
        <v>0.25024902911609154</v>
      </c>
      <c r="AF39" s="45">
        <f t="shared" si="34"/>
        <v>0.23171206399638106</v>
      </c>
      <c r="AG39" s="45">
        <f t="shared" si="34"/>
        <v>0.21454820740405653</v>
      </c>
      <c r="AH39" s="45">
        <f t="shared" si="34"/>
        <v>0.19865574759634863</v>
      </c>
      <c r="AI39" s="45">
        <f t="shared" si="34"/>
        <v>0.18394050703365611</v>
      </c>
      <c r="AJ39" s="45">
        <f t="shared" si="34"/>
        <v>0.17031528429042234</v>
      </c>
      <c r="AK39" s="45">
        <f t="shared" si="34"/>
        <v>0.1576993373059466</v>
      </c>
      <c r="AL39" s="45">
        <f t="shared" si="34"/>
        <v>0.1460179049129135</v>
      </c>
    </row>
    <row r="40" spans="2:38" x14ac:dyDescent="0.2">
      <c r="B40" s="1" t="s">
        <v>21</v>
      </c>
      <c r="N40" s="45">
        <f t="shared" ref="N40:AL40" si="35">+N37*N39</f>
        <v>2577.2844328703695</v>
      </c>
      <c r="O40" s="45">
        <f t="shared" si="35"/>
        <v>1894.4889403292177</v>
      </c>
      <c r="P40" s="45">
        <f t="shared" si="35"/>
        <v>1605.9362393348633</v>
      </c>
      <c r="Q40" s="45">
        <f t="shared" si="35"/>
        <v>1270.5233639712883</v>
      </c>
      <c r="R40" s="45">
        <f t="shared" si="35"/>
        <v>1203.3382862883541</v>
      </c>
      <c r="S40" s="45">
        <f t="shared" si="35"/>
        <v>1011.6123284176997</v>
      </c>
      <c r="T40" s="45">
        <f t="shared" si="35"/>
        <v>940.77574911374916</v>
      </c>
      <c r="U40" s="45">
        <f t="shared" si="35"/>
        <v>896.2404849682955</v>
      </c>
      <c r="V40" s="45">
        <f t="shared" si="35"/>
        <v>767.15234927327367</v>
      </c>
      <c r="W40" s="45">
        <f t="shared" si="35"/>
        <v>646.3968868876658</v>
      </c>
      <c r="X40" s="45">
        <f t="shared" si="35"/>
        <v>533.53393838347017</v>
      </c>
      <c r="Y40" s="45">
        <f t="shared" si="35"/>
        <v>428.14451845587104</v>
      </c>
      <c r="Z40" s="45">
        <f t="shared" si="35"/>
        <v>412.28731406861664</v>
      </c>
      <c r="AA40" s="45">
        <f t="shared" si="35"/>
        <v>397.0174135475566</v>
      </c>
      <c r="AB40" s="45">
        <f t="shared" si="35"/>
        <v>382.31306489764711</v>
      </c>
      <c r="AC40" s="45">
        <f t="shared" si="35"/>
        <v>368.1533217532899</v>
      </c>
      <c r="AD40" s="45">
        <f t="shared" si="35"/>
        <v>354.51801354020506</v>
      </c>
      <c r="AE40" s="45">
        <f t="shared" si="35"/>
        <v>340.32746893532055</v>
      </c>
      <c r="AF40" s="45">
        <f t="shared" si="35"/>
        <v>326.71158560316786</v>
      </c>
      <c r="AG40" s="45">
        <f t="shared" si="35"/>
        <v>313.64680731389473</v>
      </c>
      <c r="AH40" s="45">
        <f t="shared" si="35"/>
        <v>301.11055549796771</v>
      </c>
      <c r="AI40" s="45">
        <f t="shared" si="35"/>
        <v>289.08118816582004</v>
      </c>
      <c r="AJ40" s="45">
        <f t="shared" si="35"/>
        <v>277.53796057448932</v>
      </c>
      <c r="AK40" s="45">
        <f t="shared" si="35"/>
        <v>266.46098756610252</v>
      </c>
      <c r="AL40" s="45">
        <f t="shared" si="35"/>
        <v>255.83120750633208</v>
      </c>
    </row>
    <row r="43" spans="2:38" x14ac:dyDescent="0.2">
      <c r="B43" s="1" t="s">
        <v>22</v>
      </c>
      <c r="C43" s="46">
        <v>0.08</v>
      </c>
    </row>
    <row r="44" spans="2:38" ht="13.5" x14ac:dyDescent="0.25">
      <c r="B44" s="47" t="s">
        <v>23</v>
      </c>
      <c r="C44" s="48">
        <f>SUM(N40:AL40)</f>
        <v>18060.424407264527</v>
      </c>
    </row>
    <row r="45" spans="2:38" x14ac:dyDescent="0.2">
      <c r="B45" s="1" t="s">
        <v>24</v>
      </c>
      <c r="C45" s="36">
        <f>AL37</f>
        <v>1752.0536790259544</v>
      </c>
    </row>
    <row r="46" spans="2:38" x14ac:dyDescent="0.2">
      <c r="B46" s="1" t="s">
        <v>25</v>
      </c>
      <c r="C46" s="46">
        <v>0.02</v>
      </c>
    </row>
    <row r="47" spans="2:38" x14ac:dyDescent="0.2">
      <c r="B47" s="1" t="s">
        <v>26</v>
      </c>
      <c r="C47" s="46">
        <v>7.4999999999999997E-2</v>
      </c>
    </row>
    <row r="48" spans="2:38" x14ac:dyDescent="0.2">
      <c r="B48" s="1" t="s">
        <v>27</v>
      </c>
      <c r="C48" s="36">
        <f>C45/(C47-C46)</f>
        <v>31855.521436835537</v>
      </c>
    </row>
    <row r="49" spans="2:3" x14ac:dyDescent="0.2">
      <c r="B49" s="1" t="s">
        <v>28</v>
      </c>
      <c r="C49" s="36">
        <f>C48*AL39</f>
        <v>4651.4765001151291</v>
      </c>
    </row>
    <row r="50" spans="2:3" x14ac:dyDescent="0.2">
      <c r="B50" s="49" t="s">
        <v>29</v>
      </c>
      <c r="C50" s="50">
        <f>C44+C49</f>
        <v>22711.900907379655</v>
      </c>
    </row>
    <row r="51" spans="2:3" x14ac:dyDescent="0.2">
      <c r="B51" s="1" t="s">
        <v>30</v>
      </c>
      <c r="C51" s="51">
        <v>5.0000000000000001E-3</v>
      </c>
    </row>
    <row r="52" spans="2:3" ht="13.5" x14ac:dyDescent="0.25">
      <c r="B52" s="1" t="s">
        <v>31</v>
      </c>
      <c r="C52" s="8">
        <f>[1]Model!$AC$193</f>
        <v>4375</v>
      </c>
    </row>
    <row r="53" spans="2:3" x14ac:dyDescent="0.2">
      <c r="B53" s="44" t="s">
        <v>32</v>
      </c>
      <c r="C53" s="52">
        <f>C50*(1-C51)+C52*C51</f>
        <v>22620.216402842758</v>
      </c>
    </row>
    <row r="54" spans="2:3" ht="13.5" x14ac:dyDescent="0.25">
      <c r="B54" s="1" t="s">
        <v>33</v>
      </c>
      <c r="C54" s="8">
        <f>[1]Main!$C$13</f>
        <v>2706</v>
      </c>
    </row>
    <row r="55" spans="2:3" ht="13.5" x14ac:dyDescent="0.25">
      <c r="B55" s="1" t="s">
        <v>34</v>
      </c>
      <c r="C55" s="8">
        <f>C53-C54</f>
        <v>19914.216402842758</v>
      </c>
    </row>
    <row r="56" spans="2:3" ht="13.5" x14ac:dyDescent="0.25">
      <c r="B56" s="1" t="s">
        <v>35</v>
      </c>
      <c r="C56" s="8">
        <v>0</v>
      </c>
    </row>
    <row r="57" spans="2:3" ht="13.5" x14ac:dyDescent="0.25">
      <c r="B57" s="30" t="s">
        <v>36</v>
      </c>
      <c r="C57" s="31">
        <f>C55-C56</f>
        <v>19914.216402842758</v>
      </c>
    </row>
    <row r="58" spans="2:3" ht="14.25" thickBot="1" x14ac:dyDescent="0.3">
      <c r="B58" s="1" t="s">
        <v>37</v>
      </c>
      <c r="C58" s="8">
        <f>[1]Model!$AC$168</f>
        <v>53.785595000000001</v>
      </c>
    </row>
    <row r="59" spans="2:3" ht="14.25" thickBot="1" x14ac:dyDescent="0.3">
      <c r="B59" s="53" t="s">
        <v>38</v>
      </c>
      <c r="C59" s="54">
        <f>(C57/C58)</f>
        <v>370.25185652111418</v>
      </c>
    </row>
    <row r="60" spans="2:3" x14ac:dyDescent="0.2">
      <c r="B60" s="1" t="s">
        <v>39</v>
      </c>
      <c r="C60" s="55">
        <f ca="1">[1]Main!$C$3</f>
        <v>355.1</v>
      </c>
    </row>
    <row r="61" spans="2:3" ht="13.5" x14ac:dyDescent="0.25">
      <c r="B61" s="1" t="s">
        <v>40</v>
      </c>
      <c r="C61" s="15">
        <f ca="1">C59/C60-1</f>
        <v>4.2669266463289723E-2</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DCF August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Goquiolay</dc:creator>
  <cp:lastModifiedBy>Joaquin Goquiolay</cp:lastModifiedBy>
  <dcterms:created xsi:type="dcterms:W3CDTF">2026-10-15T05:58:25Z</dcterms:created>
  <dcterms:modified xsi:type="dcterms:W3CDTF">2026-10-15T05:59:51Z</dcterms:modified>
</cp:coreProperties>
</file>