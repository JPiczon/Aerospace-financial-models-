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9dc8c86c708ee123/Documents/corporate financials/"/>
    </mc:Choice>
  </mc:AlternateContent>
  <xr:revisionPtr revIDLastSave="6" documentId="8_{6044E274-756E-49EA-AE48-ECFC1B2CE296}" xr6:coauthVersionLast="47" xr6:coauthVersionMax="47" xr10:uidLastSave="{9A86CDF5-2B62-42E3-965B-8E31B0CDEE01}"/>
  <bookViews>
    <workbookView xWindow="-25320" yWindow="-120" windowWidth="25440" windowHeight="15270" firstSheet="1" activeTab="1" xr2:uid="{5A5F029F-CD3B-4706-9B12-DF427DE63E27}"/>
  </bookViews>
  <sheets>
    <sheet name="Dashboard" sheetId="5" r:id="rId1"/>
    <sheet name="Main" sheetId="2" r:id="rId2"/>
    <sheet name="Model" sheetId="1" r:id="rId3"/>
    <sheet name="SubsidiariesAffiliates" sheetId="3" r:id="rId4"/>
  </sheets>
  <definedNames>
    <definedName name="_xlnm._FilterDatabase" localSheetId="2">Model!$B$69:$P$102</definedName>
  </definedName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04" i="1" l="1"/>
  <c r="X207" i="1" s="1"/>
  <c r="X205" i="1"/>
  <c r="X206" i="1"/>
  <c r="X209" i="1"/>
  <c r="X210" i="1"/>
  <c r="X211" i="1"/>
  <c r="X213" i="1"/>
  <c r="X214" i="1"/>
  <c r="X216" i="1" s="1"/>
  <c r="X215" i="1"/>
  <c r="X218" i="1"/>
  <c r="Y218" i="1"/>
  <c r="Y215" i="1"/>
  <c r="Y214" i="1"/>
  <c r="Y216" i="1" s="1"/>
  <c r="Y213" i="1"/>
  <c r="Y210" i="1"/>
  <c r="Y209" i="1"/>
  <c r="Y211" i="1" s="1"/>
  <c r="Y206" i="1"/>
  <c r="Y205" i="1"/>
  <c r="Y204" i="1"/>
  <c r="Y207" i="1" s="1"/>
  <c r="Y254" i="1"/>
  <c r="Y243" i="1"/>
  <c r="X254" i="1"/>
  <c r="X243" i="1"/>
  <c r="Y201" i="1"/>
  <c r="Y197" i="1"/>
  <c r="Y198" i="1" s="1"/>
  <c r="K34" i="2"/>
  <c r="K8" i="2"/>
  <c r="C18" i="2"/>
  <c r="AA79" i="1"/>
  <c r="AA70" i="1"/>
  <c r="AA8" i="1"/>
  <c r="Z104" i="1"/>
  <c r="Y183" i="1"/>
  <c r="Y172" i="1"/>
  <c r="W172" i="1"/>
  <c r="Y167" i="1"/>
  <c r="Y174" i="1" s="1"/>
  <c r="Y184" i="1" s="1"/>
  <c r="AA18" i="1"/>
  <c r="AA20" i="1" s="1"/>
  <c r="X220" i="1" l="1"/>
  <c r="X219" i="1" s="1"/>
  <c r="Y220" i="1"/>
  <c r="Y208" i="1" s="1"/>
  <c r="Y219" i="1"/>
  <c r="AB18" i="1"/>
  <c r="X217" i="1" l="1"/>
  <c r="X208" i="1"/>
  <c r="X212" i="1"/>
  <c r="Y217" i="1"/>
  <c r="Y212" i="1"/>
  <c r="AC18" i="1"/>
  <c r="AB20" i="1"/>
  <c r="AD18" i="1" l="1"/>
  <c r="AC20" i="1"/>
  <c r="AE18" i="1" l="1"/>
  <c r="AE20" i="1" s="1"/>
  <c r="AD20" i="1"/>
  <c r="C22" i="2" l="1"/>
  <c r="Y105" i="1"/>
  <c r="Y91" i="1"/>
  <c r="Y88" i="1"/>
  <c r="X91" i="1"/>
  <c r="X84" i="1"/>
  <c r="X93" i="1" s="1"/>
  <c r="Y84" i="1"/>
  <c r="Y85" i="1" s="1"/>
  <c r="X83" i="1"/>
  <c r="Y83" i="1"/>
  <c r="Y80" i="1"/>
  <c r="X80" i="1"/>
  <c r="X78" i="1"/>
  <c r="X77" i="1"/>
  <c r="Y70" i="1"/>
  <c r="Y78" i="1" s="1"/>
  <c r="Y77" i="1"/>
  <c r="W65" i="1"/>
  <c r="Y29" i="1"/>
  <c r="Y16" i="1"/>
  <c r="C9" i="2"/>
  <c r="C7" i="2"/>
  <c r="C6" i="2"/>
  <c r="C11" i="2"/>
  <c r="Y153" i="1"/>
  <c r="Y142" i="1"/>
  <c r="Y132" i="1"/>
  <c r="Y126" i="1"/>
  <c r="Y116" i="1"/>
  <c r="Y20" i="1"/>
  <c r="Y23" i="1" s="1"/>
  <c r="Y21" i="1"/>
  <c r="W21" i="1"/>
  <c r="W20" i="1"/>
  <c r="W23" i="1" s="1"/>
  <c r="Y43" i="1"/>
  <c r="V8" i="1"/>
  <c r="W8" i="1"/>
  <c r="Y8" i="1"/>
  <c r="U8" i="1"/>
  <c r="Y7" i="1"/>
  <c r="Y49" i="1" s="1"/>
  <c r="AA7" i="1"/>
  <c r="AA68" i="1" s="1"/>
  <c r="H83" i="2"/>
  <c r="I83" i="2" s="1"/>
  <c r="K82" i="2"/>
  <c r="J82" i="2"/>
  <c r="K81" i="2"/>
  <c r="J81" i="2"/>
  <c r="K80" i="2"/>
  <c r="J80" i="2"/>
  <c r="K79" i="2"/>
  <c r="J79" i="2"/>
  <c r="K78" i="2"/>
  <c r="J78" i="2"/>
  <c r="K77" i="2"/>
  <c r="H60" i="2"/>
  <c r="H61" i="2" s="1"/>
  <c r="K59" i="2"/>
  <c r="J59" i="2"/>
  <c r="K58" i="2"/>
  <c r="J58" i="2"/>
  <c r="K57" i="2"/>
  <c r="J57" i="2"/>
  <c r="K56" i="2"/>
  <c r="J56" i="2"/>
  <c r="K55" i="2"/>
  <c r="J55" i="2"/>
  <c r="K54" i="2"/>
  <c r="X97" i="1" l="1"/>
  <c r="X94" i="1"/>
  <c r="X96" i="1"/>
  <c r="Y93" i="1"/>
  <c r="X85" i="1"/>
  <c r="Y186" i="1"/>
  <c r="Y134" i="1"/>
  <c r="C14" i="2" s="1"/>
  <c r="Y157" i="1"/>
  <c r="Y79" i="1"/>
  <c r="Y65" i="1"/>
  <c r="Y154" i="1"/>
  <c r="Y68" i="1"/>
  <c r="Y27" i="1"/>
  <c r="Y25" i="1"/>
  <c r="Y127" i="1"/>
  <c r="Y155" i="1" s="1"/>
  <c r="Y12" i="1"/>
  <c r="Y14" i="1"/>
  <c r="Y10" i="1"/>
  <c r="Y45" i="1"/>
  <c r="Y47" i="1"/>
  <c r="H84" i="2"/>
  <c r="H62" i="2"/>
  <c r="I61" i="2"/>
  <c r="I60" i="2"/>
  <c r="Y97" i="1" l="1"/>
  <c r="Y96" i="1"/>
  <c r="Y94" i="1"/>
  <c r="X100" i="1"/>
  <c r="X98" i="1"/>
  <c r="H85" i="2"/>
  <c r="I84" i="2"/>
  <c r="I67" i="2"/>
  <c r="I69" i="2" s="1"/>
  <c r="H63" i="2"/>
  <c r="I62" i="2"/>
  <c r="Y100" i="1" l="1"/>
  <c r="Y187" i="1" s="1"/>
  <c r="Y98" i="1"/>
  <c r="I90" i="2"/>
  <c r="I92" i="2" s="1"/>
  <c r="I94" i="2" s="1"/>
  <c r="H86" i="2"/>
  <c r="I85" i="2"/>
  <c r="H64" i="2"/>
  <c r="I64" i="2" s="1"/>
  <c r="I63" i="2"/>
  <c r="H87" i="2" l="1"/>
  <c r="I87" i="2" s="1"/>
  <c r="I86" i="2"/>
  <c r="H35" i="2" l="1"/>
  <c r="I35" i="2" s="1"/>
  <c r="J34" i="2"/>
  <c r="K33" i="2"/>
  <c r="J33" i="2"/>
  <c r="K32" i="2"/>
  <c r="J32" i="2"/>
  <c r="K31" i="2"/>
  <c r="J31" i="2"/>
  <c r="K30" i="2"/>
  <c r="J30" i="2"/>
  <c r="K29" i="2"/>
  <c r="W88" i="1"/>
  <c r="V88" i="1"/>
  <c r="U88" i="1"/>
  <c r="Q88" i="1"/>
  <c r="P88" i="1"/>
  <c r="O88" i="1"/>
  <c r="M88" i="1"/>
  <c r="L88" i="1"/>
  <c r="K88" i="1"/>
  <c r="U91" i="1"/>
  <c r="V91" i="1"/>
  <c r="W91" i="1"/>
  <c r="T91" i="1"/>
  <c r="U83" i="1"/>
  <c r="V83" i="1"/>
  <c r="W83" i="1"/>
  <c r="T83" i="1"/>
  <c r="K14" i="2"/>
  <c r="K13" i="2"/>
  <c r="K12" i="2"/>
  <c r="K11" i="2"/>
  <c r="K10" i="2"/>
  <c r="H36" i="2" l="1"/>
  <c r="H37" i="2" s="1"/>
  <c r="H38" i="2"/>
  <c r="I37" i="2"/>
  <c r="I36" i="2"/>
  <c r="I43" i="2" l="1"/>
  <c r="I38" i="2"/>
  <c r="H39" i="2"/>
  <c r="I39" i="2" s="1"/>
  <c r="I45" i="2" l="1"/>
  <c r="I47" i="2" s="1"/>
  <c r="I71" i="2"/>
  <c r="AB7" i="1" l="1"/>
  <c r="AA69" i="1"/>
  <c r="Z9" i="1"/>
  <c r="Z5" i="1"/>
  <c r="K4" i="2"/>
  <c r="K5" i="2"/>
  <c r="K6" i="2"/>
  <c r="K7" i="2"/>
  <c r="K3" i="2"/>
  <c r="H10" i="2"/>
  <c r="I10" i="2" s="1"/>
  <c r="J5" i="2"/>
  <c r="J6" i="2"/>
  <c r="J7" i="2"/>
  <c r="J8" i="2"/>
  <c r="J4" i="2"/>
  <c r="AA10" i="1"/>
  <c r="AC7" i="1" l="1"/>
  <c r="AC68" i="1" s="1"/>
  <c r="AB68" i="1"/>
  <c r="AB69" i="1"/>
  <c r="AB82" i="1" s="1"/>
  <c r="AA78" i="1"/>
  <c r="AA82" i="1"/>
  <c r="AD7" i="1"/>
  <c r="AC69" i="1"/>
  <c r="AB70" i="1"/>
  <c r="H11" i="2"/>
  <c r="AE7" i="1" l="1"/>
  <c r="AD68" i="1"/>
  <c r="AA84" i="1"/>
  <c r="AB78" i="1"/>
  <c r="AD69" i="1"/>
  <c r="AD82" i="1" s="1"/>
  <c r="AC78" i="1"/>
  <c r="AC82" i="1"/>
  <c r="AD78" i="1"/>
  <c r="AC70" i="1"/>
  <c r="H12" i="2"/>
  <c r="I11" i="2"/>
  <c r="I18" i="2" s="1"/>
  <c r="AD70" i="1" l="1"/>
  <c r="AE68" i="1"/>
  <c r="AE69" i="1" s="1"/>
  <c r="AD79" i="1"/>
  <c r="AD84" i="1"/>
  <c r="AC79" i="1"/>
  <c r="AC84" i="1"/>
  <c r="AB79" i="1"/>
  <c r="AB84" i="1"/>
  <c r="I20" i="2"/>
  <c r="I22" i="2" s="1"/>
  <c r="H13" i="2"/>
  <c r="I12" i="2"/>
  <c r="AE82" i="1" l="1"/>
  <c r="AE70" i="1"/>
  <c r="AE78" i="1"/>
  <c r="H14" i="2"/>
  <c r="I14" i="2" s="1"/>
  <c r="I13" i="2"/>
  <c r="R104" i="1"/>
  <c r="E6" i="2" a="1"/>
  <c r="E6" i="2" s="1"/>
  <c r="E3" i="2" a="1"/>
  <c r="E3" i="2" s="1"/>
  <c r="Y66" i="1" s="1"/>
  <c r="Q197" i="1"/>
  <c r="Q183" i="1"/>
  <c r="Q166" i="1"/>
  <c r="Q167" i="1" s="1"/>
  <c r="Q174" i="1" s="1"/>
  <c r="Q204" i="1"/>
  <c r="Q205" i="1"/>
  <c r="Q206" i="1"/>
  <c r="Q209" i="1"/>
  <c r="Q210" i="1"/>
  <c r="Q213" i="1"/>
  <c r="Q214" i="1"/>
  <c r="Q215" i="1"/>
  <c r="Q218" i="1"/>
  <c r="Q153" i="1"/>
  <c r="Q142" i="1"/>
  <c r="P132" i="1"/>
  <c r="Q132" i="1"/>
  <c r="Q126" i="1"/>
  <c r="Q116" i="1"/>
  <c r="V70" i="1"/>
  <c r="W70" i="1"/>
  <c r="U70" i="1"/>
  <c r="M105" i="1"/>
  <c r="Q105" i="1"/>
  <c r="G96" i="1"/>
  <c r="H96" i="1"/>
  <c r="I96" i="1"/>
  <c r="P96" i="1"/>
  <c r="Q91" i="1"/>
  <c r="K70" i="1"/>
  <c r="L70" i="1"/>
  <c r="M70" i="1"/>
  <c r="E78" i="1"/>
  <c r="G78" i="1"/>
  <c r="H78" i="1"/>
  <c r="I78" i="1"/>
  <c r="C78" i="1"/>
  <c r="K78" i="1"/>
  <c r="L78" i="1"/>
  <c r="M78" i="1"/>
  <c r="O78" i="1"/>
  <c r="Q70" i="1"/>
  <c r="Q78" i="1"/>
  <c r="Q84" i="1" s="1"/>
  <c r="Q85" i="1" s="1"/>
  <c r="P78" i="1"/>
  <c r="O70" i="1"/>
  <c r="P70" i="1"/>
  <c r="Q77" i="1"/>
  <c r="AE84" i="1" l="1"/>
  <c r="AE79" i="1"/>
  <c r="O79" i="1"/>
  <c r="Q134" i="1"/>
  <c r="L79" i="1"/>
  <c r="Q157" i="1"/>
  <c r="K79" i="1"/>
  <c r="P79" i="1"/>
  <c r="Q198" i="1"/>
  <c r="Q201" i="1" s="1"/>
  <c r="Q216" i="1"/>
  <c r="M79" i="1"/>
  <c r="Q184" i="1"/>
  <c r="Q188" i="1"/>
  <c r="Q207" i="1"/>
  <c r="Q211" i="1"/>
  <c r="Q127" i="1"/>
  <c r="Q154" i="1"/>
  <c r="Q79" i="1"/>
  <c r="Q93" i="1"/>
  <c r="Q97" i="1" s="1"/>
  <c r="Q80" i="1"/>
  <c r="Z140" i="1"/>
  <c r="D3" i="2" a="1"/>
  <c r="D3" i="2" s="1"/>
  <c r="C8" i="5"/>
  <c r="C6" i="5"/>
  <c r="C2" i="5"/>
  <c r="Q96" i="1" l="1"/>
  <c r="C8" i="2"/>
  <c r="Q220" i="1"/>
  <c r="Q208" i="1" s="1"/>
  <c r="Q155" i="1"/>
  <c r="Q217" i="1"/>
  <c r="Q219" i="1"/>
  <c r="Q212" i="1"/>
  <c r="Q94" i="1"/>
  <c r="Q98" i="1"/>
  <c r="Q102" i="1"/>
  <c r="Q100" i="1"/>
  <c r="F99" i="1"/>
  <c r="G63" i="1"/>
  <c r="E57" i="1"/>
  <c r="F42" i="1"/>
  <c r="E197" i="1"/>
  <c r="E105" i="1"/>
  <c r="E141" i="1"/>
  <c r="E142" i="1" s="1"/>
  <c r="C63" i="1"/>
  <c r="K63" i="1"/>
  <c r="L62" i="1"/>
  <c r="M62" i="1"/>
  <c r="D197" i="1"/>
  <c r="D101" i="1"/>
  <c r="D105" i="1" s="1"/>
  <c r="D95" i="1"/>
  <c r="D92" i="1"/>
  <c r="F92" i="1" s="1"/>
  <c r="D90" i="1"/>
  <c r="F90" i="1" s="1"/>
  <c r="D89" i="1"/>
  <c r="F89" i="1" s="1"/>
  <c r="D87" i="1"/>
  <c r="D86" i="1"/>
  <c r="F86" i="1" s="1"/>
  <c r="D82" i="1"/>
  <c r="F82" i="1" s="1"/>
  <c r="D51" i="1"/>
  <c r="E51" i="1" s="1"/>
  <c r="F51" i="1" s="1"/>
  <c r="D76" i="1"/>
  <c r="F76" i="1" s="1"/>
  <c r="D75" i="1"/>
  <c r="F75" i="1" s="1"/>
  <c r="D74" i="1"/>
  <c r="F74" i="1" s="1"/>
  <c r="D73" i="1"/>
  <c r="F73" i="1" s="1"/>
  <c r="D72" i="1"/>
  <c r="F72" i="1" s="1"/>
  <c r="D71" i="1"/>
  <c r="F71" i="1" s="1"/>
  <c r="D69" i="1"/>
  <c r="D141" i="1"/>
  <c r="D142" i="1" s="1"/>
  <c r="E116" i="1"/>
  <c r="D116" i="1"/>
  <c r="E126" i="1"/>
  <c r="D126" i="1"/>
  <c r="E132" i="1"/>
  <c r="E134" i="1" s="1"/>
  <c r="D132" i="1"/>
  <c r="D134" i="1" s="1"/>
  <c r="E153" i="1"/>
  <c r="D153" i="1"/>
  <c r="F116" i="1"/>
  <c r="F126" i="1"/>
  <c r="F132" i="1"/>
  <c r="F134" i="1" s="1"/>
  <c r="F142" i="1"/>
  <c r="F153" i="1"/>
  <c r="C197" i="1"/>
  <c r="E167" i="1"/>
  <c r="D167" i="1"/>
  <c r="C167" i="1"/>
  <c r="E172" i="1"/>
  <c r="D172" i="1"/>
  <c r="C172" i="1"/>
  <c r="E183" i="1"/>
  <c r="D183" i="1"/>
  <c r="C183" i="1"/>
  <c r="F167" i="1"/>
  <c r="F172" i="1"/>
  <c r="F183" i="1"/>
  <c r="C105" i="1"/>
  <c r="E77" i="1"/>
  <c r="C77" i="1"/>
  <c r="E80" i="1"/>
  <c r="C80" i="1"/>
  <c r="E91" i="1"/>
  <c r="C91" i="1"/>
  <c r="C153" i="1"/>
  <c r="C141" i="1"/>
  <c r="C142" i="1" s="1"/>
  <c r="T132" i="1"/>
  <c r="C132" i="1"/>
  <c r="C134" i="1" s="1"/>
  <c r="C126" i="1"/>
  <c r="C116" i="1"/>
  <c r="V63" i="1"/>
  <c r="U63" i="1"/>
  <c r="T63" i="1"/>
  <c r="W63" i="1"/>
  <c r="W62" i="1"/>
  <c r="O62" i="1"/>
  <c r="O63" i="1"/>
  <c r="P62" i="1"/>
  <c r="N42" i="1"/>
  <c r="J42" i="1"/>
  <c r="I57" i="1"/>
  <c r="U204" i="1"/>
  <c r="T204" i="1"/>
  <c r="U205" i="1"/>
  <c r="T205" i="1"/>
  <c r="U206" i="1"/>
  <c r="T206" i="1"/>
  <c r="U209" i="1"/>
  <c r="T209" i="1"/>
  <c r="U210" i="1"/>
  <c r="T210" i="1"/>
  <c r="U213" i="1"/>
  <c r="T213" i="1"/>
  <c r="U214" i="1"/>
  <c r="T214" i="1"/>
  <c r="U215" i="1"/>
  <c r="T215" i="1"/>
  <c r="U218" i="1"/>
  <c r="T218" i="1"/>
  <c r="U254" i="1"/>
  <c r="T254" i="1"/>
  <c r="V56" i="1"/>
  <c r="U56" i="1"/>
  <c r="W56" i="1"/>
  <c r="T7" i="1"/>
  <c r="T10" i="1" s="1"/>
  <c r="T33" i="1"/>
  <c r="T62" i="1" s="1"/>
  <c r="T43" i="1"/>
  <c r="U7" i="1"/>
  <c r="U33" i="1"/>
  <c r="U62" i="1" s="1"/>
  <c r="U43" i="1"/>
  <c r="U57" i="1"/>
  <c r="T57" i="1"/>
  <c r="T195" i="1"/>
  <c r="T197" i="1" s="1"/>
  <c r="U195" i="1"/>
  <c r="U197" i="1" s="1"/>
  <c r="T181" i="1"/>
  <c r="T183" i="1" s="1"/>
  <c r="T166" i="1"/>
  <c r="T167" i="1" s="1"/>
  <c r="U166" i="1"/>
  <c r="U167" i="1" s="1"/>
  <c r="U172" i="1"/>
  <c r="T172" i="1"/>
  <c r="U183" i="1"/>
  <c r="U105" i="1"/>
  <c r="T105" i="1"/>
  <c r="U77" i="1"/>
  <c r="T77" i="1"/>
  <c r="U78" i="1"/>
  <c r="T78" i="1"/>
  <c r="T81" i="1"/>
  <c r="T153" i="1"/>
  <c r="T116" i="1"/>
  <c r="T126" i="1"/>
  <c r="T142" i="1"/>
  <c r="V204" i="1"/>
  <c r="V205" i="1"/>
  <c r="V206" i="1"/>
  <c r="V209" i="1"/>
  <c r="V210" i="1"/>
  <c r="V213" i="1"/>
  <c r="V214" i="1"/>
  <c r="V215" i="1"/>
  <c r="V218" i="1"/>
  <c r="V254" i="1"/>
  <c r="W254" i="1"/>
  <c r="W218" i="1"/>
  <c r="W215" i="1"/>
  <c r="W214" i="1"/>
  <c r="W213" i="1"/>
  <c r="W210" i="1"/>
  <c r="W209" i="1"/>
  <c r="W206" i="1"/>
  <c r="W205" i="1"/>
  <c r="W204" i="1"/>
  <c r="V7" i="1"/>
  <c r="V33" i="1"/>
  <c r="V62" i="1" s="1"/>
  <c r="V43" i="1"/>
  <c r="V61" i="1" s="1"/>
  <c r="W43" i="1"/>
  <c r="W61" i="1" s="1"/>
  <c r="W7" i="1"/>
  <c r="T134" i="1" l="1"/>
  <c r="T157" i="1"/>
  <c r="T84" i="1"/>
  <c r="Z78" i="1"/>
  <c r="W27" i="1"/>
  <c r="W25" i="1"/>
  <c r="U10" i="1"/>
  <c r="V10" i="1"/>
  <c r="W49" i="1"/>
  <c r="U80" i="1"/>
  <c r="U79" i="1"/>
  <c r="F69" i="1"/>
  <c r="F63" i="1" s="1"/>
  <c r="D78" i="1"/>
  <c r="D84" i="1" s="1"/>
  <c r="D85" i="1" s="1"/>
  <c r="F95" i="1"/>
  <c r="D174" i="1"/>
  <c r="D184" i="1" s="1"/>
  <c r="D187" i="1" s="1"/>
  <c r="T68" i="1"/>
  <c r="D127" i="1"/>
  <c r="F77" i="1"/>
  <c r="D91" i="1"/>
  <c r="E63" i="1"/>
  <c r="D154" i="1"/>
  <c r="F87" i="1"/>
  <c r="F91" i="1" s="1"/>
  <c r="E84" i="1"/>
  <c r="E85" i="1" s="1"/>
  <c r="D77" i="1"/>
  <c r="E174" i="1"/>
  <c r="E184" i="1" s="1"/>
  <c r="E187" i="1" s="1"/>
  <c r="D63" i="1"/>
  <c r="C154" i="1"/>
  <c r="E154" i="1"/>
  <c r="E127" i="1"/>
  <c r="F154" i="1"/>
  <c r="F127" i="1"/>
  <c r="C174" i="1"/>
  <c r="C184" i="1" s="1"/>
  <c r="C187" i="1" s="1"/>
  <c r="F174" i="1"/>
  <c r="F188" i="1" s="1"/>
  <c r="C84" i="1"/>
  <c r="C93" i="1" s="1"/>
  <c r="V60" i="1"/>
  <c r="V64" i="1" s="1"/>
  <c r="U68" i="1"/>
  <c r="T61" i="1"/>
  <c r="U61" i="1"/>
  <c r="W60" i="1"/>
  <c r="W64" i="1" s="1"/>
  <c r="T60" i="1"/>
  <c r="U60" i="1"/>
  <c r="C127" i="1"/>
  <c r="V55" i="1"/>
  <c r="U58" i="1"/>
  <c r="V225" i="1"/>
  <c r="U225" i="1"/>
  <c r="U55" i="1"/>
  <c r="T216" i="1"/>
  <c r="T211" i="1"/>
  <c r="T207" i="1"/>
  <c r="U216" i="1"/>
  <c r="U211" i="1"/>
  <c r="U207" i="1"/>
  <c r="T49" i="1"/>
  <c r="T45" i="1"/>
  <c r="T54" i="1"/>
  <c r="T14" i="1"/>
  <c r="T47" i="1"/>
  <c r="T39" i="1"/>
  <c r="T37" i="1"/>
  <c r="T35" i="1"/>
  <c r="T12" i="1"/>
  <c r="U14" i="1"/>
  <c r="U54" i="1"/>
  <c r="U37" i="1"/>
  <c r="U49" i="1"/>
  <c r="U35" i="1"/>
  <c r="U47" i="1"/>
  <c r="U45" i="1"/>
  <c r="U12" i="1"/>
  <c r="U39" i="1"/>
  <c r="T154" i="1"/>
  <c r="W225" i="1"/>
  <c r="W68" i="1"/>
  <c r="U84" i="1"/>
  <c r="U174" i="1"/>
  <c r="U188" i="1" s="1"/>
  <c r="T174" i="1"/>
  <c r="T188" i="1" s="1"/>
  <c r="T93" i="1"/>
  <c r="T80" i="1"/>
  <c r="U81" i="1"/>
  <c r="T85" i="1"/>
  <c r="T127" i="1"/>
  <c r="V45" i="1"/>
  <c r="V39" i="1"/>
  <c r="V37" i="1"/>
  <c r="V35" i="1"/>
  <c r="W55" i="1"/>
  <c r="V216" i="1"/>
  <c r="V211" i="1"/>
  <c r="V207" i="1"/>
  <c r="W216" i="1"/>
  <c r="W211" i="1"/>
  <c r="W207" i="1"/>
  <c r="W54" i="1"/>
  <c r="V49" i="1"/>
  <c r="V54" i="1"/>
  <c r="V14" i="1"/>
  <c r="V47" i="1"/>
  <c r="V68" i="1"/>
  <c r="V12" i="1"/>
  <c r="W45" i="1"/>
  <c r="W12" i="1"/>
  <c r="W47" i="1"/>
  <c r="W10" i="1"/>
  <c r="W14" i="1"/>
  <c r="V77" i="1"/>
  <c r="V58" i="1" s="1"/>
  <c r="W77" i="1"/>
  <c r="O77" i="1"/>
  <c r="M77" i="1"/>
  <c r="L77" i="1"/>
  <c r="K77" i="1"/>
  <c r="I77" i="1"/>
  <c r="H77" i="1"/>
  <c r="G77" i="1"/>
  <c r="P77" i="1"/>
  <c r="V57" i="1"/>
  <c r="W57" i="1"/>
  <c r="J99" i="1"/>
  <c r="J95" i="1"/>
  <c r="J96" i="1" s="1"/>
  <c r="J92" i="1"/>
  <c r="J87" i="1"/>
  <c r="J89" i="1"/>
  <c r="J90" i="1"/>
  <c r="J86" i="1"/>
  <c r="J82" i="1"/>
  <c r="J71" i="1"/>
  <c r="J72" i="1"/>
  <c r="J73" i="1"/>
  <c r="J74" i="1"/>
  <c r="J75" i="1"/>
  <c r="J76" i="1"/>
  <c r="J69" i="1"/>
  <c r="G57" i="1"/>
  <c r="H57" i="1"/>
  <c r="K57" i="1"/>
  <c r="L57" i="1"/>
  <c r="M57" i="1"/>
  <c r="O57" i="1"/>
  <c r="P57" i="1"/>
  <c r="G56" i="1"/>
  <c r="K56" i="1"/>
  <c r="O56" i="1"/>
  <c r="L51" i="1"/>
  <c r="L48" i="1"/>
  <c r="M48" i="1" s="1"/>
  <c r="N48" i="1" s="1"/>
  <c r="L46" i="1"/>
  <c r="M46" i="1" s="1"/>
  <c r="N46" i="1" s="1"/>
  <c r="L44" i="1"/>
  <c r="M44" i="1" s="1"/>
  <c r="N44" i="1" s="1"/>
  <c r="L41" i="1"/>
  <c r="L13" i="1"/>
  <c r="M13" i="1" s="1"/>
  <c r="N13" i="1" s="1"/>
  <c r="L11" i="1"/>
  <c r="M11" i="1" s="1"/>
  <c r="N11" i="1" s="1"/>
  <c r="L9" i="1"/>
  <c r="M9" i="1" s="1"/>
  <c r="N9" i="1" s="1"/>
  <c r="L6" i="1"/>
  <c r="M6" i="1" s="1"/>
  <c r="N6" i="1" s="1"/>
  <c r="R6" i="1" s="1"/>
  <c r="L5" i="1"/>
  <c r="M5" i="1" s="1"/>
  <c r="N5" i="1" s="1"/>
  <c r="P56" i="1"/>
  <c r="P254" i="1"/>
  <c r="P218" i="1"/>
  <c r="P215" i="1"/>
  <c r="P214" i="1"/>
  <c r="P213" i="1"/>
  <c r="P210" i="1"/>
  <c r="P209" i="1"/>
  <c r="P206" i="1"/>
  <c r="P205" i="1"/>
  <c r="P204" i="1"/>
  <c r="P51" i="1"/>
  <c r="P48" i="1"/>
  <c r="P46" i="1"/>
  <c r="P44" i="1"/>
  <c r="P41" i="1"/>
  <c r="P43" i="1" s="1"/>
  <c r="P61" i="1" s="1"/>
  <c r="P13" i="1"/>
  <c r="P11" i="1"/>
  <c r="P9" i="1"/>
  <c r="Q9" i="1" s="1"/>
  <c r="P5" i="1"/>
  <c r="D5" i="1"/>
  <c r="E5" i="1" s="1"/>
  <c r="F5" i="1" s="1"/>
  <c r="D6" i="1"/>
  <c r="E6" i="1" s="1"/>
  <c r="D9" i="1"/>
  <c r="E9" i="1" s="1"/>
  <c r="F9" i="1" s="1"/>
  <c r="D11" i="1"/>
  <c r="E11" i="1" s="1"/>
  <c r="F11" i="1" s="1"/>
  <c r="D13" i="1"/>
  <c r="E13" i="1" s="1"/>
  <c r="F13" i="1" s="1"/>
  <c r="D31" i="1"/>
  <c r="E31" i="1" s="1"/>
  <c r="D32" i="1"/>
  <c r="E32" i="1" s="1"/>
  <c r="D34" i="1"/>
  <c r="E34" i="1" s="1"/>
  <c r="F34" i="1" s="1"/>
  <c r="D36" i="1"/>
  <c r="E36" i="1" s="1"/>
  <c r="F36" i="1" s="1"/>
  <c r="D38" i="1"/>
  <c r="E38" i="1" s="1"/>
  <c r="F38" i="1" s="1"/>
  <c r="D41" i="1"/>
  <c r="D44" i="1"/>
  <c r="E44" i="1" s="1"/>
  <c r="F44" i="1" s="1"/>
  <c r="D46" i="1"/>
  <c r="E46" i="1" s="1"/>
  <c r="F46" i="1" s="1"/>
  <c r="D48" i="1"/>
  <c r="E48" i="1" s="1"/>
  <c r="F48" i="1" s="1"/>
  <c r="C7" i="1"/>
  <c r="C33" i="1"/>
  <c r="C62" i="1" s="1"/>
  <c r="C43" i="1"/>
  <c r="C61" i="1" s="1"/>
  <c r="H51" i="1"/>
  <c r="H48" i="1"/>
  <c r="I48" i="1" s="1"/>
  <c r="J48" i="1" s="1"/>
  <c r="H46" i="1"/>
  <c r="I46" i="1" s="1"/>
  <c r="J46" i="1" s="1"/>
  <c r="H44" i="1"/>
  <c r="I44" i="1" s="1"/>
  <c r="J44" i="1" s="1"/>
  <c r="H41" i="1"/>
  <c r="H38" i="1"/>
  <c r="I38" i="1" s="1"/>
  <c r="J38" i="1" s="1"/>
  <c r="H36" i="1"/>
  <c r="I36" i="1" s="1"/>
  <c r="J36" i="1" s="1"/>
  <c r="H34" i="1"/>
  <c r="I34" i="1" s="1"/>
  <c r="J34" i="1" s="1"/>
  <c r="H32" i="1"/>
  <c r="I32" i="1" s="1"/>
  <c r="J32" i="1" s="1"/>
  <c r="H31" i="1"/>
  <c r="H13" i="1"/>
  <c r="I13" i="1" s="1"/>
  <c r="J13" i="1" s="1"/>
  <c r="H11" i="1"/>
  <c r="I11" i="1" s="1"/>
  <c r="J11" i="1" s="1"/>
  <c r="H9" i="1"/>
  <c r="I9" i="1" s="1"/>
  <c r="J9" i="1" s="1"/>
  <c r="H6" i="1"/>
  <c r="I6" i="1" s="1"/>
  <c r="J6" i="1" s="1"/>
  <c r="H5" i="1"/>
  <c r="I5" i="1" s="1"/>
  <c r="J5" i="1" s="1"/>
  <c r="E254" i="1"/>
  <c r="E218" i="1"/>
  <c r="E215" i="1"/>
  <c r="E214" i="1"/>
  <c r="E213" i="1"/>
  <c r="E210" i="1"/>
  <c r="E209" i="1"/>
  <c r="E206" i="1"/>
  <c r="E205" i="1"/>
  <c r="E204" i="1"/>
  <c r="I218" i="1"/>
  <c r="I215" i="1"/>
  <c r="I214" i="1"/>
  <c r="I213" i="1"/>
  <c r="I210" i="1"/>
  <c r="I209" i="1"/>
  <c r="I205" i="1"/>
  <c r="I206" i="1"/>
  <c r="I204" i="1"/>
  <c r="I254" i="1"/>
  <c r="O43" i="1"/>
  <c r="O7" i="1"/>
  <c r="O60" i="1" s="1"/>
  <c r="G43" i="1"/>
  <c r="G61" i="1" s="1"/>
  <c r="G33" i="1"/>
  <c r="G62" i="1" s="1"/>
  <c r="G7" i="1"/>
  <c r="K43" i="1"/>
  <c r="K33" i="1"/>
  <c r="K7" i="1"/>
  <c r="H153" i="1"/>
  <c r="H142" i="1"/>
  <c r="H132" i="1"/>
  <c r="H134" i="1" s="1"/>
  <c r="H126" i="1"/>
  <c r="H116" i="1"/>
  <c r="H167" i="1"/>
  <c r="H172" i="1"/>
  <c r="H181" i="1"/>
  <c r="H183" i="1" s="1"/>
  <c r="H197" i="1"/>
  <c r="J88" i="1" l="1"/>
  <c r="R9" i="1"/>
  <c r="P7" i="1"/>
  <c r="Q5" i="1"/>
  <c r="Z68" i="1"/>
  <c r="C7" i="5" s="1"/>
  <c r="C97" i="1"/>
  <c r="C96" i="1"/>
  <c r="J70" i="1"/>
  <c r="J78" i="1"/>
  <c r="J84" i="1" s="1"/>
  <c r="F57" i="1"/>
  <c r="F78" i="1"/>
  <c r="F84" i="1" s="1"/>
  <c r="F85" i="1" s="1"/>
  <c r="D155" i="1"/>
  <c r="T94" i="1"/>
  <c r="T96" i="1"/>
  <c r="D188" i="1"/>
  <c r="U223" i="1"/>
  <c r="D198" i="1"/>
  <c r="D201" i="1" s="1"/>
  <c r="D80" i="1"/>
  <c r="T220" i="1"/>
  <c r="T217" i="1" s="1"/>
  <c r="T155" i="1"/>
  <c r="I51" i="1"/>
  <c r="I63" i="1" s="1"/>
  <c r="H63" i="1"/>
  <c r="E93" i="1"/>
  <c r="E7" i="1"/>
  <c r="E35" i="1" s="1"/>
  <c r="F6" i="1"/>
  <c r="F7" i="1" s="1"/>
  <c r="F45" i="1" s="1"/>
  <c r="D43" i="1"/>
  <c r="D61" i="1" s="1"/>
  <c r="E41" i="1"/>
  <c r="U224" i="1"/>
  <c r="J63" i="1"/>
  <c r="J57" i="1"/>
  <c r="E56" i="1"/>
  <c r="F31" i="1"/>
  <c r="F56" i="1" s="1"/>
  <c r="G39" i="1"/>
  <c r="G60" i="1"/>
  <c r="G64" i="1" s="1"/>
  <c r="E33" i="1"/>
  <c r="E62" i="1" s="1"/>
  <c r="F32" i="1"/>
  <c r="E188" i="1"/>
  <c r="E198" i="1"/>
  <c r="E201" i="1" s="1"/>
  <c r="E155" i="1"/>
  <c r="D93" i="1"/>
  <c r="K14" i="1"/>
  <c r="K60" i="1"/>
  <c r="K39" i="1"/>
  <c r="K62" i="1"/>
  <c r="C100" i="1"/>
  <c r="C102" i="1" s="1"/>
  <c r="C98" i="1"/>
  <c r="C10" i="1"/>
  <c r="C60" i="1"/>
  <c r="C64" i="1" s="1"/>
  <c r="K47" i="1"/>
  <c r="K61" i="1"/>
  <c r="M51" i="1"/>
  <c r="M63" i="1" s="1"/>
  <c r="L63" i="1"/>
  <c r="C198" i="1"/>
  <c r="C201" i="1" s="1"/>
  <c r="C155" i="1"/>
  <c r="F155" i="1"/>
  <c r="C188" i="1"/>
  <c r="F184" i="1"/>
  <c r="F187" i="1" s="1"/>
  <c r="C85" i="1"/>
  <c r="C94" i="1"/>
  <c r="T97" i="1"/>
  <c r="T98" i="1" s="1"/>
  <c r="O47" i="1"/>
  <c r="O61" i="1"/>
  <c r="O64" i="1" s="1"/>
  <c r="O68" i="1"/>
  <c r="U64" i="1"/>
  <c r="P60" i="1"/>
  <c r="T64" i="1"/>
  <c r="P68" i="1"/>
  <c r="P63" i="1"/>
  <c r="Z216" i="1"/>
  <c r="J7" i="1"/>
  <c r="N7" i="1"/>
  <c r="U184" i="1"/>
  <c r="U186" i="1" s="1"/>
  <c r="U220" i="1"/>
  <c r="U212" i="1" s="1"/>
  <c r="M7" i="1"/>
  <c r="W223" i="1"/>
  <c r="Z211" i="1"/>
  <c r="V222" i="1"/>
  <c r="W58" i="1"/>
  <c r="Z77" i="1"/>
  <c r="L56" i="1"/>
  <c r="I31" i="1"/>
  <c r="V223" i="1"/>
  <c r="Z207" i="1"/>
  <c r="H43" i="1"/>
  <c r="I41" i="1"/>
  <c r="L43" i="1"/>
  <c r="L61" i="1" s="1"/>
  <c r="M41" i="1"/>
  <c r="V224" i="1"/>
  <c r="I7" i="1"/>
  <c r="I45" i="1" s="1"/>
  <c r="U222" i="1"/>
  <c r="U198" i="1"/>
  <c r="U201" i="1" s="1"/>
  <c r="T198" i="1"/>
  <c r="T201" i="1" s="1"/>
  <c r="W222" i="1"/>
  <c r="T184" i="1"/>
  <c r="T186" i="1" s="1"/>
  <c r="P58" i="1"/>
  <c r="W224" i="1"/>
  <c r="M58" i="1"/>
  <c r="U85" i="1"/>
  <c r="U93" i="1"/>
  <c r="U96" i="1" s="1"/>
  <c r="W220" i="1"/>
  <c r="W219" i="1" s="1"/>
  <c r="V220" i="1"/>
  <c r="V212" i="1" s="1"/>
  <c r="L58" i="1"/>
  <c r="O58" i="1"/>
  <c r="K58" i="1"/>
  <c r="J77" i="1"/>
  <c r="J58" i="1" s="1"/>
  <c r="L7" i="1"/>
  <c r="G55" i="1"/>
  <c r="J91" i="1"/>
  <c r="C35" i="1"/>
  <c r="O54" i="1"/>
  <c r="K54" i="1"/>
  <c r="H56" i="1"/>
  <c r="K55" i="1"/>
  <c r="P14" i="1"/>
  <c r="O55" i="1"/>
  <c r="G54" i="1"/>
  <c r="C45" i="1"/>
  <c r="C68" i="1"/>
  <c r="C39" i="1"/>
  <c r="C37" i="1"/>
  <c r="P49" i="1"/>
  <c r="D33" i="1"/>
  <c r="O49" i="1"/>
  <c r="P211" i="1"/>
  <c r="P216" i="1"/>
  <c r="P207" i="1"/>
  <c r="G45" i="1"/>
  <c r="K49" i="1"/>
  <c r="G47" i="1"/>
  <c r="G49" i="1"/>
  <c r="K35" i="1"/>
  <c r="G35" i="1"/>
  <c r="K37" i="1"/>
  <c r="D7" i="1"/>
  <c r="G37" i="1"/>
  <c r="K45" i="1"/>
  <c r="C49" i="1"/>
  <c r="O45" i="1"/>
  <c r="C47" i="1"/>
  <c r="P45" i="1"/>
  <c r="P10" i="1"/>
  <c r="P12" i="1"/>
  <c r="P47" i="1"/>
  <c r="C14" i="1"/>
  <c r="C12" i="1"/>
  <c r="H33" i="1"/>
  <c r="H7" i="1"/>
  <c r="H60" i="1" s="1"/>
  <c r="I211" i="1"/>
  <c r="E216" i="1"/>
  <c r="E211" i="1"/>
  <c r="E207" i="1"/>
  <c r="I216" i="1"/>
  <c r="I207" i="1"/>
  <c r="G68" i="1"/>
  <c r="K68" i="1"/>
  <c r="O10" i="1"/>
  <c r="O14" i="1"/>
  <c r="O12" i="1"/>
  <c r="G10" i="1"/>
  <c r="G14" i="1"/>
  <c r="G12" i="1"/>
  <c r="K12" i="1"/>
  <c r="K10" i="1"/>
  <c r="H174" i="1"/>
  <c r="H184" i="1" s="1"/>
  <c r="H187" i="1" s="1"/>
  <c r="H127" i="1"/>
  <c r="H154" i="1"/>
  <c r="F93" i="1" l="1"/>
  <c r="F97" i="1" s="1"/>
  <c r="Q7" i="1"/>
  <c r="Q10" i="1" s="1"/>
  <c r="R5" i="1"/>
  <c r="R7" i="1" s="1"/>
  <c r="R8" i="1" s="1"/>
  <c r="J79" i="1"/>
  <c r="F80" i="1"/>
  <c r="F94" i="1"/>
  <c r="F96" i="1"/>
  <c r="E97" i="1"/>
  <c r="E100" i="1" s="1"/>
  <c r="E102" i="1" s="1"/>
  <c r="E96" i="1"/>
  <c r="D94" i="1"/>
  <c r="D96" i="1"/>
  <c r="P64" i="1"/>
  <c r="E94" i="1"/>
  <c r="T208" i="1"/>
  <c r="T212" i="1"/>
  <c r="T219" i="1"/>
  <c r="D47" i="1"/>
  <c r="D49" i="1"/>
  <c r="T100" i="1"/>
  <c r="T187" i="1" s="1"/>
  <c r="T102" i="1"/>
  <c r="D45" i="1"/>
  <c r="D97" i="1"/>
  <c r="D100" i="1" s="1"/>
  <c r="D102" i="1" s="1"/>
  <c r="E49" i="1"/>
  <c r="E14" i="1"/>
  <c r="E10" i="1"/>
  <c r="F39" i="1"/>
  <c r="F54" i="1"/>
  <c r="F60" i="1"/>
  <c r="F49" i="1"/>
  <c r="F14" i="1"/>
  <c r="E47" i="1"/>
  <c r="F35" i="1"/>
  <c r="E54" i="1"/>
  <c r="E37" i="1"/>
  <c r="E12" i="1"/>
  <c r="E60" i="1"/>
  <c r="F33" i="1"/>
  <c r="F62" i="1" s="1"/>
  <c r="E39" i="1"/>
  <c r="F37" i="1"/>
  <c r="I54" i="1"/>
  <c r="I60" i="1"/>
  <c r="E45" i="1"/>
  <c r="F47" i="1"/>
  <c r="H37" i="1"/>
  <c r="H62" i="1"/>
  <c r="H55" i="1"/>
  <c r="H61" i="1"/>
  <c r="F41" i="1"/>
  <c r="F43" i="1" s="1"/>
  <c r="E43" i="1"/>
  <c r="F10" i="1"/>
  <c r="J12" i="1"/>
  <c r="J60" i="1"/>
  <c r="J54" i="1"/>
  <c r="F12" i="1"/>
  <c r="F100" i="1"/>
  <c r="F102" i="1" s="1"/>
  <c r="F98" i="1"/>
  <c r="L10" i="1"/>
  <c r="L60" i="1"/>
  <c r="L64" i="1" s="1"/>
  <c r="M47" i="1"/>
  <c r="M60" i="1"/>
  <c r="D12" i="1"/>
  <c r="D60" i="1"/>
  <c r="D35" i="1"/>
  <c r="D62" i="1"/>
  <c r="N47" i="1"/>
  <c r="K64" i="1"/>
  <c r="J47" i="1"/>
  <c r="J45" i="1"/>
  <c r="J49" i="1"/>
  <c r="J39" i="1"/>
  <c r="J35" i="1"/>
  <c r="J37" i="1"/>
  <c r="U217" i="1"/>
  <c r="M10" i="1"/>
  <c r="P55" i="1"/>
  <c r="L68" i="1"/>
  <c r="N12" i="1"/>
  <c r="I39" i="1"/>
  <c r="N10" i="1"/>
  <c r="N14" i="1"/>
  <c r="J14" i="1"/>
  <c r="J10" i="1"/>
  <c r="N54" i="1"/>
  <c r="L45" i="1"/>
  <c r="L49" i="1"/>
  <c r="L47" i="1"/>
  <c r="M14" i="1"/>
  <c r="L55" i="1"/>
  <c r="M45" i="1"/>
  <c r="I56" i="1"/>
  <c r="J31" i="1"/>
  <c r="J56" i="1" s="1"/>
  <c r="M56" i="1"/>
  <c r="H47" i="1"/>
  <c r="H45" i="1"/>
  <c r="M43" i="1"/>
  <c r="M61" i="1" s="1"/>
  <c r="N41" i="1"/>
  <c r="N43" i="1" s="1"/>
  <c r="U208" i="1"/>
  <c r="I49" i="1"/>
  <c r="H49" i="1"/>
  <c r="M12" i="1"/>
  <c r="M54" i="1"/>
  <c r="U219" i="1"/>
  <c r="I43" i="1"/>
  <c r="J41" i="1"/>
  <c r="J43" i="1" s="1"/>
  <c r="J61" i="1" s="1"/>
  <c r="N45" i="1"/>
  <c r="N49" i="1"/>
  <c r="M49" i="1"/>
  <c r="I33" i="1"/>
  <c r="I62" i="1" s="1"/>
  <c r="W208" i="1"/>
  <c r="Z220" i="1"/>
  <c r="I47" i="1"/>
  <c r="I14" i="1"/>
  <c r="I37" i="1"/>
  <c r="I12" i="1"/>
  <c r="I35" i="1"/>
  <c r="I10" i="1"/>
  <c r="H54" i="1"/>
  <c r="W212" i="1"/>
  <c r="L14" i="1"/>
  <c r="L12" i="1"/>
  <c r="P54" i="1"/>
  <c r="V217" i="1"/>
  <c r="V208" i="1"/>
  <c r="W217" i="1"/>
  <c r="V219" i="1"/>
  <c r="U94" i="1"/>
  <c r="U97" i="1"/>
  <c r="D10" i="1"/>
  <c r="J80" i="1"/>
  <c r="L54" i="1"/>
  <c r="J93" i="1"/>
  <c r="J85" i="1"/>
  <c r="D68" i="1"/>
  <c r="D37" i="1"/>
  <c r="D14" i="1"/>
  <c r="D39" i="1"/>
  <c r="H39" i="1"/>
  <c r="P220" i="1"/>
  <c r="P212" i="1" s="1"/>
  <c r="H35" i="1"/>
  <c r="H14" i="1"/>
  <c r="H12" i="1"/>
  <c r="H10" i="1"/>
  <c r="E220" i="1"/>
  <c r="E219" i="1" s="1"/>
  <c r="I220" i="1"/>
  <c r="I208" i="1" s="1"/>
  <c r="H198" i="1"/>
  <c r="H201" i="1" s="1"/>
  <c r="H188" i="1"/>
  <c r="H155" i="1"/>
  <c r="R10" i="1" l="1"/>
  <c r="E98" i="1"/>
  <c r="D98" i="1"/>
  <c r="H64" i="1"/>
  <c r="I55" i="1"/>
  <c r="I61" i="1"/>
  <c r="I64" i="1" s="1"/>
  <c r="J55" i="1"/>
  <c r="F68" i="1"/>
  <c r="F61" i="1"/>
  <c r="F64" i="1" s="1"/>
  <c r="F55" i="1"/>
  <c r="E55" i="1"/>
  <c r="E61" i="1"/>
  <c r="E64" i="1" s="1"/>
  <c r="E68" i="1"/>
  <c r="D64" i="1"/>
  <c r="M64" i="1"/>
  <c r="M55" i="1"/>
  <c r="N55" i="1"/>
  <c r="N56" i="1"/>
  <c r="J33" i="1"/>
  <c r="J62" i="1" s="1"/>
  <c r="J64" i="1" s="1"/>
  <c r="U100" i="1"/>
  <c r="U187" i="1" s="1"/>
  <c r="U102" i="1"/>
  <c r="U98" i="1"/>
  <c r="J94" i="1"/>
  <c r="J97" i="1"/>
  <c r="P217" i="1"/>
  <c r="P219" i="1"/>
  <c r="E212" i="1"/>
  <c r="E208" i="1"/>
  <c r="P208" i="1"/>
  <c r="E217" i="1"/>
  <c r="I212" i="1"/>
  <c r="I219" i="1"/>
  <c r="I217" i="1"/>
  <c r="J100" i="1" l="1"/>
  <c r="J98" i="1"/>
  <c r="G197" i="1"/>
  <c r="G181" i="1"/>
  <c r="G183" i="1" s="1"/>
  <c r="G172" i="1"/>
  <c r="G167" i="1"/>
  <c r="G153" i="1"/>
  <c r="G142" i="1"/>
  <c r="G132" i="1"/>
  <c r="G134" i="1" s="1"/>
  <c r="G126" i="1"/>
  <c r="G116" i="1"/>
  <c r="G105" i="1"/>
  <c r="G91" i="1"/>
  <c r="K91" i="1"/>
  <c r="I197" i="1"/>
  <c r="I182" i="1"/>
  <c r="I183" i="1" s="1"/>
  <c r="I172" i="1"/>
  <c r="I167" i="1"/>
  <c r="M199" i="1"/>
  <c r="L199" i="1"/>
  <c r="M197" i="1"/>
  <c r="J188" i="1"/>
  <c r="M183" i="1"/>
  <c r="M172" i="1"/>
  <c r="M166" i="1"/>
  <c r="M167" i="1" s="1"/>
  <c r="U153" i="1"/>
  <c r="U142" i="1"/>
  <c r="U132" i="1"/>
  <c r="U157" i="1" s="1"/>
  <c r="U126" i="1"/>
  <c r="U116" i="1"/>
  <c r="H105" i="1"/>
  <c r="H91" i="1"/>
  <c r="L197" i="1"/>
  <c r="L183" i="1"/>
  <c r="L172" i="1"/>
  <c r="L167" i="1"/>
  <c r="K197" i="1"/>
  <c r="K183" i="1"/>
  <c r="K167" i="1"/>
  <c r="K172" i="1"/>
  <c r="O167" i="1"/>
  <c r="O172" i="1"/>
  <c r="O183" i="1"/>
  <c r="O197" i="1"/>
  <c r="P197" i="1"/>
  <c r="P183" i="1"/>
  <c r="P172" i="1"/>
  <c r="P167" i="1"/>
  <c r="V116" i="1"/>
  <c r="C21" i="2"/>
  <c r="V197" i="1"/>
  <c r="W197" i="1"/>
  <c r="V181" i="1"/>
  <c r="V183" i="1" s="1"/>
  <c r="W183" i="1"/>
  <c r="V167" i="1"/>
  <c r="V172" i="1"/>
  <c r="W166" i="1"/>
  <c r="W167" i="1" s="1"/>
  <c r="C12" i="2" a="1"/>
  <c r="C12" i="2" s="1"/>
  <c r="I95" i="2"/>
  <c r="I97" i="2" l="1"/>
  <c r="I48" i="2"/>
  <c r="I50" i="2" s="1"/>
  <c r="I72" i="2"/>
  <c r="I23" i="2"/>
  <c r="I25" i="2" s="1"/>
  <c r="U134" i="1"/>
  <c r="H80" i="1"/>
  <c r="H84" i="1"/>
  <c r="G80" i="1"/>
  <c r="G84" i="1"/>
  <c r="M174" i="1"/>
  <c r="M184" i="1" s="1"/>
  <c r="I174" i="1"/>
  <c r="I184" i="1" s="1"/>
  <c r="I187" i="1" s="1"/>
  <c r="G174" i="1"/>
  <c r="G184" i="1" s="1"/>
  <c r="G187" i="1" s="1"/>
  <c r="G154" i="1"/>
  <c r="P174" i="1"/>
  <c r="P198" i="1" s="1"/>
  <c r="P201" i="1" s="1"/>
  <c r="L174" i="1"/>
  <c r="L184" i="1" s="1"/>
  <c r="G127" i="1"/>
  <c r="U127" i="1"/>
  <c r="U154" i="1"/>
  <c r="V174" i="1"/>
  <c r="W174" i="1"/>
  <c r="Z174" i="1" s="1"/>
  <c r="K174" i="1"/>
  <c r="O174" i="1"/>
  <c r="O184" i="1" s="1"/>
  <c r="C3" i="2" a="1"/>
  <c r="C3" i="2" s="1"/>
  <c r="V153" i="1"/>
  <c r="V142" i="1"/>
  <c r="V132" i="1"/>
  <c r="V157" i="1" s="1"/>
  <c r="V126" i="1"/>
  <c r="N116" i="1"/>
  <c r="M116" i="1"/>
  <c r="L116" i="1"/>
  <c r="K116" i="1"/>
  <c r="J116" i="1"/>
  <c r="I116" i="1"/>
  <c r="N126" i="1"/>
  <c r="M126" i="1"/>
  <c r="L126" i="1"/>
  <c r="K126" i="1"/>
  <c r="J126" i="1"/>
  <c r="I126" i="1"/>
  <c r="N132" i="1"/>
  <c r="N134" i="1" s="1"/>
  <c r="M132" i="1"/>
  <c r="L132" i="1"/>
  <c r="L134" i="1" s="1"/>
  <c r="K132" i="1"/>
  <c r="K134" i="1" s="1"/>
  <c r="J132" i="1"/>
  <c r="J134" i="1" s="1"/>
  <c r="I132" i="1"/>
  <c r="I134" i="1" s="1"/>
  <c r="N142" i="1"/>
  <c r="M142" i="1"/>
  <c r="L142" i="1"/>
  <c r="K142" i="1"/>
  <c r="J142" i="1"/>
  <c r="I142" i="1"/>
  <c r="N153" i="1"/>
  <c r="M153" i="1"/>
  <c r="L153" i="1"/>
  <c r="K153" i="1"/>
  <c r="J153" i="1"/>
  <c r="I153" i="1"/>
  <c r="W153" i="1"/>
  <c r="W142" i="1"/>
  <c r="W132" i="1"/>
  <c r="W157" i="1" s="1"/>
  <c r="W126" i="1"/>
  <c r="W116" i="1"/>
  <c r="O153" i="1"/>
  <c r="P153" i="1"/>
  <c r="O142" i="1"/>
  <c r="P142" i="1"/>
  <c r="O132" i="1"/>
  <c r="O116" i="1"/>
  <c r="O126" i="1"/>
  <c r="P126" i="1"/>
  <c r="P116" i="1"/>
  <c r="N101" i="1"/>
  <c r="N99" i="1"/>
  <c r="R99" i="1" s="1"/>
  <c r="N95" i="1"/>
  <c r="R95" i="1" s="1"/>
  <c r="N92" i="1"/>
  <c r="N87" i="1"/>
  <c r="N89" i="1"/>
  <c r="R89" i="1" s="1"/>
  <c r="N90" i="1"/>
  <c r="R90" i="1" s="1"/>
  <c r="N86" i="1"/>
  <c r="R86" i="1" s="1"/>
  <c r="N82" i="1"/>
  <c r="R82" i="1" s="1"/>
  <c r="N71" i="1"/>
  <c r="R71" i="1" s="1"/>
  <c r="N72" i="1"/>
  <c r="R72" i="1" s="1"/>
  <c r="N73" i="1"/>
  <c r="R73" i="1" s="1"/>
  <c r="N74" i="1"/>
  <c r="R74" i="1" s="1"/>
  <c r="N75" i="1"/>
  <c r="R75" i="1" s="1"/>
  <c r="N76" i="1"/>
  <c r="R76" i="1" s="1"/>
  <c r="N69" i="1"/>
  <c r="R69" i="1" s="1"/>
  <c r="I105" i="1"/>
  <c r="I91" i="1"/>
  <c r="M91" i="1"/>
  <c r="V105" i="1"/>
  <c r="W105" i="1"/>
  <c r="V78" i="1"/>
  <c r="V79" i="1" s="1"/>
  <c r="W78" i="1"/>
  <c r="O91" i="1"/>
  <c r="P84" i="1"/>
  <c r="L91" i="1"/>
  <c r="P91" i="1"/>
  <c r="C37" i="2" l="1"/>
  <c r="C4" i="2"/>
  <c r="C5" i="2" s="1"/>
  <c r="C10" i="2" s="1"/>
  <c r="R87" i="1"/>
  <c r="R91" i="1" s="1"/>
  <c r="N88" i="1"/>
  <c r="I98" i="2"/>
  <c r="I96" i="2"/>
  <c r="I74" i="2"/>
  <c r="I75" i="2" s="1"/>
  <c r="I73" i="2"/>
  <c r="I49" i="2"/>
  <c r="I51" i="2"/>
  <c r="I26" i="2"/>
  <c r="D1" i="2"/>
  <c r="I24" i="2"/>
  <c r="M187" i="1"/>
  <c r="M134" i="1"/>
  <c r="M157" i="1"/>
  <c r="O187" i="1"/>
  <c r="O185" i="1"/>
  <c r="L187" i="1"/>
  <c r="R70" i="1"/>
  <c r="Z105" i="1"/>
  <c r="W79" i="1"/>
  <c r="R78" i="1"/>
  <c r="R79" i="1" s="1"/>
  <c r="R77" i="1"/>
  <c r="N105" i="1"/>
  <c r="R101" i="1"/>
  <c r="R105" i="1" s="1"/>
  <c r="R106" i="1" s="1"/>
  <c r="N78" i="1"/>
  <c r="N79" i="1" s="1"/>
  <c r="N70" i="1"/>
  <c r="D11" i="2"/>
  <c r="O134" i="1"/>
  <c r="C9" i="5" s="1"/>
  <c r="O157" i="1"/>
  <c r="C15" i="2"/>
  <c r="C16" i="2" s="1"/>
  <c r="P157" i="1"/>
  <c r="V134" i="1"/>
  <c r="W134" i="1"/>
  <c r="C5" i="5"/>
  <c r="N63" i="1"/>
  <c r="N62" i="1"/>
  <c r="N60" i="1"/>
  <c r="N61" i="1"/>
  <c r="G188" i="1"/>
  <c r="G198" i="1"/>
  <c r="G201" i="1" s="1"/>
  <c r="L80" i="1"/>
  <c r="L84" i="1"/>
  <c r="K80" i="1"/>
  <c r="K84" i="1"/>
  <c r="M188" i="1"/>
  <c r="O80" i="1"/>
  <c r="O84" i="1"/>
  <c r="V80" i="1"/>
  <c r="V84" i="1"/>
  <c r="M198" i="1"/>
  <c r="M201" i="1" s="1"/>
  <c r="M80" i="1"/>
  <c r="M84" i="1"/>
  <c r="W84" i="1"/>
  <c r="P188" i="1"/>
  <c r="I80" i="1"/>
  <c r="I84" i="1"/>
  <c r="N77" i="1"/>
  <c r="N58" i="1" s="1"/>
  <c r="I198" i="1"/>
  <c r="I201" i="1" s="1"/>
  <c r="N57" i="1"/>
  <c r="I188" i="1"/>
  <c r="G155" i="1"/>
  <c r="V184" i="1"/>
  <c r="V186" i="1" s="1"/>
  <c r="V188" i="1"/>
  <c r="L198" i="1"/>
  <c r="L201" i="1" s="1"/>
  <c r="W198" i="1"/>
  <c r="W201" i="1" s="1"/>
  <c r="W188" i="1"/>
  <c r="P184" i="1"/>
  <c r="U155" i="1"/>
  <c r="G85" i="1"/>
  <c r="G93" i="1"/>
  <c r="L188" i="1"/>
  <c r="O198" i="1"/>
  <c r="O201" i="1" s="1"/>
  <c r="O188" i="1"/>
  <c r="K184" i="1"/>
  <c r="L185" i="1" s="1"/>
  <c r="K188" i="1"/>
  <c r="V198" i="1"/>
  <c r="V201" i="1" s="1"/>
  <c r="H85" i="1"/>
  <c r="H93" i="1"/>
  <c r="W184" i="1"/>
  <c r="N184" i="1" s="1"/>
  <c r="L154" i="1"/>
  <c r="N154" i="1"/>
  <c r="K198" i="1"/>
  <c r="K201" i="1" s="1"/>
  <c r="I154" i="1"/>
  <c r="J127" i="1"/>
  <c r="I127" i="1"/>
  <c r="P154" i="1"/>
  <c r="J154" i="1"/>
  <c r="P127" i="1"/>
  <c r="V154" i="1"/>
  <c r="P134" i="1"/>
  <c r="K154" i="1"/>
  <c r="N127" i="1"/>
  <c r="W154" i="1"/>
  <c r="K127" i="1"/>
  <c r="L127" i="1"/>
  <c r="M154" i="1"/>
  <c r="W127" i="1"/>
  <c r="Z127" i="1" s="1"/>
  <c r="M127" i="1"/>
  <c r="V127" i="1"/>
  <c r="O154" i="1"/>
  <c r="O127" i="1"/>
  <c r="N91" i="1"/>
  <c r="W81" i="1"/>
  <c r="W80" i="1"/>
  <c r="P80" i="1"/>
  <c r="P81" i="1"/>
  <c r="P93" i="1"/>
  <c r="E10" i="2" l="1"/>
  <c r="Z65" i="1"/>
  <c r="L83" i="2"/>
  <c r="L84" i="2"/>
  <c r="L85" i="2"/>
  <c r="L86" i="2"/>
  <c r="L87" i="2"/>
  <c r="L60" i="2"/>
  <c r="L61" i="2"/>
  <c r="L62" i="2"/>
  <c r="L63" i="2"/>
  <c r="L64" i="2"/>
  <c r="L35" i="2"/>
  <c r="L37" i="2"/>
  <c r="L36" i="2"/>
  <c r="L39" i="2"/>
  <c r="L38" i="2"/>
  <c r="P185" i="1"/>
  <c r="R184" i="1"/>
  <c r="D5" i="2"/>
  <c r="C23" i="2"/>
  <c r="L12" i="2"/>
  <c r="L13" i="2"/>
  <c r="L14" i="2"/>
  <c r="L10" i="2"/>
  <c r="L11" i="2"/>
  <c r="K187" i="1"/>
  <c r="K185" i="1"/>
  <c r="N185" i="1"/>
  <c r="M185" i="1"/>
  <c r="P187" i="1"/>
  <c r="Q185" i="1"/>
  <c r="D10" i="2"/>
  <c r="C13" i="2"/>
  <c r="R80" i="1"/>
  <c r="R84" i="1"/>
  <c r="C19" i="2"/>
  <c r="C20" i="2" s="1"/>
  <c r="W186" i="1"/>
  <c r="P94" i="1"/>
  <c r="M85" i="1"/>
  <c r="N64" i="1"/>
  <c r="N80" i="1"/>
  <c r="N84" i="1"/>
  <c r="C3" i="5" s="1"/>
  <c r="I155" i="1"/>
  <c r="G94" i="1"/>
  <c r="G97" i="1"/>
  <c r="J155" i="1"/>
  <c r="N155" i="1"/>
  <c r="H94" i="1"/>
  <c r="H97" i="1"/>
  <c r="L155" i="1"/>
  <c r="P155" i="1"/>
  <c r="V155" i="1"/>
  <c r="K155" i="1"/>
  <c r="W155" i="1"/>
  <c r="M155" i="1"/>
  <c r="M81" i="1"/>
  <c r="O155" i="1"/>
  <c r="M93" i="1"/>
  <c r="M96" i="1" s="1"/>
  <c r="I81" i="1"/>
  <c r="V81" i="1"/>
  <c r="W85" i="1"/>
  <c r="W93" i="1"/>
  <c r="W96" i="1" s="1"/>
  <c r="K81" i="1"/>
  <c r="K93" i="1"/>
  <c r="O93" i="1"/>
  <c r="O96" i="1" s="1"/>
  <c r="O81" i="1"/>
  <c r="L81" i="1"/>
  <c r="L93" i="1"/>
  <c r="L85" i="1"/>
  <c r="P85" i="1"/>
  <c r="P97" i="1"/>
  <c r="P98" i="1" s="1"/>
  <c r="R186" i="1" l="1"/>
  <c r="R185" i="1"/>
  <c r="C15" i="5"/>
  <c r="R85" i="1"/>
  <c r="R93" i="1"/>
  <c r="L94" i="1"/>
  <c r="L96" i="1"/>
  <c r="K94" i="1"/>
  <c r="K96" i="1"/>
  <c r="N85" i="1"/>
  <c r="O94" i="1"/>
  <c r="G100" i="1"/>
  <c r="G102" i="1" s="1"/>
  <c r="G98" i="1"/>
  <c r="H100" i="1"/>
  <c r="H102" i="1" s="1"/>
  <c r="H98" i="1"/>
  <c r="N93" i="1"/>
  <c r="N96" i="1" s="1"/>
  <c r="M97" i="1"/>
  <c r="M94" i="1"/>
  <c r="W97" i="1"/>
  <c r="W102" i="1" s="1"/>
  <c r="W94" i="1"/>
  <c r="I85" i="1"/>
  <c r="I93" i="1"/>
  <c r="I97" i="1" s="1"/>
  <c r="V85" i="1"/>
  <c r="V93" i="1"/>
  <c r="V96" i="1" s="1"/>
  <c r="K97" i="1"/>
  <c r="K98" i="1" s="1"/>
  <c r="K85" i="1"/>
  <c r="O97" i="1"/>
  <c r="O98" i="1" s="1"/>
  <c r="O85" i="1"/>
  <c r="P102" i="1"/>
  <c r="P100" i="1"/>
  <c r="L97" i="1"/>
  <c r="R94" i="1" l="1"/>
  <c r="R97" i="1"/>
  <c r="R96" i="1"/>
  <c r="L100" i="1"/>
  <c r="L102" i="1" s="1"/>
  <c r="L98" i="1"/>
  <c r="I100" i="1"/>
  <c r="I102" i="1" s="1"/>
  <c r="I98" i="1"/>
  <c r="M100" i="1"/>
  <c r="M102" i="1" s="1"/>
  <c r="M98" i="1"/>
  <c r="W100" i="1"/>
  <c r="Z100" i="1" s="1"/>
  <c r="W98" i="1"/>
  <c r="N97" i="1"/>
  <c r="N98" i="1" s="1"/>
  <c r="N94" i="1"/>
  <c r="V97" i="1"/>
  <c r="V100" i="1" s="1"/>
  <c r="V187" i="1" s="1"/>
  <c r="V94" i="1"/>
  <c r="K100" i="1"/>
  <c r="O100" i="1"/>
  <c r="O102" i="1"/>
  <c r="R98" i="1" l="1"/>
  <c r="R102" i="1"/>
  <c r="R100" i="1"/>
  <c r="R187" i="1" s="1"/>
  <c r="W187" i="1"/>
  <c r="V102" i="1"/>
  <c r="V98" i="1"/>
  <c r="N102" i="1"/>
  <c r="N100" i="1"/>
  <c r="K10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tc={06384A41-FF19-47F0-BBE2-050FFEA8EB09}</author>
  </authors>
  <commentList>
    <comment ref="C24" authorId="0" shapeId="0" xr:uid="{06384A41-FF19-47F0-BBE2-050FFEA8EB09}">
      <text>
        <t xml:space="preserve">[Threaded comment]
Your version of Excel allows you to read this threaded comment; however, any edits to it will get removed if the file is opened in a newer version of Excel. Learn more: https://go.microsoft.com/fwlink/?linkid=870924
Comment:
     the company now holds contracted sales of over EUR 7 billion. At the same time, its engagement in the space and defence sectors continues to grow steadily, underlining its ambition to set global standards as a fully integrated technology partner for OEMs and Tier 1s.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tc={822FB549-6D27-41DC-B265-7A849D7C1926}</author>
    <author>tc={54A65A63-393E-4E2D-AB1E-AC4F33521733}</author>
    <author>tc={CB975CA5-D8AB-4BFB-9251-5FF6B24EE8C7}</author>
    <author>tc={9B4CC1BB-71E6-4F33-8DDA-DB0F92FDEE2E}</author>
    <author>tc={99D0B89C-8901-4FE6-9E9D-B67AAB6671D7}</author>
    <author>tc={8C3371CA-2F1A-4C7A-BF41-796A6DDB5D50}</author>
    <author>tc={3ABDD7F8-B000-4CB1-8CB2-BB5F34A4B7E1}</author>
    <author>tc={C77864BA-CDBE-4195-B69D-11681FB11290}</author>
    <author>tc={3F0DA0D9-DBD9-42D7-8149-A5F3E988E458}</author>
    <author>tc={8D47683C-8E98-424E-82EE-65B90DC729B9}</author>
    <author>tc={4E474365-C684-4704-B8B5-7906360034F0}</author>
    <author>tc={B0BED374-032F-43D7-8BBA-904D2C54AAC9}</author>
    <author>tc={F744BFDB-2D00-442C-9869-18CAAF3DC2B9}</author>
    <author>tc={C030D4BD-54B5-4995-B184-24B822DE184B}</author>
    <author>tc={F5E945FC-37BC-4642-BA54-246CFE8B033A}</author>
    <author>tc={3B2D5633-D5C8-4A42-B738-E885FE845875}</author>
  </authors>
  <commentList>
    <comment ref="K2" authorId="0" shapeId="0" xr:uid="{822FB549-6D27-41DC-B265-7A849D7C1926}">
      <text>
        <t>[Threaded comment]
Your version of Excel allows you to read this threaded comment; however, any edits to it will get removed if the file is opened in a newer version of Excel. Learn more: https://go.microsoft.com/fwlink/?linkid=870924
Comment:
    Restated</t>
      </text>
    </comment>
    <comment ref="AA5" authorId="1" shapeId="0" xr:uid="{54A65A63-393E-4E2D-AB1E-AC4F33521733}">
      <text>
        <t>[Threaded comment]
Your version of Excel allows you to read this threaded comment; however, any edits to it will get removed if the file is opened in a newer version of Excel. Learn more: https://go.microsoft.com/fwlink/?linkid=870924
Comment:
    Management guided in March 2026</t>
      </text>
    </comment>
    <comment ref="R8" authorId="2" shapeId="0" xr:uid="{CB975CA5-D8AB-4BFB-9251-5FF6B24EE8C7}">
      <text>
        <t xml:space="preserve">[Threaded comment]
Your version of Excel allows you to read this threaded comment; however, any edits to it will get removed if the file is opened in a newer version of Excel. Learn more: https://go.microsoft.com/fwlink/?linkid=870924
Comment:
    Vs FY 2024
</t>
      </text>
    </comment>
    <comment ref="W51" authorId="3" shapeId="0" xr:uid="{9B4CC1BB-71E6-4F33-8DDA-DB0F92FDEE2E}">
      <text>
        <t xml:space="preserve">[Threaded comment]
Your version of Excel allows you to read this threaded comment; however, any edits to it will get removed if the file is opened in a newer version of Excel. Learn more: https://go.microsoft.com/fwlink/?linkid=870924
Comment:
    Represents Alpine metal Tech segment. Then labeled under “All other segments” prior to 2025. </t>
      </text>
    </comment>
    <comment ref="K68" authorId="4" shapeId="0" xr:uid="{99D0B89C-8901-4FE6-9E9D-B67AAB6671D7}">
      <text>
        <t>[Threaded comment]
Your version of Excel allows you to read this threaded comment; however, any edits to it will get removed if the file is opened in a newer version of Excel. Learn more: https://go.microsoft.com/fwlink/?linkid=870924
Comment:
    Old figures, pre-restatement</t>
      </text>
    </comment>
    <comment ref="L68" authorId="5" shapeId="0" xr:uid="{8C3371CA-2F1A-4C7A-BF41-796A6DDB5D50}">
      <text>
        <t>[Threaded comment]
Your version of Excel allows you to read this threaded comment; however, any edits to it will get removed if the file is opened in a newer version of Excel. Learn more: https://go.microsoft.com/fwlink/?linkid=870924
Comment:
    Old figures, pre-restatement</t>
      </text>
    </comment>
    <comment ref="R70" authorId="6" shapeId="0" xr:uid="{3ABDD7F8-B000-4CB1-8CB2-BB5F34A4B7E1}">
      <text>
        <t xml:space="preserve">[Threaded comment]
Your version of Excel allows you to read this threaded comment; however, any edits to it will get removed if the file is opened in a newer version of Excel. Learn more: https://go.microsoft.com/fwlink/?linkid=870924
Comment:
    Vs FY 2024
</t>
      </text>
    </comment>
    <comment ref="R79" authorId="7" shapeId="0" xr:uid="{C77864BA-CDBE-4195-B69D-11681FB11290}">
      <text>
        <t xml:space="preserve">[Threaded comment]
Your version of Excel allows you to read this threaded comment; however, any edits to it will get removed if the file is opened in a newer version of Excel. Learn more: https://go.microsoft.com/fwlink/?linkid=870924
Comment:
    Vs FY 2024
</t>
      </text>
    </comment>
    <comment ref="L100" authorId="8" shapeId="0" xr:uid="{3F0DA0D9-DBD9-42D7-8149-A5F3E988E458}">
      <text>
        <t>[Threaded comment]
Your version of Excel allows you to read this threaded comment; however, any edits to it will get removed if the file is opened in a newer version of Excel. Learn more: https://go.microsoft.com/fwlink/?linkid=870924
Comment:
    Oh my gosh. Why such a high charge from discontinued?</t>
      </text>
    </comment>
    <comment ref="P100" authorId="9" shapeId="0" xr:uid="{8D47683C-8E98-424E-82EE-65B90DC729B9}">
      <text>
        <t>[Threaded comment]
Your version of Excel allows you to read this threaded comment; however, any edits to it will get removed if the file is opened in a newer version of Excel. Learn more: https://go.microsoft.com/fwlink/?linkid=870924
Comment:
    Oh my gosh. Why such a high charge from discontinued?</t>
      </text>
    </comment>
    <comment ref="P105" authorId="10" shapeId="0" xr:uid="{4E474365-C684-4704-B8B5-7906360034F0}">
      <text>
        <t>[Threaded comment]
Your version of Excel allows you to read this threaded comment; however, any edits to it will get removed if the file is opened in a newer version of Excel. Learn more: https://go.microsoft.com/fwlink/?linkid=870924
Comment:
    Overridden</t>
      </text>
    </comment>
    <comment ref="R106" authorId="11" shapeId="0" xr:uid="{B0BED374-032F-43D7-8BBA-904D2C54AAC9}">
      <text>
        <t xml:space="preserve">[Threaded comment]
Your version of Excel allows you to read this threaded comment; however, any edits to it will get removed if the file is opened in a newer version of Excel. Learn more: https://go.microsoft.com/fwlink/?linkid=870924
Comment:
    Vs FY 2024
</t>
      </text>
    </comment>
    <comment ref="I141" authorId="12" shapeId="0" xr:uid="{F744BFDB-2D00-442C-9869-18CAAF3DC2B9}">
      <text>
        <t>[Threaded comment]
Your version of Excel allows you to read this threaded comment; however, any edits to it will get removed if the file is opened in a newer version of Excel. Learn more: https://go.microsoft.com/fwlink/?linkid=870924
Comment:
    Incl. Trade payables; liabilities from affiliates; and other</t>
      </text>
    </comment>
    <comment ref="U166" authorId="13" shapeId="0" xr:uid="{C030D4BD-54B5-4995-B184-24B822DE184B}">
      <text>
        <t>[Threaded comment]
Your version of Excel allows you to read this threaded comment; however, any edits to it will get removed if the file is opened in a newer version of Excel. Learn more: https://go.microsoft.com/fwlink/?linkid=870924
Comment:
    Also incl.: Gains from disposals of subsidiaries and “Bargain Purchase.” see p.100 of 156 in 2022 annual.</t>
      </text>
    </comment>
    <comment ref="P167" authorId="14" shapeId="0" xr:uid="{F5E945FC-37BC-4642-BA54-246CFE8B033A}">
      <text>
        <t>[Threaded comment]
Your version of Excel allows you to read this threaded comment; however, any edits to it will get removed if the file is opened in a newer version of Excel. Learn more: https://go.microsoft.com/fwlink/?linkid=870924
Comment:
    This is an error on the part of the company. They report Eur. 97,882</t>
      </text>
    </comment>
    <comment ref="U181" authorId="15" shapeId="0" xr:uid="{3B2D5633-D5C8-4A42-B738-E885FE845875}">
      <text>
        <t>[Threaded comment]
Your version of Excel allows you to read this threaded comment; however, any edits to it will get removed if the file is opened in a newer version of Excel. Learn more: https://go.microsoft.com/fwlink/?linkid=870924
Comment:
    “payments made for capital contribution to associates”</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
    <bk>
      <extLst>
        <ext uri="{3e2802c4-a4d2-4d8b-9148-e3be6c30e623}">
          <xlrd:rvb i="2"/>
        </ext>
      </extLst>
    </bk>
    <bk>
      <extLst>
        <ext uri="{3e2802c4-a4d2-4d8b-9148-e3be6c30e623}">
          <xlrd:rvb i="4"/>
        </ext>
      </extLst>
    </bk>
    <bk>
      <extLst>
        <ext uri="{3e2802c4-a4d2-4d8b-9148-e3be6c30e623}">
          <xlrd:rvb i="6"/>
        </ext>
      </extLst>
    </bk>
    <bk>
      <extLst>
        <ext uri="{3e2802c4-a4d2-4d8b-9148-e3be6c30e623}">
          <xlrd:rvb i="8"/>
        </ext>
      </extLst>
    </bk>
  </futureMetadata>
  <cellMetadata count="1">
    <bk>
      <rc t="1" v="0"/>
    </bk>
  </cellMetadata>
  <valueMetadata count="4">
    <bk>
      <rc t="2" v="0"/>
    </bk>
    <bk>
      <rc t="2" v="1"/>
    </bk>
    <bk>
      <rc t="2" v="2"/>
    </bk>
    <bk>
      <rc t="2" v="3"/>
    </bk>
  </valueMetadata>
</metadata>
</file>

<file path=xl/sharedStrings.xml><?xml version="1.0" encoding="utf-8"?>
<sst xmlns="http://schemas.openxmlformats.org/spreadsheetml/2006/main" count="452" uniqueCount="334">
  <si>
    <t>Q1'2024</t>
  </si>
  <si>
    <t>Q2'2025</t>
  </si>
  <si>
    <t>Q1'2025</t>
  </si>
  <si>
    <t>Q4'2024</t>
  </si>
  <si>
    <t>Q3'2024</t>
  </si>
  <si>
    <t>Q2'2024</t>
  </si>
  <si>
    <t>Q4'2023</t>
  </si>
  <si>
    <t>Q3'2023</t>
  </si>
  <si>
    <t>Net Sales</t>
  </si>
  <si>
    <t>Change in finished/unfinished goods</t>
  </si>
  <si>
    <t>Own work capitalized</t>
  </si>
  <si>
    <t>Other operating income</t>
  </si>
  <si>
    <t>Cost of materials, supplies and services</t>
  </si>
  <si>
    <t>Personnel expenses</t>
  </si>
  <si>
    <t>Other operating expenses</t>
  </si>
  <si>
    <t>margin%</t>
  </si>
  <si>
    <t>Depreciation &amp; Amortization</t>
  </si>
  <si>
    <t>Income tax expense</t>
  </si>
  <si>
    <t>Net Income</t>
  </si>
  <si>
    <t>Result attributable to owners of AG</t>
  </si>
  <si>
    <t xml:space="preserve">Non-controlling interest </t>
  </si>
  <si>
    <t>X</t>
  </si>
  <si>
    <t>PPE</t>
  </si>
  <si>
    <t>Equity-accounted investees</t>
  </si>
  <si>
    <t>other financial assets</t>
  </si>
  <si>
    <t>other receivables and assets</t>
  </si>
  <si>
    <t>Deferred tax assets</t>
  </si>
  <si>
    <t>Inventories</t>
  </si>
  <si>
    <t>Contract assets</t>
  </si>
  <si>
    <t>Trade receivables</t>
  </si>
  <si>
    <t>Income tax receivables</t>
  </si>
  <si>
    <t>Receivables from affiliated companies</t>
  </si>
  <si>
    <t>Cash &amp; equivalents</t>
  </si>
  <si>
    <t>Current assets</t>
  </si>
  <si>
    <t>Share capital</t>
  </si>
  <si>
    <t>Share premium</t>
  </si>
  <si>
    <t>Retained earnings</t>
  </si>
  <si>
    <t>Equity attributable to owners of AG</t>
  </si>
  <si>
    <t>Noncontrolling interests</t>
  </si>
  <si>
    <t>Total Assets</t>
  </si>
  <si>
    <t>Total Equity</t>
  </si>
  <si>
    <t>Loans &amp; borrowings</t>
  </si>
  <si>
    <t>Other financial liabilities</t>
  </si>
  <si>
    <t>Deferred tax liabilities</t>
  </si>
  <si>
    <t>Provisions</t>
  </si>
  <si>
    <t>Employee benefits</t>
  </si>
  <si>
    <t>Contract liabilities</t>
  </si>
  <si>
    <t>Other liabilities and accruals</t>
  </si>
  <si>
    <t>Tax liabilities</t>
  </si>
  <si>
    <t>Trade payables</t>
  </si>
  <si>
    <t>Liabilities from affilates</t>
  </si>
  <si>
    <t>Other ST liabilities &amp; accruals</t>
  </si>
  <si>
    <t>Currents</t>
  </si>
  <si>
    <t>Total Liabilities</t>
  </si>
  <si>
    <t>Check</t>
  </si>
  <si>
    <t>x</t>
  </si>
  <si>
    <t>Result before tax</t>
  </si>
  <si>
    <t>Net interest expense/income</t>
  </si>
  <si>
    <t>share of result of equity-accounted investees, net of tax</t>
  </si>
  <si>
    <t>Depreciation &amp; amortization</t>
  </si>
  <si>
    <t>Gains &amp; losses from disposals of PPE + intangibles</t>
  </si>
  <si>
    <t>Other non-cash income and expenses</t>
  </si>
  <si>
    <t>noncash addback subtotal</t>
  </si>
  <si>
    <t>Trade receivables &amp; other CA</t>
  </si>
  <si>
    <t>Provisions and liabilities for employee benefits</t>
  </si>
  <si>
    <t>Working capital subtotal</t>
  </si>
  <si>
    <t>Income taxes paid</t>
  </si>
  <si>
    <t>Operating Cash</t>
  </si>
  <si>
    <t>Acquisition of subsidiaries (net of cash)</t>
  </si>
  <si>
    <t>Disposal of discontinued operation</t>
  </si>
  <si>
    <t>Acquisition of intangibles &amp; PPE</t>
  </si>
  <si>
    <t>Disposal of intangibles &amp; PPE</t>
  </si>
  <si>
    <t>Loans granted to joint ventures</t>
  </si>
  <si>
    <t>Interest received</t>
  </si>
  <si>
    <t>Investing Cash</t>
  </si>
  <si>
    <t xml:space="preserve">Implied FCF </t>
  </si>
  <si>
    <t xml:space="preserve">Payments received for capital increase </t>
  </si>
  <si>
    <t>Payments of lease liabilities</t>
  </si>
  <si>
    <t>Interest paid</t>
  </si>
  <si>
    <t>Financing Cash</t>
  </si>
  <si>
    <t>Net Change in Cash</t>
  </si>
  <si>
    <t>Opening balance</t>
  </si>
  <si>
    <t>ForEx</t>
  </si>
  <si>
    <t>Closing Balance</t>
  </si>
  <si>
    <t>FY2024</t>
  </si>
  <si>
    <t>FY2023</t>
  </si>
  <si>
    <t>EBIT/Operating result</t>
  </si>
  <si>
    <t>Interest income</t>
  </si>
  <si>
    <t>Interest expenses</t>
  </si>
  <si>
    <t>Other financial income</t>
  </si>
  <si>
    <t>Other financial expenses</t>
  </si>
  <si>
    <t>Financial expenses</t>
  </si>
  <si>
    <t>Result from discotninued operation</t>
  </si>
  <si>
    <t>Net Income to continuing</t>
  </si>
  <si>
    <t>EPS -basic</t>
  </si>
  <si>
    <t>Price</t>
  </si>
  <si>
    <t>Recycling &amp; cast house (where recyclables ar emelted)</t>
  </si>
  <si>
    <t>Extrusion (shaping metals through a shaped die)</t>
  </si>
  <si>
    <t>Machining</t>
  </si>
  <si>
    <t>Surface Finishing (SF) Treatment &amp; painting</t>
  </si>
  <si>
    <t>Subassembly</t>
  </si>
  <si>
    <t>Engineering services/ Highly demanding aerostructures</t>
  </si>
  <si>
    <t>Debt</t>
  </si>
  <si>
    <t>Cash</t>
  </si>
  <si>
    <t>BV</t>
  </si>
  <si>
    <t>BVPS</t>
  </si>
  <si>
    <t>Shares outstanding</t>
  </si>
  <si>
    <t>P/BV</t>
  </si>
  <si>
    <t>P/E</t>
  </si>
  <si>
    <t>Assets held for sale</t>
  </si>
  <si>
    <t>Liabilities direcetly associated with assets held for sale</t>
  </si>
  <si>
    <t>FY2022</t>
  </si>
  <si>
    <t>Changes in fair value of investment property</t>
  </si>
  <si>
    <t>Measruement of financial assets</t>
  </si>
  <si>
    <t>Disposal of subsidiaries</t>
  </si>
  <si>
    <t>FCFPS (FY2024)</t>
  </si>
  <si>
    <t>Investment Properties</t>
  </si>
  <si>
    <t>Loans</t>
  </si>
  <si>
    <t>Intangible assets and goodwill (TEUR)</t>
  </si>
  <si>
    <t>Majority Shareholder - Dr. Michael Tojner</t>
  </si>
  <si>
    <t>Alpine Metal Tech GmbH - bought 47% interest in 2022. Bought rest of the shares in  8/19/2024. Has full ownership.</t>
  </si>
  <si>
    <t>Investees</t>
  </si>
  <si>
    <t>Belairbus NV</t>
  </si>
  <si>
    <t>Flabel Corporation NV</t>
  </si>
  <si>
    <t>BeLighting NV</t>
  </si>
  <si>
    <t>Alpine Metal Tech GmbH (wholly owned sub)</t>
  </si>
  <si>
    <t>Belairbus NV (129,000 Eur. BV on balance sheet)</t>
  </si>
  <si>
    <t>Reinach (Kanton Aargau, Schweiz)</t>
  </si>
  <si>
    <t>Wholly Owned</t>
  </si>
  <si>
    <t>Alpine Metal Tech</t>
  </si>
  <si>
    <t>CN|BR|DK|DE|AT|US|UK</t>
  </si>
  <si>
    <t>Asco Aerospace</t>
  </si>
  <si>
    <t>CA|US|DE|BE</t>
  </si>
  <si>
    <t>Company</t>
  </si>
  <si>
    <t xml:space="preserve">Countries </t>
  </si>
  <si>
    <t>Acquisition Price</t>
  </si>
  <si>
    <t>Multiple</t>
  </si>
  <si>
    <t>Description</t>
  </si>
  <si>
    <t xml:space="preserve">Special purpose machinery for steel, auto, aerospace, "lifecycle business." Product line incl. NUMTEC (aluminum wheel industry deburring); GEGA (autogenous touch cutting and scarfing) KNORR (optoelectronic measuring &amp; image processingsystems - rails); MAKRA (clamping devices &amp; testing aluminium wheels. AMAKON (conveyors); MAGNEMAG (paints and inkjets for plate pipe and long products); SIMULATION (fire training); INTERMATO (vertical lathes - machines for machining workpieces with diameters from 100mm to 6m). </t>
  </si>
  <si>
    <t xml:space="preserve">ASTA Group </t>
  </si>
  <si>
    <t>BA|US|CN|AT|IN</t>
  </si>
  <si>
    <t>Affiliated</t>
  </si>
  <si>
    <t>p.176 of 208 in 2024 annual</t>
  </si>
  <si>
    <t>PT  IMT Intermo Asia</t>
  </si>
  <si>
    <t>BeLighting</t>
  </si>
  <si>
    <t xml:space="preserve">Cefival S.A. (90% ownership; Persan FR) </t>
  </si>
  <si>
    <t>Flabel Corporation Nv</t>
  </si>
  <si>
    <t>GeGa GmbH</t>
  </si>
  <si>
    <t>Immobiliere Asco NV</t>
  </si>
  <si>
    <t>IMT Intermato SRL</t>
  </si>
  <si>
    <t>Industrie Captial Alpha GmbH</t>
  </si>
  <si>
    <t xml:space="preserve">Insulated Conductors and Enameled Wires NV </t>
  </si>
  <si>
    <t>NL</t>
  </si>
  <si>
    <t>MAKRA GmbH</t>
  </si>
  <si>
    <t xml:space="preserve">MTC Aerosystems </t>
  </si>
  <si>
    <t>HU| US</t>
  </si>
  <si>
    <t>PPE Fios Esmaitados S.A</t>
  </si>
  <si>
    <t>S.R.I.F. NV</t>
  </si>
  <si>
    <t>BE</t>
  </si>
  <si>
    <t xml:space="preserve">Simulation live Fire Training Solution Inc. </t>
  </si>
  <si>
    <t>US (Pittsburgh)</t>
  </si>
  <si>
    <t>Universal Alloy Corp</t>
  </si>
  <si>
    <t>SG|RO|VN|US (Georgia)</t>
  </si>
  <si>
    <t>Subsidiary</t>
  </si>
  <si>
    <t>ID</t>
  </si>
  <si>
    <t>Margin% pre tax</t>
  </si>
  <si>
    <t>Q2'2023</t>
  </si>
  <si>
    <t>Share of result of equity-accounted investees, net of tax</t>
  </si>
  <si>
    <t>Result Before Tax</t>
  </si>
  <si>
    <t>Other payments (payed) received for investing activities</t>
  </si>
  <si>
    <t xml:space="preserve">FCF Using company definition </t>
  </si>
  <si>
    <t>Q1'2023</t>
  </si>
  <si>
    <t>SEGMENT</t>
  </si>
  <si>
    <t>Aerostructures</t>
  </si>
  <si>
    <t>Intersegment</t>
  </si>
  <si>
    <t>EBITDA</t>
  </si>
  <si>
    <t>D&amp;A</t>
  </si>
  <si>
    <t>Investments</t>
  </si>
  <si>
    <t xml:space="preserve">E-Mobility </t>
  </si>
  <si>
    <t>Sales</t>
  </si>
  <si>
    <t>Energy</t>
  </si>
  <si>
    <t>Margin%</t>
  </si>
  <si>
    <t>Share of %</t>
  </si>
  <si>
    <t>Reconciliation</t>
  </si>
  <si>
    <t>Geographic Information</t>
  </si>
  <si>
    <t>Switzerland</t>
  </si>
  <si>
    <t>Germany</t>
  </si>
  <si>
    <t>Austria</t>
  </si>
  <si>
    <t>UK</t>
  </si>
  <si>
    <t>Turkiye</t>
  </si>
  <si>
    <t>France</t>
  </si>
  <si>
    <t>Finland</t>
  </si>
  <si>
    <t>Sweden</t>
  </si>
  <si>
    <t>Romania</t>
  </si>
  <si>
    <t>Russia</t>
  </si>
  <si>
    <t>Rest of Europe</t>
  </si>
  <si>
    <t>USA</t>
  </si>
  <si>
    <t xml:space="preserve">Canada </t>
  </si>
  <si>
    <t>Mexico</t>
  </si>
  <si>
    <t>Brazil</t>
  </si>
  <si>
    <t>Rest of Americas</t>
  </si>
  <si>
    <t>China</t>
  </si>
  <si>
    <t xml:space="preserve">India </t>
  </si>
  <si>
    <t>Vietnam</t>
  </si>
  <si>
    <t>Rest of Asia</t>
  </si>
  <si>
    <t>Africa &amp; Oceania</t>
  </si>
  <si>
    <t>Poland</t>
  </si>
  <si>
    <t>Slovenia</t>
  </si>
  <si>
    <t>Spain</t>
  </si>
  <si>
    <t>Italy</t>
  </si>
  <si>
    <t>DACH</t>
  </si>
  <si>
    <t>Eastern Europe</t>
  </si>
  <si>
    <t>Other EU</t>
  </si>
  <si>
    <t>Total Europe</t>
  </si>
  <si>
    <t>North America</t>
  </si>
  <si>
    <t>Total Amerias</t>
  </si>
  <si>
    <t>Latin America + Other</t>
  </si>
  <si>
    <t>Total Asia</t>
  </si>
  <si>
    <t>Inda</t>
  </si>
  <si>
    <t>Other Asia</t>
  </si>
  <si>
    <t>Other</t>
  </si>
  <si>
    <t>% of sales</t>
  </si>
  <si>
    <t>Q3'2022</t>
  </si>
  <si>
    <t>Q2'2022</t>
  </si>
  <si>
    <t>Q1'2022</t>
  </si>
  <si>
    <t>FY2021</t>
  </si>
  <si>
    <t>Growth Rates</t>
  </si>
  <si>
    <t>E-mobility</t>
  </si>
  <si>
    <t>Company Revenue</t>
  </si>
  <si>
    <t>Operating Costs</t>
  </si>
  <si>
    <t>Company OpEx</t>
  </si>
  <si>
    <t>Fuselage Floor Grid</t>
  </si>
  <si>
    <t>Fuselage Stringers</t>
  </si>
  <si>
    <t>Seat Track</t>
  </si>
  <si>
    <t>Engine Rings</t>
  </si>
  <si>
    <t>Wing Structures</t>
  </si>
  <si>
    <t>False Rail</t>
  </si>
  <si>
    <t>Seeking to divest energy segment at favorable point in market cycle</t>
  </si>
  <si>
    <t xml:space="preserve">Aerostructure Revenue target (FY2025): 850 Eur. </t>
  </si>
  <si>
    <r>
      <t>Aerostructures Product line</t>
    </r>
    <r>
      <rPr>
        <sz val="11"/>
        <color theme="1"/>
        <rFont val="Calibri"/>
        <family val="2"/>
      </rPr>
      <t>: Aluminum, titanium, Composites</t>
    </r>
  </si>
  <si>
    <t>Landing Gear (737), Engine parts (737), High Lift Mechanisms</t>
  </si>
  <si>
    <t>EV (Takeover value)</t>
  </si>
  <si>
    <t>Q4'2022</t>
  </si>
  <si>
    <t>Growth:</t>
  </si>
  <si>
    <t>EU</t>
  </si>
  <si>
    <t>Americas</t>
  </si>
  <si>
    <t>Asia</t>
  </si>
  <si>
    <t>Trade payables &amp; other CL</t>
  </si>
  <si>
    <t xml:space="preserve">Other </t>
  </si>
  <si>
    <t>Proceeds from issuance of ordinary</t>
  </si>
  <si>
    <t>Payments to IPO</t>
  </si>
  <si>
    <t>Share of rev%</t>
  </si>
  <si>
    <t>CAGR:</t>
  </si>
  <si>
    <t>Share of Total Revenue</t>
  </si>
  <si>
    <t>P/FCF</t>
  </si>
  <si>
    <t>35 offers on the table  - 39:00 on Q2 2025 call</t>
  </si>
  <si>
    <t>Non-redeemable loan</t>
  </si>
  <si>
    <t>Operating margin</t>
  </si>
  <si>
    <t>Return on Assets</t>
  </si>
  <si>
    <t>Return on Equity</t>
  </si>
  <si>
    <t>Revenue</t>
  </si>
  <si>
    <t>Gross Profit</t>
  </si>
  <si>
    <t>Total Debt/Equity</t>
  </si>
  <si>
    <t>Book Value Per Share</t>
  </si>
  <si>
    <t>52 Week Change</t>
  </si>
  <si>
    <t>Market Cap</t>
  </si>
  <si>
    <t>Trailing P/E</t>
  </si>
  <si>
    <t>Price/Sales</t>
  </si>
  <si>
    <t>Price/Book</t>
  </si>
  <si>
    <t>Effective tax rate</t>
  </si>
  <si>
    <t>4-year Revenue CAGR</t>
  </si>
  <si>
    <t>Debt-to-equity</t>
  </si>
  <si>
    <t>FY2025</t>
  </si>
  <si>
    <t>FY2025 EBITDA</t>
  </si>
  <si>
    <t>&lt;= gloabal manufacturer of structural components and assemblies; 4,300 headcount. Acquired by Montana Tech components</t>
  </si>
  <si>
    <r>
      <t xml:space="preserve">April 2022 Acquisition. Manufacture high-lift mechanisms and critical structure sub-assemblies. Portfolio: </t>
    </r>
    <r>
      <rPr>
        <b/>
        <u/>
        <sz val="11"/>
        <color theme="1"/>
        <rFont val="Calibri"/>
        <family val="2"/>
      </rPr>
      <t xml:space="preserve">large complex fuselage, wing and landing gear components. </t>
    </r>
    <r>
      <rPr>
        <b/>
        <sz val="11"/>
        <color theme="1"/>
        <rFont val="Calibri"/>
        <family val="2"/>
      </rPr>
      <t>Partnership with Lockheed Martin (F-35)</t>
    </r>
  </si>
  <si>
    <t xml:space="preserve">Backlog: </t>
  </si>
  <si>
    <t>Unknown</t>
  </si>
  <si>
    <t>EV/EBITDA</t>
  </si>
  <si>
    <t>Conversion from net income%</t>
  </si>
  <si>
    <t>Conversion from EBITDA%</t>
  </si>
  <si>
    <t>Consolidated IS</t>
  </si>
  <si>
    <t>Q3'2025</t>
  </si>
  <si>
    <t>Growth Y/Y</t>
  </si>
  <si>
    <t xml:space="preserve">Adjusted: </t>
  </si>
  <si>
    <t>TTM Figures</t>
  </si>
  <si>
    <t>Alt P/E</t>
  </si>
  <si>
    <t>Consolidated BS (€TEUR)</t>
  </si>
  <si>
    <t>Financials are presented in euros</t>
  </si>
  <si>
    <t>Weighted avg of ordinary shares (Eur)</t>
  </si>
  <si>
    <t>FY2026</t>
  </si>
  <si>
    <t>2026e</t>
  </si>
  <si>
    <t>2027e</t>
  </si>
  <si>
    <t>2028e</t>
  </si>
  <si>
    <t>2029e</t>
  </si>
  <si>
    <t>2030e</t>
  </si>
  <si>
    <t>Rev Growth</t>
  </si>
  <si>
    <t>EBITDA margin</t>
  </si>
  <si>
    <t>2027 analysis</t>
  </si>
  <si>
    <t>EBITDA forecast)</t>
  </si>
  <si>
    <t>Implied EV</t>
  </si>
  <si>
    <t>Net debt</t>
  </si>
  <si>
    <t>Implied market cap</t>
  </si>
  <si>
    <t>PPS</t>
  </si>
  <si>
    <t>MOM</t>
  </si>
  <si>
    <t>2025 EV/EBITDA</t>
  </si>
  <si>
    <t>Consolidated CFS (€TEUR)</t>
  </si>
  <si>
    <t>FY2027</t>
  </si>
  <si>
    <t>FY2028</t>
  </si>
  <si>
    <t>FY2029</t>
  </si>
  <si>
    <t>FY2030</t>
  </si>
  <si>
    <t xml:space="preserve">D&amp;A as a % of revenue </t>
  </si>
  <si>
    <t>Market pricing in</t>
  </si>
  <si>
    <t>Base Case</t>
  </si>
  <si>
    <t>Bear Case</t>
  </si>
  <si>
    <t>Bull</t>
  </si>
  <si>
    <t>Net Sales Growth Y/Y</t>
  </si>
  <si>
    <t>Energy (*discontinued in Q3 2025*)</t>
  </si>
  <si>
    <t>Noncurrent Assets</t>
  </si>
  <si>
    <t>Noncurrent Liabilities</t>
  </si>
  <si>
    <t>Market cap CHF</t>
  </si>
  <si>
    <t xml:space="preserve">Market cap </t>
  </si>
  <si>
    <t>(+) Net Debt</t>
  </si>
  <si>
    <t>(+) Noncontrolling</t>
  </si>
  <si>
    <t>Valuation Multiple</t>
  </si>
  <si>
    <t>Segment Value</t>
  </si>
  <si>
    <t>Valuation</t>
  </si>
  <si>
    <t>FY2024-restated</t>
  </si>
  <si>
    <t>NM</t>
  </si>
  <si>
    <t>Discount to TEV</t>
  </si>
  <si>
    <t>FCF (FY2025)</t>
  </si>
  <si>
    <t>Issuance of interest-bearing liabilities</t>
  </si>
  <si>
    <t>Repayment of interest-bearing liabilities</t>
  </si>
  <si>
    <t>Belgium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</si>
</sst>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_(&quot;$&quot;* \(#,##0.00\);_(&quot;$&quot;* &quot;-&quot;??_);_(@_)"/>
    <numFmt numFmtId="43" formatCode="_(* #,##0.00_);_(* \(#,##0.00\);_(* &quot;-&quot;??_);_(@_)"/>
    <numFmt numFmtId="164" formatCode="_(* #,##0_);_(* \(#,##0\);_(* &quot;-&quot;??_);_(@_)"/>
    <numFmt numFmtId="165" formatCode="_([$€-2]\ * #,##0.00_);_([$€-2]\ * \(#,##0.00\);_([$€-2]\ * &quot;-&quot;??_);_(@_)"/>
    <numFmt numFmtId="166" formatCode="_-* #,##0.00\ [$CHF-100C]_-;\-* #,##0.00\ [$CHF-100C]_-;_-* &quot;-&quot;??\ [$CHF-100C]_-;_-@_-"/>
    <numFmt numFmtId="167" formatCode="_-* #,##0\ [$CHF-100C]_-;\-* #,##0\ [$CHF-100C]_-;_-* &quot;-&quot;\ [$CHF-100C]_-;_-@_-"/>
    <numFmt numFmtId="168" formatCode="0.00\x"/>
    <numFmt numFmtId="169" formatCode="0.0%;\(0.0%\)"/>
    <numFmt numFmtId="170" formatCode="0%;\(0%\)"/>
    <numFmt numFmtId="171" formatCode="_(* #,##0.000_);_(* \(#,##0.000\);_(* &quot;-&quot;??_);_(@_)"/>
    <numFmt numFmtId="172" formatCode="_([$$-409]* #,##0.00_);_([$$-409]* \(#,##0.00\);_([$$-409]* &quot;-&quot;??_);_(@_)"/>
    <numFmt numFmtId="173" formatCode="_(&quot;$&quot;* #,##0_);_(&quot;$&quot;* \(#,##0\);_(&quot;$&quot;* &quot;-&quot;??_);_(@_)"/>
    <numFmt numFmtId="174" formatCode="_([$€-2]\ * #,##0_);_([$€-2]\ * \(#,##0\);_([$€-2]\ * &quot;-&quot;??_);_(@_)"/>
    <numFmt numFmtId="175" formatCode="_(* #,##0_);_(* \(#,##0\);_(* &quot;-&quot;?_);_(@_)"/>
    <numFmt numFmtId="176" formatCode="0.0%"/>
  </numFmts>
  <fonts count="34" x14ac:knownFonts="1">
    <font>
      <sz val="11"/>
      <color theme="1"/>
      <name val="Aptos Narrow"/>
      <family val="2"/>
      <scheme val="minor"/>
    </font>
    <font>
      <sz val="11"/>
      <color theme="1"/>
      <name val="Aptos Narrow"/>
      <family val="2"/>
      <scheme val="minor"/>
    </font>
    <font>
      <sz val="9"/>
      <color rgb="FF0000FF"/>
      <name val="Calibri"/>
      <family val="2"/>
    </font>
    <font>
      <sz val="9"/>
      <color theme="1"/>
      <name val="Calibri"/>
      <family val="2"/>
    </font>
    <font>
      <u val="singleAccounting"/>
      <sz val="9"/>
      <color rgb="FF0000FF"/>
      <name val="Calibri"/>
      <family val="2"/>
    </font>
    <font>
      <b/>
      <sz val="9"/>
      <color theme="1"/>
      <name val="Calibri"/>
      <family val="2"/>
    </font>
    <font>
      <i/>
      <sz val="9"/>
      <color theme="1"/>
      <name val="Calibri"/>
      <family val="2"/>
    </font>
    <font>
      <sz val="9"/>
      <name val="Calibri"/>
      <family val="2"/>
    </font>
    <font>
      <u val="singleAccounting"/>
      <sz val="9"/>
      <color theme="1"/>
      <name val="Calibri"/>
      <family val="2"/>
    </font>
    <font>
      <sz val="9"/>
      <color rgb="FFC00000"/>
      <name val="Calibri"/>
      <family val="2"/>
    </font>
    <font>
      <u val="singleAccounting"/>
      <sz val="9"/>
      <color rgb="FFC00000"/>
      <name val="Calibri"/>
      <family val="2"/>
    </font>
    <font>
      <sz val="11"/>
      <color theme="1"/>
      <name val="Calibri"/>
      <family val="2"/>
    </font>
    <font>
      <u val="singleAccounting"/>
      <sz val="11"/>
      <color theme="1"/>
      <name val="Calibri"/>
      <family val="2"/>
    </font>
    <font>
      <b/>
      <sz val="11"/>
      <color theme="1"/>
      <name val="Calibri"/>
      <family val="2"/>
    </font>
    <font>
      <b/>
      <sz val="9"/>
      <color theme="8"/>
      <name val="Calibri"/>
      <family val="2"/>
    </font>
    <font>
      <u/>
      <sz val="11"/>
      <color theme="1"/>
      <name val="Calibri"/>
      <family val="2"/>
    </font>
    <font>
      <u/>
      <sz val="11"/>
      <color theme="10"/>
      <name val="Aptos Narrow"/>
      <family val="2"/>
      <scheme val="minor"/>
    </font>
    <font>
      <b/>
      <sz val="9"/>
      <color rgb="FFA20000"/>
      <name val="Calibri"/>
      <family val="2"/>
    </font>
    <font>
      <u val="singleAccounting"/>
      <sz val="9"/>
      <name val="Calibri"/>
      <family val="2"/>
    </font>
    <font>
      <b/>
      <u/>
      <sz val="9"/>
      <color theme="1"/>
      <name val="Calibri"/>
      <family val="2"/>
    </font>
    <font>
      <b/>
      <sz val="9"/>
      <name val="Calibri"/>
      <family val="2"/>
    </font>
    <font>
      <sz val="11"/>
      <name val="Aptos Narrow"/>
      <family val="2"/>
      <scheme val="minor"/>
    </font>
    <font>
      <sz val="11"/>
      <color rgb="FF590000"/>
      <name val="Calibri"/>
      <family val="2"/>
    </font>
    <font>
      <sz val="11"/>
      <color rgb="FF0000FF"/>
      <name val="Calibri"/>
      <family val="2"/>
    </font>
    <font>
      <b/>
      <u/>
      <sz val="11"/>
      <color theme="1"/>
      <name val="Calibri"/>
      <family val="2"/>
    </font>
    <font>
      <u/>
      <sz val="11"/>
      <color theme="10"/>
      <name val="Calibri"/>
      <family val="2"/>
    </font>
    <font>
      <sz val="8"/>
      <color theme="1"/>
      <name val="Calibri"/>
      <family val="2"/>
    </font>
    <font>
      <b/>
      <sz val="9"/>
      <color rgb="FF0000FF"/>
      <name val="Calibri"/>
      <family val="2"/>
    </font>
    <font>
      <u/>
      <sz val="9"/>
      <color theme="1"/>
      <name val="Calibri"/>
      <family val="2"/>
    </font>
    <font>
      <b/>
      <sz val="9"/>
      <color theme="0"/>
      <name val="Calibri"/>
      <family val="2"/>
    </font>
    <font>
      <i/>
      <sz val="9"/>
      <color theme="0"/>
      <name val="Calibri"/>
      <family val="2"/>
    </font>
    <font>
      <sz val="9"/>
      <color theme="0"/>
      <name val="Calibri"/>
      <family val="2"/>
    </font>
    <font>
      <b/>
      <sz val="11"/>
      <color rgb="FFFF0000"/>
      <name val="Calibri"/>
      <family val="2"/>
    </font>
    <font>
      <sz val="11"/>
      <name val="Calibri"/>
      <family val="2"/>
    </font>
  </fonts>
  <fills count="9">
    <fill>
      <patternFill patternType="none"/>
    </fill>
    <fill>
      <patternFill patternType="gray125"/>
    </fill>
    <fill>
      <patternFill patternType="solid">
        <fgColor rgb="FFFFFF25"/>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1"/>
        <bgColor indexed="64"/>
      </patternFill>
    </fill>
    <fill>
      <patternFill patternType="solid">
        <fgColor theme="6" tint="0.79998168889431442"/>
        <bgColor indexed="64"/>
      </patternFill>
    </fill>
    <fill>
      <patternFill patternType="solid">
        <fgColor theme="7" tint="0.79998168889431442"/>
        <bgColor indexed="64"/>
      </patternFill>
    </fill>
  </fills>
  <borders count="10">
    <border>
      <left/>
      <right/>
      <top/>
      <bottom/>
      <diagonal/>
    </border>
    <border>
      <left/>
      <right/>
      <top/>
      <bottom style="thin">
        <color indexed="64"/>
      </bottom>
      <diagonal/>
    </border>
    <border>
      <left/>
      <right/>
      <top style="dashed">
        <color auto="1"/>
      </top>
      <bottom/>
      <diagonal/>
    </border>
    <border>
      <left/>
      <right/>
      <top/>
      <bottom style="dashed">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tted">
        <color auto="1"/>
      </top>
      <bottom/>
      <diagonal/>
    </border>
    <border>
      <left/>
      <right/>
      <top style="hair">
        <color auto="1"/>
      </top>
      <bottom/>
      <diagonal/>
    </border>
    <border>
      <left/>
      <right/>
      <top/>
      <bottom style="dotted">
        <color auto="1"/>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16" fillId="0" borderId="0" applyNumberFormat="0" applyFill="0" applyBorder="0" applyAlignment="0" applyProtection="0"/>
    <xf numFmtId="44" fontId="1" fillId="0" borderId="0" applyFont="0" applyFill="0" applyBorder="0" applyAlignment="0" applyProtection="0"/>
  </cellStyleXfs>
  <cellXfs count="158">
    <xf numFmtId="0" fontId="0" fillId="0" borderId="0" xfId="0"/>
    <xf numFmtId="164" fontId="2" fillId="0" borderId="0" xfId="1" applyNumberFormat="1" applyFont="1"/>
    <xf numFmtId="0" fontId="3" fillId="0" borderId="0" xfId="0" applyFont="1"/>
    <xf numFmtId="164" fontId="4" fillId="0" borderId="0" xfId="1" applyNumberFormat="1" applyFont="1"/>
    <xf numFmtId="0" fontId="5" fillId="0" borderId="0" xfId="0" applyFont="1" applyAlignment="1">
      <alignment horizontal="left" indent="1"/>
    </xf>
    <xf numFmtId="164" fontId="3" fillId="0" borderId="0" xfId="0" applyNumberFormat="1" applyFont="1"/>
    <xf numFmtId="0" fontId="6" fillId="0" borderId="0" xfId="0" applyFont="1" applyAlignment="1">
      <alignment horizontal="left" indent="1"/>
    </xf>
    <xf numFmtId="10" fontId="3" fillId="0" borderId="0" xfId="2" applyNumberFormat="1" applyFont="1"/>
    <xf numFmtId="164" fontId="7" fillId="0" borderId="0" xfId="1" applyNumberFormat="1" applyFont="1"/>
    <xf numFmtId="0" fontId="3" fillId="0" borderId="0" xfId="0" applyFont="1" applyAlignment="1">
      <alignment horizontal="left" indent="1"/>
    </xf>
    <xf numFmtId="165" fontId="3" fillId="0" borderId="0" xfId="0" applyNumberFormat="1" applyFont="1"/>
    <xf numFmtId="0" fontId="3" fillId="0" borderId="0" xfId="0" applyFont="1" applyAlignment="1">
      <alignment horizontal="left"/>
    </xf>
    <xf numFmtId="0" fontId="6" fillId="0" borderId="0" xfId="0" applyFont="1"/>
    <xf numFmtId="0" fontId="5" fillId="0" borderId="0" xfId="0" applyFont="1"/>
    <xf numFmtId="164" fontId="4" fillId="2" borderId="0" xfId="1" applyNumberFormat="1" applyFont="1" applyFill="1"/>
    <xf numFmtId="164" fontId="4" fillId="0" borderId="0" xfId="1" applyNumberFormat="1" applyFont="1" applyFill="1"/>
    <xf numFmtId="165" fontId="2" fillId="0" borderId="0" xfId="0" applyNumberFormat="1" applyFont="1"/>
    <xf numFmtId="164" fontId="8" fillId="0" borderId="0" xfId="0" applyNumberFormat="1" applyFont="1"/>
    <xf numFmtId="164" fontId="5" fillId="0" borderId="0" xfId="0" applyNumberFormat="1" applyFont="1"/>
    <xf numFmtId="164" fontId="3" fillId="0" borderId="0" xfId="1" applyNumberFormat="1" applyFont="1"/>
    <xf numFmtId="164" fontId="2" fillId="0" borderId="0" xfId="0" applyNumberFormat="1" applyFont="1"/>
    <xf numFmtId="164" fontId="4" fillId="0" borderId="0" xfId="0" applyNumberFormat="1" applyFont="1"/>
    <xf numFmtId="164" fontId="10" fillId="0" borderId="0" xfId="0" applyNumberFormat="1" applyFont="1"/>
    <xf numFmtId="164" fontId="9" fillId="0" borderId="0" xfId="0" applyNumberFormat="1" applyFont="1"/>
    <xf numFmtId="9" fontId="3" fillId="0" borderId="0" xfId="2" applyFont="1"/>
    <xf numFmtId="0" fontId="11" fillId="0" borderId="0" xfId="0" applyFont="1"/>
    <xf numFmtId="166" fontId="11" fillId="0" borderId="0" xfId="0" applyNumberFormat="1" applyFont="1"/>
    <xf numFmtId="0" fontId="11" fillId="0" borderId="0" xfId="0" applyFont="1" applyAlignment="1">
      <alignment horizontal="left" indent="1"/>
    </xf>
    <xf numFmtId="167" fontId="11" fillId="0" borderId="0" xfId="0" applyNumberFormat="1" applyFont="1"/>
    <xf numFmtId="164" fontId="11" fillId="0" borderId="0" xfId="1" applyNumberFormat="1" applyFont="1"/>
    <xf numFmtId="164" fontId="12" fillId="0" borderId="0" xfId="1" applyNumberFormat="1" applyFont="1"/>
    <xf numFmtId="164" fontId="11" fillId="0" borderId="0" xfId="0" applyNumberFormat="1" applyFont="1"/>
    <xf numFmtId="3" fontId="11" fillId="0" borderId="0" xfId="0" applyNumberFormat="1" applyFont="1"/>
    <xf numFmtId="168" fontId="11" fillId="0" borderId="0" xfId="0" applyNumberFormat="1" applyFont="1"/>
    <xf numFmtId="43" fontId="11" fillId="0" borderId="0" xfId="0" applyNumberFormat="1" applyFont="1"/>
    <xf numFmtId="0" fontId="14" fillId="0" borderId="0" xfId="0" applyFont="1"/>
    <xf numFmtId="0" fontId="15" fillId="0" borderId="0" xfId="0" applyFont="1"/>
    <xf numFmtId="0" fontId="16" fillId="0" borderId="0" xfId="3"/>
    <xf numFmtId="164" fontId="2" fillId="0" borderId="0" xfId="1" applyNumberFormat="1" applyFont="1" applyFill="1"/>
    <xf numFmtId="164" fontId="3" fillId="0" borderId="0" xfId="1" applyNumberFormat="1" applyFont="1" applyFill="1"/>
    <xf numFmtId="169" fontId="3" fillId="0" borderId="0" xfId="2" applyNumberFormat="1" applyFont="1"/>
    <xf numFmtId="164" fontId="3" fillId="2" borderId="0" xfId="0" applyNumberFormat="1" applyFont="1" applyFill="1"/>
    <xf numFmtId="164" fontId="7" fillId="0" borderId="0" xfId="1" applyNumberFormat="1" applyFont="1" applyFill="1"/>
    <xf numFmtId="9" fontId="3" fillId="0" borderId="0" xfId="2" applyFont="1" applyAlignment="1">
      <alignment horizontal="center"/>
    </xf>
    <xf numFmtId="9" fontId="3" fillId="0" borderId="0" xfId="2" applyFont="1" applyFill="1" applyAlignment="1">
      <alignment horizontal="center"/>
    </xf>
    <xf numFmtId="164" fontId="18" fillId="0" borderId="0" xfId="1" applyNumberFormat="1" applyFont="1" applyFill="1"/>
    <xf numFmtId="164" fontId="3" fillId="0" borderId="0" xfId="2" applyNumberFormat="1" applyFont="1" applyAlignment="1">
      <alignment horizontal="center"/>
    </xf>
    <xf numFmtId="0" fontId="17" fillId="0" borderId="0" xfId="0" applyFont="1"/>
    <xf numFmtId="164" fontId="18" fillId="0" borderId="0" xfId="1" applyNumberFormat="1" applyFont="1"/>
    <xf numFmtId="0" fontId="19" fillId="0" borderId="0" xfId="0" applyFont="1"/>
    <xf numFmtId="169" fontId="5" fillId="0" borderId="0" xfId="2" applyNumberFormat="1" applyFont="1"/>
    <xf numFmtId="169" fontId="20" fillId="0" borderId="0" xfId="2" applyNumberFormat="1" applyFont="1"/>
    <xf numFmtId="169" fontId="7" fillId="0" borderId="0" xfId="2" applyNumberFormat="1" applyFont="1"/>
    <xf numFmtId="164" fontId="7" fillId="0" borderId="0" xfId="0" applyNumberFormat="1" applyFont="1"/>
    <xf numFmtId="0" fontId="7" fillId="0" borderId="0" xfId="0" applyFont="1"/>
    <xf numFmtId="170" fontId="3" fillId="0" borderId="0" xfId="2" applyNumberFormat="1" applyFont="1"/>
    <xf numFmtId="0" fontId="3" fillId="0" borderId="0" xfId="2" applyNumberFormat="1" applyFont="1"/>
    <xf numFmtId="0" fontId="22" fillId="0" borderId="0" xfId="0" applyFont="1"/>
    <xf numFmtId="170" fontId="5" fillId="0" borderId="0" xfId="2" applyNumberFormat="1" applyFont="1"/>
    <xf numFmtId="0" fontId="24" fillId="0" borderId="0" xfId="0" applyFont="1"/>
    <xf numFmtId="0" fontId="11" fillId="0" borderId="1" xfId="0" applyFont="1" applyBorder="1"/>
    <xf numFmtId="0" fontId="11" fillId="0" borderId="0" xfId="0" applyFont="1" applyAlignment="1">
      <alignment vertical="center"/>
    </xf>
    <xf numFmtId="0" fontId="25" fillId="0" borderId="0" xfId="3" applyFont="1" applyAlignment="1">
      <alignment vertical="center"/>
    </xf>
    <xf numFmtId="0" fontId="11" fillId="2" borderId="0" xfId="0" applyFont="1" applyFill="1" applyAlignment="1">
      <alignment vertical="center"/>
    </xf>
    <xf numFmtId="0" fontId="26" fillId="0" borderId="0" xfId="0" applyFont="1" applyAlignment="1">
      <alignment vertical="center" wrapText="1"/>
    </xf>
    <xf numFmtId="0" fontId="25" fillId="0" borderId="0" xfId="3" applyFont="1"/>
    <xf numFmtId="0" fontId="11" fillId="2" borderId="0" xfId="0" applyFont="1" applyFill="1"/>
    <xf numFmtId="0" fontId="13" fillId="0" borderId="0" xfId="0" applyFont="1" applyAlignment="1">
      <alignment vertical="center"/>
    </xf>
    <xf numFmtId="164" fontId="27" fillId="0" borderId="0" xfId="1" applyNumberFormat="1" applyFont="1"/>
    <xf numFmtId="164" fontId="27" fillId="0" borderId="0" xfId="1" applyNumberFormat="1" applyFont="1" applyFill="1"/>
    <xf numFmtId="164" fontId="18" fillId="0" borderId="0" xfId="0" applyNumberFormat="1" applyFont="1"/>
    <xf numFmtId="0" fontId="3"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170" fontId="28" fillId="0" borderId="0" xfId="2" applyNumberFormat="1" applyFont="1"/>
    <xf numFmtId="170" fontId="6" fillId="0" borderId="0" xfId="2" applyNumberFormat="1" applyFont="1"/>
    <xf numFmtId="164" fontId="3" fillId="3" borderId="0" xfId="0" applyNumberFormat="1" applyFont="1" applyFill="1"/>
    <xf numFmtId="171" fontId="2" fillId="0" borderId="0" xfId="1" applyNumberFormat="1" applyFont="1"/>
    <xf numFmtId="0" fontId="28" fillId="0" borderId="0" xfId="0" applyFont="1"/>
    <xf numFmtId="9" fontId="0" fillId="0" borderId="0" xfId="0" applyNumberFormat="1"/>
    <xf numFmtId="0" fontId="0" fillId="0" borderId="1" xfId="0" applyBorder="1"/>
    <xf numFmtId="9" fontId="7" fillId="0" borderId="0" xfId="2" applyFont="1"/>
    <xf numFmtId="166" fontId="0" fillId="0" borderId="0" xfId="0" applyNumberFormat="1"/>
    <xf numFmtId="0" fontId="5" fillId="4" borderId="0" xfId="0" applyFont="1" applyFill="1"/>
    <xf numFmtId="0" fontId="3" fillId="4" borderId="0" xfId="0" applyFont="1" applyFill="1"/>
    <xf numFmtId="0" fontId="0" fillId="4" borderId="0" xfId="0" applyFill="1"/>
    <xf numFmtId="0" fontId="7" fillId="4" borderId="0" xfId="0" applyFont="1" applyFill="1"/>
    <xf numFmtId="0" fontId="21" fillId="4" borderId="0" xfId="0" applyFont="1" applyFill="1"/>
    <xf numFmtId="169" fontId="7" fillId="4" borderId="0" xfId="2" applyNumberFormat="1" applyFont="1" applyFill="1"/>
    <xf numFmtId="168" fontId="3" fillId="0" borderId="0" xfId="0" applyNumberFormat="1" applyFont="1"/>
    <xf numFmtId="0" fontId="5" fillId="0" borderId="2" xfId="0" applyFont="1" applyBorder="1" applyAlignment="1">
      <alignment horizontal="left" indent="1"/>
    </xf>
    <xf numFmtId="164" fontId="3" fillId="0" borderId="2" xfId="0" applyNumberFormat="1" applyFont="1" applyBorder="1"/>
    <xf numFmtId="0" fontId="3" fillId="0" borderId="2" xfId="0" applyFont="1" applyBorder="1"/>
    <xf numFmtId="0" fontId="6" fillId="0" borderId="3" xfId="0" applyFont="1" applyBorder="1" applyAlignment="1">
      <alignment horizontal="left" indent="1"/>
    </xf>
    <xf numFmtId="169" fontId="3" fillId="0" borderId="3" xfId="2" applyNumberFormat="1" applyFont="1" applyBorder="1"/>
    <xf numFmtId="172" fontId="11" fillId="0" borderId="0" xfId="0" applyNumberFormat="1" applyFont="1"/>
    <xf numFmtId="173" fontId="11" fillId="0" borderId="0" xfId="4" applyNumberFormat="1" applyFont="1"/>
    <xf numFmtId="164" fontId="2" fillId="5" borderId="0" xfId="1" applyNumberFormat="1" applyFont="1" applyFill="1"/>
    <xf numFmtId="0" fontId="3" fillId="5" borderId="0" xfId="0" applyFont="1" applyFill="1" applyAlignment="1">
      <alignment horizontal="left"/>
    </xf>
    <xf numFmtId="0" fontId="3" fillId="5" borderId="0" xfId="0" applyFont="1" applyFill="1"/>
    <xf numFmtId="0" fontId="29" fillId="6" borderId="0" xfId="0" applyFont="1" applyFill="1" applyAlignment="1">
      <alignment horizontal="left" indent="1"/>
    </xf>
    <xf numFmtId="170" fontId="30" fillId="6" borderId="0" xfId="2" applyNumberFormat="1" applyFont="1" applyFill="1"/>
    <xf numFmtId="0" fontId="31" fillId="6" borderId="0" xfId="0" applyFont="1" applyFill="1"/>
    <xf numFmtId="165" fontId="7" fillId="0" borderId="0" xfId="0" applyNumberFormat="1" applyFont="1"/>
    <xf numFmtId="164" fontId="7" fillId="0" borderId="2" xfId="0" applyNumberFormat="1" applyFont="1" applyBorder="1"/>
    <xf numFmtId="169" fontId="7" fillId="0" borderId="3" xfId="2" applyNumberFormat="1" applyFont="1" applyBorder="1"/>
    <xf numFmtId="10" fontId="7" fillId="0" borderId="0" xfId="2" applyNumberFormat="1" applyFont="1"/>
    <xf numFmtId="164" fontId="20" fillId="0" borderId="0" xfId="0" applyNumberFormat="1" applyFont="1"/>
    <xf numFmtId="169" fontId="7" fillId="7" borderId="0" xfId="2" applyNumberFormat="1" applyFont="1" applyFill="1"/>
    <xf numFmtId="165" fontId="11" fillId="0" borderId="0" xfId="0" applyNumberFormat="1" applyFont="1"/>
    <xf numFmtId="0" fontId="11" fillId="3" borderId="0" xfId="0" applyFont="1" applyFill="1"/>
    <xf numFmtId="165" fontId="11" fillId="3" borderId="0" xfId="0" applyNumberFormat="1" applyFont="1" applyFill="1"/>
    <xf numFmtId="0" fontId="32" fillId="0" borderId="0" xfId="0" applyFont="1"/>
    <xf numFmtId="165" fontId="13" fillId="0" borderId="0" xfId="0" applyNumberFormat="1" applyFont="1"/>
    <xf numFmtId="174" fontId="11" fillId="0" borderId="0" xfId="0" applyNumberFormat="1" applyFont="1" applyAlignment="1">
      <alignment horizontal="left"/>
    </xf>
    <xf numFmtId="0" fontId="11" fillId="0" borderId="0" xfId="0" applyFont="1" applyAlignment="1">
      <alignment horizontal="center"/>
    </xf>
    <xf numFmtId="9" fontId="11" fillId="0" borderId="0" xfId="2" applyFont="1"/>
    <xf numFmtId="9" fontId="23" fillId="0" borderId="0" xfId="2" applyFont="1"/>
    <xf numFmtId="0" fontId="23" fillId="0" borderId="0" xfId="0" applyFont="1"/>
    <xf numFmtId="1" fontId="23" fillId="0" borderId="0" xfId="0" applyNumberFormat="1" applyFont="1"/>
    <xf numFmtId="168" fontId="23" fillId="0" borderId="0" xfId="0" applyNumberFormat="1" applyFont="1"/>
    <xf numFmtId="0" fontId="11" fillId="0" borderId="0" xfId="0" applyFont="1" applyAlignment="1">
      <alignment horizontal="left"/>
    </xf>
    <xf numFmtId="175" fontId="3" fillId="0" borderId="0" xfId="0" applyNumberFormat="1" applyFont="1"/>
    <xf numFmtId="169" fontId="2" fillId="8" borderId="0" xfId="2" applyNumberFormat="1" applyFont="1" applyFill="1"/>
    <xf numFmtId="9" fontId="33" fillId="0" borderId="0" xfId="2" applyFont="1"/>
    <xf numFmtId="0" fontId="13" fillId="0" borderId="0" xfId="0" applyFont="1" applyAlignment="1">
      <alignment horizontal="center"/>
    </xf>
    <xf numFmtId="0" fontId="11" fillId="8" borderId="0" xfId="0" applyFont="1" applyFill="1" applyAlignment="1">
      <alignment horizontal="left"/>
    </xf>
    <xf numFmtId="0" fontId="11" fillId="8" borderId="0" xfId="0" applyFont="1" applyFill="1"/>
    <xf numFmtId="168" fontId="11" fillId="8" borderId="0" xfId="0" applyNumberFormat="1" applyFont="1" applyFill="1"/>
    <xf numFmtId="0" fontId="13" fillId="0" borderId="0" xfId="0" applyFont="1"/>
    <xf numFmtId="0" fontId="11" fillId="5" borderId="0" xfId="0" applyFont="1" applyFill="1" applyAlignment="1">
      <alignment horizontal="center"/>
    </xf>
    <xf numFmtId="164" fontId="11" fillId="5" borderId="0" xfId="1" applyNumberFormat="1" applyFont="1" applyFill="1"/>
    <xf numFmtId="164" fontId="11" fillId="5" borderId="0" xfId="0" applyNumberFormat="1" applyFont="1" applyFill="1"/>
    <xf numFmtId="9" fontId="23" fillId="5" borderId="0" xfId="2" applyFont="1" applyFill="1"/>
    <xf numFmtId="9" fontId="33" fillId="5" borderId="0" xfId="2" applyFont="1" applyFill="1"/>
    <xf numFmtId="168" fontId="11" fillId="5" borderId="0" xfId="0" applyNumberFormat="1" applyFont="1" applyFill="1"/>
    <xf numFmtId="0" fontId="11" fillId="0" borderId="4" xfId="0" applyFont="1" applyBorder="1" applyAlignment="1">
      <alignment horizontal="left"/>
    </xf>
    <xf numFmtId="0" fontId="11" fillId="0" borderId="5" xfId="0" applyFont="1" applyBorder="1"/>
    <xf numFmtId="165" fontId="11" fillId="0" borderId="6" xfId="0" applyNumberFormat="1" applyFont="1" applyBorder="1"/>
    <xf numFmtId="43" fontId="3" fillId="0" borderId="0" xfId="1" applyFont="1"/>
    <xf numFmtId="0" fontId="3" fillId="0" borderId="7" xfId="0" applyFont="1" applyBorder="1"/>
    <xf numFmtId="169" fontId="3" fillId="0" borderId="7" xfId="2" applyNumberFormat="1" applyFont="1" applyBorder="1"/>
    <xf numFmtId="169" fontId="7" fillId="0" borderId="7" xfId="2" applyNumberFormat="1" applyFont="1" applyBorder="1"/>
    <xf numFmtId="168" fontId="2" fillId="0" borderId="7" xfId="1" applyNumberFormat="1" applyFont="1" applyBorder="1"/>
    <xf numFmtId="0" fontId="3" fillId="0" borderId="8" xfId="0" applyFont="1" applyBorder="1"/>
    <xf numFmtId="169" fontId="3" fillId="0" borderId="8" xfId="2" applyNumberFormat="1" applyFont="1" applyBorder="1"/>
    <xf numFmtId="169" fontId="7" fillId="0" borderId="8" xfId="2" applyNumberFormat="1" applyFont="1" applyBorder="1"/>
    <xf numFmtId="168" fontId="2" fillId="0" borderId="8" xfId="1" applyNumberFormat="1" applyFont="1" applyBorder="1"/>
    <xf numFmtId="169" fontId="3" fillId="0" borderId="0" xfId="2" applyNumberFormat="1" applyFont="1" applyAlignment="1">
      <alignment horizontal="center"/>
    </xf>
    <xf numFmtId="169" fontId="5" fillId="0" borderId="3" xfId="2" applyNumberFormat="1" applyFont="1" applyBorder="1"/>
    <xf numFmtId="176" fontId="3" fillId="0" borderId="0" xfId="2" applyNumberFormat="1" applyFont="1"/>
    <xf numFmtId="164" fontId="3" fillId="2" borderId="0" xfId="2" applyNumberFormat="1" applyFont="1" applyFill="1" applyAlignment="1">
      <alignment horizontal="center"/>
    </xf>
    <xf numFmtId="9" fontId="3" fillId="0" borderId="7" xfId="2" applyFont="1" applyBorder="1"/>
    <xf numFmtId="175" fontId="3" fillId="0" borderId="7" xfId="0" applyNumberFormat="1" applyFont="1" applyBorder="1"/>
    <xf numFmtId="0" fontId="3" fillId="0" borderId="0" xfId="0" applyFont="1" applyBorder="1"/>
    <xf numFmtId="169" fontId="3" fillId="0" borderId="0" xfId="2" applyNumberFormat="1" applyFont="1" applyBorder="1"/>
    <xf numFmtId="0" fontId="3" fillId="0" borderId="9" xfId="0" applyFont="1" applyBorder="1"/>
    <xf numFmtId="169" fontId="2" fillId="8" borderId="9" xfId="2" applyNumberFormat="1" applyFont="1" applyFill="1" applyBorder="1"/>
  </cellXfs>
  <cellStyles count="5">
    <cellStyle name="Comma" xfId="1" builtinId="3"/>
    <cellStyle name="Currency" xfId="4" builtinId="4"/>
    <cellStyle name="Hyperlink" xfId="3" builtinId="8"/>
    <cellStyle name="Normal" xfId="0" builtinId="0"/>
    <cellStyle name="Percent" xfId="2" builtinId="5"/>
  </cellStyles>
  <dxfs count="0"/>
  <tableStyles count="0" defaultTableStyle="TableStyleMedium2" defaultPivotStyle="PivotStyleLight16"/>
  <colors>
    <mruColors>
      <color rgb="FFFFFF2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ichStyles" Target="richData/richStyles.xml"/><Relationship Id="rId5" Type="http://schemas.openxmlformats.org/officeDocument/2006/relationships/theme" Target="theme/theme1.xml"/><Relationship Id="rId15" Type="http://schemas.microsoft.com/office/2017/10/relationships/person" Target="persons/person.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154411</xdr:colOff>
      <xdr:row>38</xdr:row>
      <xdr:rowOff>182217</xdr:rowOff>
    </xdr:from>
    <xdr:to>
      <xdr:col>5</xdr:col>
      <xdr:colOff>6535383</xdr:colOff>
      <xdr:row>64</xdr:row>
      <xdr:rowOff>78595</xdr:rowOff>
    </xdr:to>
    <xdr:pic>
      <xdr:nvPicPr>
        <xdr:cNvPr id="2" name="Picture 1">
          <a:extLst>
            <a:ext uri="{FF2B5EF4-FFF2-40B4-BE49-F238E27FC236}">
              <a16:creationId xmlns:a16="http://schemas.microsoft.com/office/drawing/2014/main" id="{7B15291C-6EB5-6748-42D7-CF563EBA0AF8}"/>
            </a:ext>
          </a:extLst>
        </xdr:cNvPr>
        <xdr:cNvPicPr>
          <a:picLocks noChangeAspect="1"/>
        </xdr:cNvPicPr>
      </xdr:nvPicPr>
      <xdr:blipFill>
        <a:blip xmlns:r="http://schemas.openxmlformats.org/officeDocument/2006/relationships" r:embed="rId1"/>
        <a:stretch>
          <a:fillRect/>
        </a:stretch>
      </xdr:blipFill>
      <xdr:spPr>
        <a:xfrm>
          <a:off x="3765628" y="7255565"/>
          <a:ext cx="6993885" cy="486594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oaquin Goquiolay" id="{BC1B0602-7584-4B42-B3E6-5D52F373ED6D}" userId="9dc8c86c708ee123"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9">
  <rv s="0">
    <v>https://www.bing.com/financeapi/forcetrigger?t=c23yu2&amp;q=XSWX%3aAERO&amp;form=skydnc</v>
    <v>Learn more on Bing</v>
  </rv>
  <rv s="1">
    <v>en-US</v>
    <v>c23yu2</v>
    <v>268435456</v>
    <v>1</v>
    <v>Powered by Refinitiv</v>
    <v>0</v>
    <v>Montana Aerospace AG (XSWX:AERO)</v>
    <v>2</v>
    <v>3</v>
    <v>Finance</v>
    <v>4</v>
    <v>35.299999999999997</v>
    <v>13.3</v>
    <v>1.4901</v>
    <v>1.4</v>
    <v>6.0475000000000001E-2</v>
    <v>CHF</v>
    <v>Montana Aerospace AG is Switzerland-based manufacturer of aircraft parts and auxiliary equipment. The Company specializes in critical structural parts and assemblies with a focus on lightweight solutions made of aluminum, titanium, hard metals and composite materials.Its product portfolio extends from structural components more than 20 meters long for the fuselage, wings and landing gear to critical engine components subject to high thermal and mechanical loads, and functional components for the cabin interior.</v>
    <v>6346</v>
    <v>SIX Swiss Exchange</v>
    <v>XSWX</v>
    <v>XSWX</v>
    <v>Alzbachstrasse 27, REINACH, AARGAU, 5734 CH</v>
    <v>25.2</v>
    <v>Aerospace &amp; Defense</v>
    <v>Stock</v>
    <v>46120.70071759259</v>
    <v>0</v>
    <v>24.1</v>
    <v>2171220000</v>
    <v>Montana Aerospace AG</v>
    <v>Montana Aerospace AG</v>
    <v>24.5</v>
    <v>30.6875</v>
    <v>23.15</v>
    <v>24.55</v>
    <v>62679100</v>
    <v>AERO</v>
    <v>Montana Aerospace AG (XSWX:AERO)</v>
    <v>267500</v>
    <v>180840</v>
    <v>2019</v>
  </rv>
  <rv s="2">
    <v>1</v>
  </rv>
  <rv s="3">
    <v>en-US</v>
    <v>avv7r7</v>
    <v>268435456</v>
    <v>1</v>
    <v>Powered by Refinitiv</v>
    <v>5</v>
    <v>CHF/USD</v>
    <v>6</v>
    <v>7</v>
    <v>Finance</v>
    <v>8</v>
    <v>1.3149</v>
    <v>1.1527000000000001</v>
    <v>8.0000000000000004E-4</v>
    <v>6.3339999999999989E-4</v>
    <v>USD</v>
    <v>CHF</v>
    <v>1.2648999999999999</v>
    <v>Currency Pair</v>
    <v>46121.211053240739</v>
    <v>1.2625</v>
    <v>Swiss Franc/US Dollar FX Cross Rate</v>
    <v>1.2641</v>
    <v>1.2630999999999999</v>
    <v>1.2639</v>
    <v>CHFUSD</v>
    <v>CHF/USD</v>
  </rv>
  <rv s="2">
    <v>3</v>
  </rv>
  <rv s="3">
    <v>en-US</v>
    <v>avuzw7</v>
    <v>268435456</v>
    <v>1</v>
    <v>Powered by Refinitiv</v>
    <v>5</v>
    <v>CHF/EUR</v>
    <v>6</v>
    <v>9</v>
    <v>Finance</v>
    <v>8</v>
    <v>1.1135999999999999</v>
    <v>1.0519000000000001</v>
    <v>2.9999999999999997E-4</v>
    <v>2.7700000000000001E-4</v>
    <v>EUR</v>
    <v>CHF</v>
    <v>1.0840000000000001</v>
    <v>Currency Pair</v>
    <v>46121.211064814815</v>
    <v>1.0828</v>
    <v>Swiss Franc/Euro FX Cross Rate</v>
    <v>1.0828</v>
    <v>1.0829</v>
    <v>1.0831999999999999</v>
    <v>CHFEUR</v>
    <v>CHF/EUR</v>
  </rv>
  <rv s="2">
    <v>5</v>
  </rv>
  <rv s="3">
    <v>en-US</v>
    <v>av932w</v>
    <v>268435456</v>
    <v>1</v>
    <v>Powered by Refinitiv</v>
    <v>5</v>
    <v>EUR/USD</v>
    <v>6</v>
    <v>7</v>
    <v>Finance</v>
    <v>8</v>
    <v>1.2078</v>
    <v>1.0880000000000001</v>
    <v>2.9999999999999997E-4</v>
    <v>2.5720000000000002E-4</v>
    <v>USD</v>
    <v>EUR</v>
    <v>1.1671</v>
    <v>Currency Pair</v>
    <v>46121.211053240739</v>
    <v>1.1651</v>
    <v>Euro/US Dollar FX Spot Rate</v>
    <v>1.1661999999999999</v>
    <v>1.1661999999999999</v>
    <v>1.1665000000000001</v>
    <v>EURUSD</v>
    <v>EUR/USD</v>
  </rv>
  <rv s="2">
    <v>7</v>
  </rv>
</rvData>
</file>

<file path=xl/richData/rdrichvaluestructure.xml><?xml version="1.0" encoding="utf-8"?>
<rvStructures xmlns="http://schemas.microsoft.com/office/spreadsheetml/2017/richdata" count="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10">
    <spb s="0">
      <v>0</v>
      <v>Name</v>
      <v>LearnMoreOnLink</v>
    </spb>
    <spb s="1">
      <v>0</v>
      <v>0</v>
      <v>0</v>
    </spb>
    <spb s="2">
      <v>1</v>
      <v>1</v>
      <v>1</v>
      <v>1</v>
    </spb>
    <spb s="3">
      <v>1</v>
      <v>2</v>
      <v>2</v>
      <v>1</v>
      <v>3</v>
      <v>1</v>
      <v>1</v>
      <v>1</v>
      <v>4</v>
      <v>4</v>
      <v>5</v>
      <v>6</v>
      <v>1</v>
      <v>1</v>
      <v>1</v>
      <v>4</v>
      <v>7</v>
      <v>8</v>
      <v>9</v>
      <v>4</v>
    </spb>
    <spb s="4">
      <v>Delayed 15 minutes</v>
      <v>from previous close</v>
      <v>from previous close</v>
      <v>GMT</v>
    </spb>
    <spb s="5">
      <v>1</v>
      <v>Name</v>
    </spb>
    <spb s="6">
      <v>1</v>
      <v>1</v>
    </spb>
    <spb s="7">
      <v>10</v>
      <v>10</v>
      <v>3</v>
      <v>10</v>
      <v>10</v>
      <v>10</v>
      <v>5</v>
      <v>10</v>
      <v>10</v>
      <v>10</v>
      <v>7</v>
      <v>9</v>
    </spb>
    <spb s="8">
      <v>GMT</v>
    </spb>
    <spb s="7">
      <v>11</v>
      <v>11</v>
      <v>3</v>
      <v>11</v>
      <v>11</v>
      <v>11</v>
      <v>5</v>
      <v>11</v>
      <v>11</v>
      <v>11</v>
      <v>7</v>
      <v>9</v>
    </spb>
  </spbData>
</supportingPropertyBags>
</file>

<file path=xl/richData/rdsupportingpropertybagstructure.xml><?xml version="1.0" encoding="utf-8"?>
<spbStructures xmlns="http://schemas.microsoft.com/office/spreadsheetml/2017/richdata2" count="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Order" t="spba"/>
    <k n="TitleProperty" t="s"/>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 #,##0.00 [$CHF-fr-CH]_-;-* #,##0.00 [$CHF-fr-CH]_-;_-* "-"?? [$CHF-fr-CH]_-;_-@_-</rpv>
    </rSty>
    <rSty dxfid="5">
      <rpv i="0">#,##0.00</rpv>
    </rSty>
    <rSty>
      <rpv i="1">1</rpv>
    </rSty>
    <rSty dxfid="4">
      <rpv i="0">#,##0</rpv>
    </rSty>
    <rSty dxfid="3"/>
    <rSty dxfid="1">
      <rpv i="0">_-* #,##0 [$CHF-fr-CH]_-;-* #,##0 [$CHF-fr-CH]_-;_-* "-" [$CHF-fr-CH]_-;_-@_-</rpv>
    </rSty>
    <rSty dxfid="2"/>
    <rSty dxfid="6">
      <rpv i="0">0</rpv>
    </rSty>
    <rSty dxfid="0">
      <rpv i="0">0.00</rpv>
    </rSty>
    <rSty dxfid="1">
      <rpv i="0">_([$$-en-US]* #,##0.00_);_([$$-en-US]* (#,##0.00);_([$$-en-US]* "-"??_);_(@_)</rpv>
    </rSty>
    <rSty dxfid="1">
      <rpv i="0">_([$€-x-euro2] * #,##0.00_);_([$€-x-euro2] * (#,##0.00);_([$€-x-euro2] *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4" dT="2026-03-17T01:42:12.91" personId="{BC1B0602-7584-4B42-B3E6-5D52F373ED6D}" id="{06384A41-FF19-47F0-BBE2-050FFEA8EB09}">
    <text xml:space="preserve"> the company now holds contracted sales of over EUR 7 billion. At the same time, its engagement in the space and defence sectors continues to grow steadily, underlining its ambition to set global standards as a fully integrated technology partner for OEMs and Tier 1s. </text>
  </threadedComment>
</ThreadedComments>
</file>

<file path=xl/threadedComments/threadedComment2.xml><?xml version="1.0" encoding="utf-8"?>
<ThreadedComments xmlns="http://schemas.microsoft.com/office/spreadsheetml/2018/threadedcomments" xmlns:x="http://schemas.openxmlformats.org/spreadsheetml/2006/main">
  <threadedComment ref="K2" dT="2025-09-10T18:08:22.22" personId="{BC1B0602-7584-4B42-B3E6-5D52F373ED6D}" id="{822FB549-6D27-41DC-B265-7A849D7C1926}">
    <text>Restated</text>
  </threadedComment>
  <threadedComment ref="AA5" dT="2026-03-20T14:32:35.69" personId="{BC1B0602-7584-4B42-B3E6-5D52F373ED6D}" id="{54A65A63-393E-4E2D-AB1E-AC4F33521733}">
    <text>Management guided in March 2026</text>
  </threadedComment>
  <threadedComment ref="R8" dT="2026-03-20T06:18:09.92" personId="{BC1B0602-7584-4B42-B3E6-5D52F373ED6D}" id="{CB975CA5-D8AB-4BFB-9251-5FF6B24EE8C7}">
    <text xml:space="preserve">Vs FY 2024
</text>
  </threadedComment>
  <threadedComment ref="W51" dT="2026-04-04T12:18:12.76" personId="{BC1B0602-7584-4B42-B3E6-5D52F373ED6D}" id="{9B4CC1BB-71E6-4F33-8DDA-DB0F92FDEE2E}">
    <text xml:space="preserve">Represents Alpine metal Tech segment. Then labeled under “All other segments” prior to 2025. </text>
  </threadedComment>
  <threadedComment ref="K68" dT="2025-09-11T03:32:18.66" personId="{BC1B0602-7584-4B42-B3E6-5D52F373ED6D}" id="{99D0B89C-8901-4FE6-9E9D-B67AAB6671D7}">
    <text>Old figures, pre-restatement</text>
  </threadedComment>
  <threadedComment ref="L68" dT="2025-09-11T03:32:18.66" personId="{BC1B0602-7584-4B42-B3E6-5D52F373ED6D}" id="{8C3371CA-2F1A-4C7A-BF41-796A6DDB5D50}">
    <text>Old figures, pre-restatement</text>
  </threadedComment>
  <threadedComment ref="R70" dT="2026-03-20T06:18:09.92" personId="{BC1B0602-7584-4B42-B3E6-5D52F373ED6D}" id="{3ABDD7F8-B000-4CB1-8CB2-BB5F34A4B7E1}">
    <text xml:space="preserve">Vs FY 2024
</text>
  </threadedComment>
  <threadedComment ref="R79" dT="2026-03-20T06:18:09.92" personId="{BC1B0602-7584-4B42-B3E6-5D52F373ED6D}" id="{C77864BA-CDBE-4195-B69D-11681FB11290}">
    <text xml:space="preserve">Vs FY 2024
</text>
  </threadedComment>
  <threadedComment ref="L100" dT="2025-09-05T19:23:42.34" personId="{BC1B0602-7584-4B42-B3E6-5D52F373ED6D}" id="{3F0DA0D9-DBD9-42D7-8149-A5F3E988E458}">
    <text>Oh my gosh. Why such a high charge from discontinued?</text>
  </threadedComment>
  <threadedComment ref="P100" dT="2025-09-05T19:23:42.34" personId="{BC1B0602-7584-4B42-B3E6-5D52F373ED6D}" id="{8D47683C-8E98-424E-82EE-65B90DC729B9}">
    <text>Oh my gosh. Why such a high charge from discontinued?</text>
  </threadedComment>
  <threadedComment ref="P105" dT="2025-09-05T19:25:31.34" personId="{BC1B0602-7584-4B42-B3E6-5D52F373ED6D}" id="{4E474365-C684-4704-B8B5-7906360034F0}">
    <text>Overridden</text>
  </threadedComment>
  <threadedComment ref="R106" dT="2026-03-20T06:18:09.92" personId="{BC1B0602-7584-4B42-B3E6-5D52F373ED6D}" id="{B0BED374-032F-43D7-8BBA-904D2C54AAC9}">
    <text xml:space="preserve">Vs FY 2024
</text>
  </threadedComment>
  <threadedComment ref="I141" dT="2025-09-10T19:00:02.50" personId="{BC1B0602-7584-4B42-B3E6-5D52F373ED6D}" id="{F744BFDB-2D00-442C-9869-18CAAF3DC2B9}">
    <text>Incl. Trade payables; liabilities from affiliates; and other</text>
  </threadedComment>
  <threadedComment ref="U166" dT="2025-09-11T15:02:25.67" personId="{BC1B0602-7584-4B42-B3E6-5D52F373ED6D}" id="{C030D4BD-54B5-4995-B184-24B822DE184B}">
    <text>Also incl.: Gains from disposals of subsidiaries and “Bargain Purchase.” see p.100 of 156 in 2022 annual.</text>
  </threadedComment>
  <threadedComment ref="P167" dT="2025-09-09T19:22:27.61" personId="{BC1B0602-7584-4B42-B3E6-5D52F373ED6D}" id="{F5E945FC-37BC-4642-BA54-246CFE8B033A}">
    <text>This is an error on the part of the company. They report Eur. 97,882</text>
  </threadedComment>
  <threadedComment ref="U181" dT="2025-09-11T15:10:37.19" personId="{BC1B0602-7584-4B42-B3E6-5D52F373ED6D}" id="{3B2D5633-D5C8-4A42-B738-E885FE845875}">
    <text>“payments made for capital contribution to associates”</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www.alpinemetaltech.com/en/"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astagroup.com/" TargetMode="External"/><Relationship Id="rId2" Type="http://schemas.openxmlformats.org/officeDocument/2006/relationships/hyperlink" Target="https://www.alpinemetaltech.com/securedl/sdl-eyJ0eXAiOiJKV1QiLCJhbGciOiJIUzI1NiJ9.eyJpYXQiOjE3NTc0MzA4NDUsImV4cCI6MTc1NzUyMDg0NCwidXNlciI6MCwiZ3JvdXBzIjpbMCwtMV0sImZpbGUiOiJmaWxlYWRtaW5cL3VzZXJfdXBsb2FkXC9Eb2t1bWVudGVcL0FMUElORV9NRVRBTF9URUNIX1Byb2R1Y3RfUG9ydGZvbGlvX0VOLnBkZiIsInBhZ2UiOjEyOH0.LE252XUc0A2I7DAv6zK7-kWlul-orA3XUKdg_6xHWSw/ALPINE_METAL_TECH_Product_Portfolio_EN.pdf" TargetMode="External"/><Relationship Id="rId1" Type="http://schemas.openxmlformats.org/officeDocument/2006/relationships/hyperlink" Target="https://www.asco.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5689D-B2EC-4087-ADC1-D7381FDCD8F5}">
  <dimension ref="B2:C15"/>
  <sheetViews>
    <sheetView showGridLines="0" workbookViewId="0">
      <selection activeCell="F12" sqref="F12"/>
    </sheetView>
  </sheetViews>
  <sheetFormatPr defaultRowHeight="15" x14ac:dyDescent="0.25"/>
  <cols>
    <col min="2" max="2" width="19.85546875" bestFit="1" customWidth="1"/>
    <col min="3" max="3" width="17.28515625" bestFit="1" customWidth="1"/>
  </cols>
  <sheetData>
    <row r="2" spans="2:3" x14ac:dyDescent="0.25">
      <c r="C2" t="e" vm="1">
        <f>Main!B2</f>
        <v>#VALUE!</v>
      </c>
    </row>
    <row r="3" spans="2:3" x14ac:dyDescent="0.25">
      <c r="B3" t="s">
        <v>257</v>
      </c>
      <c r="C3" s="79">
        <f>SUM(Model!M84:P84)/SUM(Model!M69:P69)</f>
        <v>5.6094960997266047E-2</v>
      </c>
    </row>
    <row r="4" spans="2:3" x14ac:dyDescent="0.25">
      <c r="B4" t="s">
        <v>258</v>
      </c>
      <c r="C4" s="79"/>
    </row>
    <row r="5" spans="2:3" x14ac:dyDescent="0.25">
      <c r="B5" t="s">
        <v>259</v>
      </c>
      <c r="C5" s="79">
        <f>Model!W101/Model!W132</f>
        <v>3.873789742598914E-2</v>
      </c>
    </row>
    <row r="6" spans="2:3" x14ac:dyDescent="0.25">
      <c r="B6" t="s">
        <v>260</v>
      </c>
      <c r="C6" s="82">
        <f>Model!W69</f>
        <v>1493673</v>
      </c>
    </row>
    <row r="7" spans="2:3" x14ac:dyDescent="0.25">
      <c r="B7" t="s">
        <v>270</v>
      </c>
      <c r="C7" s="79">
        <f>Model!Z68</f>
        <v>0.23651660062527857</v>
      </c>
    </row>
    <row r="8" spans="2:3" x14ac:dyDescent="0.25">
      <c r="B8" t="s">
        <v>261</v>
      </c>
      <c r="C8" s="82">
        <f>Model!W69+Model!W74</f>
        <v>565776</v>
      </c>
    </row>
    <row r="9" spans="2:3" x14ac:dyDescent="0.25">
      <c r="B9" t="s">
        <v>262</v>
      </c>
      <c r="C9" s="33">
        <f>(Model!O143+Model!O135)/Model!O134</f>
        <v>0.274306604011816</v>
      </c>
    </row>
    <row r="10" spans="2:3" x14ac:dyDescent="0.25">
      <c r="B10" t="s">
        <v>263</v>
      </c>
    </row>
    <row r="11" spans="2:3" x14ac:dyDescent="0.25">
      <c r="B11" s="80" t="s">
        <v>264</v>
      </c>
      <c r="C11" s="80"/>
    </row>
    <row r="12" spans="2:3" x14ac:dyDescent="0.25">
      <c r="B12" t="s">
        <v>265</v>
      </c>
    </row>
    <row r="13" spans="2:3" x14ac:dyDescent="0.25">
      <c r="B13" t="s">
        <v>266</v>
      </c>
    </row>
    <row r="14" spans="2:3" x14ac:dyDescent="0.25">
      <c r="B14" t="s">
        <v>267</v>
      </c>
    </row>
    <row r="15" spans="2:3" x14ac:dyDescent="0.25">
      <c r="B15" t="s">
        <v>268</v>
      </c>
      <c r="C15" s="33">
        <f ca="1">Main!C16</f>
        <v>1.6663525326436259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80D25-9069-4A55-AE8F-EBBBFB173F85}">
  <dimension ref="B1:L98"/>
  <sheetViews>
    <sheetView tabSelected="1" zoomScale="115" zoomScaleNormal="115" workbookViewId="0">
      <selection activeCell="B1" sqref="B1"/>
    </sheetView>
  </sheetViews>
  <sheetFormatPr defaultRowHeight="15" x14ac:dyDescent="0.25"/>
  <cols>
    <col min="1" max="1" width="3.140625" style="25" customWidth="1"/>
    <col min="2" max="2" width="12.140625" style="25" customWidth="1"/>
    <col min="3" max="3" width="21" style="25" bestFit="1" customWidth="1"/>
    <col min="4" max="4" width="17.85546875" style="25" bestFit="1" customWidth="1"/>
    <col min="5" max="5" width="9.140625" style="25"/>
    <col min="6" max="6" width="104.7109375" style="25" bestFit="1" customWidth="1"/>
    <col min="7" max="7" width="9.140625" style="115"/>
    <col min="8" max="9" width="9.5703125" style="25" bestFit="1" customWidth="1"/>
    <col min="10" max="16384" width="9.140625" style="25"/>
  </cols>
  <sheetData>
    <row r="1" spans="2:12" x14ac:dyDescent="0.25">
      <c r="B1" s="112" t="s">
        <v>288</v>
      </c>
      <c r="D1" s="26">
        <f ca="1">C3*62526.632</f>
        <v>1535028.8156000001</v>
      </c>
      <c r="F1" s="36" t="s">
        <v>127</v>
      </c>
    </row>
    <row r="2" spans="2:12" x14ac:dyDescent="0.25">
      <c r="B2" s="25" t="e" vm="1">
        <v>#VALUE!</v>
      </c>
      <c r="D2" s="25" t="e" vm="2">
        <v>#VALUE!</v>
      </c>
      <c r="E2" s="110" t="e" vm="3">
        <v>#VALUE!</v>
      </c>
      <c r="F2" s="25" t="s">
        <v>101</v>
      </c>
      <c r="H2" s="25" t="s">
        <v>260</v>
      </c>
      <c r="I2" s="25" t="s">
        <v>175</v>
      </c>
      <c r="J2" s="25" t="s">
        <v>296</v>
      </c>
      <c r="K2" s="25" t="s">
        <v>297</v>
      </c>
      <c r="L2" s="25" t="s">
        <v>305</v>
      </c>
    </row>
    <row r="3" spans="2:12" x14ac:dyDescent="0.25">
      <c r="B3" s="25" t="s">
        <v>95</v>
      </c>
      <c r="C3" s="26" cm="1">
        <f t="array" aca="1" ref="C3" ca="1">_FV(B2,"Price")</f>
        <v>24.55</v>
      </c>
      <c r="D3" s="95" cm="1">
        <f t="array" aca="1" ref="D3" ca="1">_FV(D2,"Price")</f>
        <v>1.2639</v>
      </c>
      <c r="E3" s="111" cm="1">
        <f t="array" aca="1" ref="E3" ca="1">_FV(E2,"Price")</f>
        <v>1.0831999999999999</v>
      </c>
      <c r="F3" s="27" t="s">
        <v>96</v>
      </c>
      <c r="G3" s="115">
        <v>2020</v>
      </c>
      <c r="H3" s="118">
        <v>265</v>
      </c>
      <c r="I3" s="119">
        <v>43.3</v>
      </c>
      <c r="K3" s="116">
        <f>I3/H3</f>
        <v>0.16339622641509433</v>
      </c>
    </row>
    <row r="4" spans="2:12" x14ac:dyDescent="0.25">
      <c r="B4" s="25" t="s">
        <v>320</v>
      </c>
      <c r="C4" s="26">
        <f ca="1">C3*C11</f>
        <v>1535028.8156000001</v>
      </c>
      <c r="F4" s="27" t="s">
        <v>97</v>
      </c>
      <c r="G4" s="115">
        <v>2021</v>
      </c>
      <c r="H4" s="118">
        <v>285</v>
      </c>
      <c r="I4" s="119">
        <v>42.9</v>
      </c>
      <c r="J4" s="116">
        <f>H4/H3-1</f>
        <v>7.547169811320753E-2</v>
      </c>
      <c r="K4" s="116">
        <f>I4/H4</f>
        <v>0.15052631578947367</v>
      </c>
    </row>
    <row r="5" spans="2:12" x14ac:dyDescent="0.25">
      <c r="B5" s="25" t="s">
        <v>321</v>
      </c>
      <c r="C5" s="114">
        <f ca="1">C4*E3</f>
        <v>1662743.2130579201</v>
      </c>
      <c r="D5" s="96">
        <f ca="1">C5*D3</f>
        <v>2101541.1469839052</v>
      </c>
      <c r="E5" s="25" t="e" vm="4">
        <v>#VALUE!</v>
      </c>
      <c r="F5" s="27" t="s">
        <v>98</v>
      </c>
      <c r="G5" s="115">
        <v>2022</v>
      </c>
      <c r="H5" s="118">
        <v>637</v>
      </c>
      <c r="I5" s="119">
        <v>69.400000000000006</v>
      </c>
      <c r="J5" s="116">
        <f>H5/H4-1</f>
        <v>1.2350877192982455</v>
      </c>
      <c r="K5" s="116">
        <f>I5/H5</f>
        <v>0.10894819466248039</v>
      </c>
    </row>
    <row r="6" spans="2:12" x14ac:dyDescent="0.25">
      <c r="B6" s="27" t="s">
        <v>102</v>
      </c>
      <c r="C6" s="29">
        <f>Model!Y135+Model!Y143+Model!Y136+Model!Y144</f>
        <v>240879</v>
      </c>
      <c r="E6" s="95" cm="1">
        <f t="array" aca="1" ref="E6" ca="1">_FV(E5,"Price")</f>
        <v>1.1665000000000001</v>
      </c>
      <c r="F6" s="27" t="s">
        <v>99</v>
      </c>
      <c r="G6" s="115">
        <v>2023</v>
      </c>
      <c r="H6" s="118">
        <v>705</v>
      </c>
      <c r="I6" s="119">
        <v>89.2</v>
      </c>
      <c r="J6" s="116">
        <f>H6/H5-1</f>
        <v>0.10675039246467821</v>
      </c>
      <c r="K6" s="116">
        <f>I6/H6</f>
        <v>0.12652482269503545</v>
      </c>
    </row>
    <row r="7" spans="2:12" ht="17.25" x14ac:dyDescent="0.4">
      <c r="B7" s="27" t="s">
        <v>103</v>
      </c>
      <c r="C7" s="30">
        <f>-Model!Y125</f>
        <v>-112759</v>
      </c>
      <c r="F7" s="27" t="s">
        <v>100</v>
      </c>
      <c r="G7" s="115">
        <v>2024</v>
      </c>
      <c r="H7" s="118">
        <v>816</v>
      </c>
      <c r="I7" s="119">
        <v>130.5</v>
      </c>
      <c r="J7" s="116">
        <f>H7/H6-1</f>
        <v>0.15744680851063819</v>
      </c>
      <c r="K7" s="124">
        <f>I7/H7</f>
        <v>0.15992647058823528</v>
      </c>
    </row>
    <row r="8" spans="2:12" x14ac:dyDescent="0.25">
      <c r="B8" s="25" t="s">
        <v>322</v>
      </c>
      <c r="C8" s="31">
        <f>C6+C7</f>
        <v>128120</v>
      </c>
      <c r="G8" s="115">
        <v>2025</v>
      </c>
      <c r="H8" s="118">
        <v>971</v>
      </c>
      <c r="I8" s="118">
        <v>161</v>
      </c>
      <c r="J8" s="116">
        <f>H8/H7-1</f>
        <v>0.18995098039215685</v>
      </c>
      <c r="K8" s="124">
        <f>I8/H8</f>
        <v>0.16580844490216273</v>
      </c>
    </row>
    <row r="9" spans="2:12" x14ac:dyDescent="0.25">
      <c r="B9" s="25" t="s">
        <v>323</v>
      </c>
      <c r="C9" s="31">
        <f>Model!Y133</f>
        <v>15598</v>
      </c>
      <c r="H9" s="118"/>
      <c r="I9" s="118"/>
      <c r="J9" s="116"/>
      <c r="K9" s="124"/>
    </row>
    <row r="10" spans="2:12" x14ac:dyDescent="0.25">
      <c r="B10" s="25" t="s">
        <v>241</v>
      </c>
      <c r="C10" s="113">
        <f ca="1">C5+C8+C9</f>
        <v>1806461.2130579201</v>
      </c>
      <c r="D10" s="96">
        <f ca="1">C10*E6</f>
        <v>2107237.0050320639</v>
      </c>
      <c r="E10" s="116">
        <f ca="1">2300000/C10-1</f>
        <v>0.27320751941672361</v>
      </c>
      <c r="G10" s="115" t="s">
        <v>291</v>
      </c>
      <c r="H10" s="29">
        <f>H8*(1+J10)</f>
        <v>1116.6499999999999</v>
      </c>
      <c r="I10" s="31">
        <f>H10*K10</f>
        <v>200.99699999999996</v>
      </c>
      <c r="J10" s="117">
        <v>0.15</v>
      </c>
      <c r="K10" s="124">
        <f>Model!AA80</f>
        <v>0.18</v>
      </c>
      <c r="L10" s="33">
        <f ca="1">($C$10/1000)/I10</f>
        <v>8.9875033610348432</v>
      </c>
    </row>
    <row r="11" spans="2:12" x14ac:dyDescent="0.25">
      <c r="B11" s="25" t="s">
        <v>106</v>
      </c>
      <c r="C11" s="32">
        <f>Model!Y104</f>
        <v>62526.631999999998</v>
      </c>
      <c r="D11" s="26">
        <f ca="1">C3*C11</f>
        <v>1535028.8156000001</v>
      </c>
      <c r="G11" s="130" t="s">
        <v>292</v>
      </c>
      <c r="H11" s="131">
        <f>H10*(1+J11)</f>
        <v>1228.3150000000001</v>
      </c>
      <c r="I11" s="132">
        <f>H11*K11</f>
        <v>184.24725000000001</v>
      </c>
      <c r="J11" s="133">
        <v>0.1</v>
      </c>
      <c r="K11" s="134">
        <f>Model!AB80</f>
        <v>0.15</v>
      </c>
      <c r="L11" s="135">
        <f ca="1">($C$10/1000)/I11</f>
        <v>9.8045491211289182</v>
      </c>
    </row>
    <row r="12" spans="2:12" x14ac:dyDescent="0.25">
      <c r="B12" s="25" t="s">
        <v>108</v>
      </c>
      <c r="C12" s="33" cm="1">
        <f t="array" aca="1" ref="C12" ca="1">_FV(B2,"P/E",TRUE)</f>
        <v>30.6875</v>
      </c>
      <c r="F12" s="25" t="s">
        <v>120</v>
      </c>
      <c r="G12" s="115" t="s">
        <v>293</v>
      </c>
      <c r="H12" s="29">
        <f>H11*(1+J12)</f>
        <v>1351.1465000000001</v>
      </c>
      <c r="I12" s="31">
        <f>H12*K12</f>
        <v>216.18344000000002</v>
      </c>
      <c r="J12" s="117">
        <v>0.1</v>
      </c>
      <c r="K12" s="124">
        <f>Model!AC80</f>
        <v>0.16</v>
      </c>
      <c r="L12" s="33">
        <f ca="1">($C$10/1000)/I12</f>
        <v>8.3561498191439636</v>
      </c>
    </row>
    <row r="13" spans="2:12" x14ac:dyDescent="0.25">
      <c r="B13" s="25" t="s">
        <v>286</v>
      </c>
      <c r="C13" s="33">
        <f ca="1">C3/Model!R105</f>
        <v>29.914095818873406</v>
      </c>
      <c r="G13" s="115" t="s">
        <v>294</v>
      </c>
      <c r="H13" s="29">
        <f>H12*(1+J13)</f>
        <v>1486.2611500000003</v>
      </c>
      <c r="I13" s="31">
        <f>H13*K13</f>
        <v>252.66439550000007</v>
      </c>
      <c r="J13" s="117">
        <v>0.1</v>
      </c>
      <c r="K13" s="124">
        <f>Model!AD80</f>
        <v>0.17</v>
      </c>
      <c r="L13" s="33">
        <f ca="1">($C$10/1000)/I13</f>
        <v>7.1496469040803952</v>
      </c>
    </row>
    <row r="14" spans="2:12" x14ac:dyDescent="0.25">
      <c r="B14" s="25" t="s">
        <v>104</v>
      </c>
      <c r="C14" s="29">
        <f>Model!Y134</f>
        <v>997834</v>
      </c>
      <c r="F14" s="25" t="s">
        <v>119</v>
      </c>
      <c r="G14" s="115" t="s">
        <v>295</v>
      </c>
      <c r="H14" s="29">
        <f>H13*(1+J14)</f>
        <v>1634.8872650000005</v>
      </c>
      <c r="I14" s="31">
        <f>H14*K14</f>
        <v>326.97745300000014</v>
      </c>
      <c r="J14" s="117">
        <v>0.1</v>
      </c>
      <c r="K14" s="124">
        <f>Model!AE80</f>
        <v>0.2</v>
      </c>
      <c r="L14" s="33">
        <f ca="1">($C$10/1000)/I14</f>
        <v>5.524727153153032</v>
      </c>
    </row>
    <row r="15" spans="2:12" x14ac:dyDescent="0.25">
      <c r="B15" s="25" t="s">
        <v>105</v>
      </c>
      <c r="C15" s="113">
        <f>C14/C11</f>
        <v>15.958543872953209</v>
      </c>
    </row>
    <row r="16" spans="2:12" x14ac:dyDescent="0.25">
      <c r="B16" s="25" t="s">
        <v>107</v>
      </c>
      <c r="C16" s="33">
        <f ca="1">(C3*E3)/C15</f>
        <v>1.6663525326436259</v>
      </c>
      <c r="D16" s="35"/>
      <c r="G16" s="121" t="s">
        <v>298</v>
      </c>
      <c r="I16" s="60"/>
    </row>
    <row r="17" spans="2:12" x14ac:dyDescent="0.25">
      <c r="I17" s="25" t="s">
        <v>312</v>
      </c>
    </row>
    <row r="18" spans="2:12" x14ac:dyDescent="0.25">
      <c r="B18" s="25" t="s">
        <v>330</v>
      </c>
      <c r="C18" s="29">
        <f>Model!Y184</f>
        <v>92753</v>
      </c>
      <c r="F18" s="36" t="s">
        <v>121</v>
      </c>
      <c r="G18" s="121" t="s">
        <v>299</v>
      </c>
      <c r="I18" s="31">
        <f>I11</f>
        <v>184.24725000000001</v>
      </c>
      <c r="K18" s="120"/>
      <c r="L18" s="120"/>
    </row>
    <row r="19" spans="2:12" x14ac:dyDescent="0.25">
      <c r="B19" s="25" t="s">
        <v>115</v>
      </c>
      <c r="C19" s="34">
        <f>C18/C11</f>
        <v>1.4834158986845798</v>
      </c>
      <c r="F19" s="37" t="s">
        <v>125</v>
      </c>
      <c r="G19" s="125" t="s">
        <v>136</v>
      </c>
      <c r="I19" s="120">
        <v>10</v>
      </c>
      <c r="K19" s="31"/>
      <c r="L19" s="31"/>
    </row>
    <row r="20" spans="2:12" x14ac:dyDescent="0.25">
      <c r="B20" s="25" t="s">
        <v>254</v>
      </c>
      <c r="C20" s="33">
        <f ca="1">C3/C19</f>
        <v>16.549640611085355</v>
      </c>
      <c r="F20" s="25" t="s">
        <v>126</v>
      </c>
      <c r="G20" s="121" t="s">
        <v>300</v>
      </c>
      <c r="I20" s="31">
        <f>I19*$I$18</f>
        <v>1842.4725000000001</v>
      </c>
      <c r="K20" s="118"/>
      <c r="L20" s="118"/>
    </row>
    <row r="21" spans="2:12" x14ac:dyDescent="0.25">
      <c r="B21" s="25" t="s">
        <v>22</v>
      </c>
      <c r="C21" s="29">
        <f>Model!P109</f>
        <v>650763</v>
      </c>
      <c r="F21" s="25" t="s">
        <v>123</v>
      </c>
      <c r="G21" s="121" t="s">
        <v>301</v>
      </c>
      <c r="I21" s="118">
        <v>100</v>
      </c>
      <c r="K21" s="31"/>
      <c r="L21" s="31"/>
    </row>
    <row r="22" spans="2:12" ht="15.75" thickBot="1" x14ac:dyDescent="0.3">
      <c r="B22" s="25" t="s">
        <v>273</v>
      </c>
      <c r="C22" s="29">
        <f>Model!Y78</f>
        <v>160592.15076642868</v>
      </c>
      <c r="F22" s="25" t="s">
        <v>124</v>
      </c>
      <c r="G22" s="121" t="s">
        <v>302</v>
      </c>
      <c r="I22" s="31">
        <f>I20-I21</f>
        <v>1742.4725000000001</v>
      </c>
      <c r="K22" s="109"/>
      <c r="L22" s="109"/>
    </row>
    <row r="23" spans="2:12" ht="15.75" thickBot="1" x14ac:dyDescent="0.3">
      <c r="B23" s="25" t="s">
        <v>278</v>
      </c>
      <c r="C23" s="33">
        <f ca="1">C10/Model!R78</f>
        <v>9.4060067119555963</v>
      </c>
      <c r="G23" s="136" t="s">
        <v>303</v>
      </c>
      <c r="H23" s="137"/>
      <c r="I23" s="138">
        <f>I22/($C$11/1000)</f>
        <v>27.867685244904926</v>
      </c>
      <c r="K23" s="33"/>
      <c r="L23" s="33"/>
    </row>
    <row r="24" spans="2:12" x14ac:dyDescent="0.25">
      <c r="B24" s="59" t="s">
        <v>276</v>
      </c>
      <c r="C24" s="25" t="s">
        <v>277</v>
      </c>
      <c r="F24" s="57" t="s">
        <v>237</v>
      </c>
      <c r="G24" s="126" t="s">
        <v>304</v>
      </c>
      <c r="H24" s="127"/>
      <c r="I24" s="128">
        <f ca="1">I23/$C$3</f>
        <v>1.1351399285093655</v>
      </c>
      <c r="K24" s="109"/>
      <c r="L24" s="109"/>
    </row>
    <row r="25" spans="2:12" x14ac:dyDescent="0.25">
      <c r="C25" s="28"/>
      <c r="F25" s="25" t="s">
        <v>255</v>
      </c>
      <c r="I25" s="109">
        <f>I23/1.6</f>
        <v>17.417303278065578</v>
      </c>
      <c r="K25" s="33"/>
      <c r="L25" s="33"/>
    </row>
    <row r="26" spans="2:12" x14ac:dyDescent="0.25">
      <c r="C26" s="26"/>
      <c r="I26" s="33">
        <f ca="1">I25/$C$3</f>
        <v>0.7094624553183535</v>
      </c>
    </row>
    <row r="27" spans="2:12" x14ac:dyDescent="0.25">
      <c r="C27" s="33"/>
      <c r="F27" s="36" t="s">
        <v>239</v>
      </c>
    </row>
    <row r="28" spans="2:12" x14ac:dyDescent="0.25">
      <c r="F28" s="27" t="s">
        <v>231</v>
      </c>
      <c r="H28" s="25" t="s">
        <v>260</v>
      </c>
      <c r="I28" s="25" t="s">
        <v>175</v>
      </c>
      <c r="J28" s="25" t="s">
        <v>296</v>
      </c>
      <c r="K28" s="25" t="s">
        <v>297</v>
      </c>
      <c r="L28" s="25" t="s">
        <v>305</v>
      </c>
    </row>
    <row r="29" spans="2:12" x14ac:dyDescent="0.25">
      <c r="F29" s="27" t="s">
        <v>232</v>
      </c>
      <c r="G29" s="115">
        <v>2020</v>
      </c>
      <c r="H29" s="118">
        <v>265</v>
      </c>
      <c r="I29" s="119">
        <v>43.3</v>
      </c>
      <c r="K29" s="116">
        <f>I29/H29</f>
        <v>0.16339622641509433</v>
      </c>
    </row>
    <row r="30" spans="2:12" x14ac:dyDescent="0.25">
      <c r="F30" s="27" t="s">
        <v>233</v>
      </c>
      <c r="G30" s="115">
        <v>2021</v>
      </c>
      <c r="H30" s="118">
        <v>285</v>
      </c>
      <c r="I30" s="119">
        <v>42.9</v>
      </c>
      <c r="J30" s="116">
        <f>H30/H29-1</f>
        <v>7.547169811320753E-2</v>
      </c>
      <c r="K30" s="116">
        <f>I30/H30</f>
        <v>0.15052631578947367</v>
      </c>
    </row>
    <row r="31" spans="2:12" x14ac:dyDescent="0.25">
      <c r="F31" s="27" t="s">
        <v>234</v>
      </c>
      <c r="G31" s="115">
        <v>2022</v>
      </c>
      <c r="H31" s="118">
        <v>637</v>
      </c>
      <c r="I31" s="119">
        <v>69.400000000000006</v>
      </c>
      <c r="J31" s="116">
        <f>H31/H30-1</f>
        <v>1.2350877192982455</v>
      </c>
      <c r="K31" s="116">
        <f>I31/H31</f>
        <v>0.10894819466248039</v>
      </c>
    </row>
    <row r="32" spans="2:12" x14ac:dyDescent="0.25">
      <c r="F32" s="27" t="s">
        <v>235</v>
      </c>
      <c r="G32" s="115">
        <v>2023</v>
      </c>
      <c r="H32" s="118">
        <v>705</v>
      </c>
      <c r="I32" s="119">
        <v>89.2</v>
      </c>
      <c r="J32" s="116">
        <f>H32/H31-1</f>
        <v>0.10675039246467821</v>
      </c>
      <c r="K32" s="116">
        <f>I32/H32</f>
        <v>0.12652482269503545</v>
      </c>
    </row>
    <row r="33" spans="3:12" x14ac:dyDescent="0.25">
      <c r="F33" s="27" t="s">
        <v>236</v>
      </c>
      <c r="G33" s="115">
        <v>2024</v>
      </c>
      <c r="H33" s="118">
        <v>816</v>
      </c>
      <c r="I33" s="119">
        <v>130.5</v>
      </c>
      <c r="J33" s="116">
        <f>H33/H32-1</f>
        <v>0.15744680851063819</v>
      </c>
      <c r="K33" s="124">
        <f>I33/H33</f>
        <v>0.15992647058823528</v>
      </c>
    </row>
    <row r="34" spans="3:12" x14ac:dyDescent="0.25">
      <c r="F34" s="25" t="s">
        <v>240</v>
      </c>
      <c r="G34" s="115">
        <v>2025</v>
      </c>
      <c r="H34" s="118">
        <v>971</v>
      </c>
      <c r="I34" s="118">
        <v>161</v>
      </c>
      <c r="J34" s="116">
        <f>H34/H33-1</f>
        <v>0.18995098039215685</v>
      </c>
      <c r="K34" s="124">
        <f>I34/H34</f>
        <v>0.16580844490216273</v>
      </c>
    </row>
    <row r="35" spans="3:12" x14ac:dyDescent="0.25">
      <c r="F35" s="25" t="s">
        <v>238</v>
      </c>
      <c r="G35" s="115" t="s">
        <v>291</v>
      </c>
      <c r="H35" s="29">
        <f>H34*(1+J35)</f>
        <v>1116.6499999999999</v>
      </c>
      <c r="I35" s="31">
        <f>H35*K35</f>
        <v>223.32999999999998</v>
      </c>
      <c r="J35" s="117">
        <v>0.15</v>
      </c>
      <c r="K35" s="117">
        <v>0.2</v>
      </c>
      <c r="L35" s="33">
        <f ca="1">($C$10/1000)/I35</f>
        <v>8.0887530249313588</v>
      </c>
    </row>
    <row r="36" spans="3:12" x14ac:dyDescent="0.25">
      <c r="C36" s="25">
        <v>35</v>
      </c>
      <c r="G36" s="130" t="s">
        <v>292</v>
      </c>
      <c r="H36" s="131">
        <f>H35*(1+J36)</f>
        <v>1250.6479999999999</v>
      </c>
      <c r="I36" s="132">
        <f>H36*K36</f>
        <v>250.12959999999998</v>
      </c>
      <c r="J36" s="133">
        <v>0.12</v>
      </c>
      <c r="K36" s="133">
        <v>0.2</v>
      </c>
      <c r="L36" s="135">
        <f ca="1">($C$10/1000)/I36</f>
        <v>7.2221009151172844</v>
      </c>
    </row>
    <row r="37" spans="3:12" x14ac:dyDescent="0.25">
      <c r="C37" s="116">
        <f ca="1">C3/C36-1</f>
        <v>-0.2985714285714286</v>
      </c>
      <c r="G37" s="115" t="s">
        <v>293</v>
      </c>
      <c r="H37" s="29">
        <f>H36*(1+J37)</f>
        <v>1375.7128</v>
      </c>
      <c r="I37" s="31">
        <f>H37*K37</f>
        <v>275.14256</v>
      </c>
      <c r="J37" s="117">
        <v>0.1</v>
      </c>
      <c r="K37" s="117">
        <v>0.2</v>
      </c>
      <c r="L37" s="33">
        <f ca="1">($C$10/1000)/I37</f>
        <v>6.5655462864702576</v>
      </c>
    </row>
    <row r="38" spans="3:12" x14ac:dyDescent="0.25">
      <c r="G38" s="115" t="s">
        <v>294</v>
      </c>
      <c r="H38" s="29">
        <f>H37*(1+J38)</f>
        <v>1513.2840800000001</v>
      </c>
      <c r="I38" s="31">
        <f>H38*K38</f>
        <v>302.65681600000005</v>
      </c>
      <c r="J38" s="117">
        <v>0.1</v>
      </c>
      <c r="K38" s="117">
        <v>0.2</v>
      </c>
      <c r="L38" s="33">
        <f ca="1">($C$10/1000)/I38</f>
        <v>5.9686784422456878</v>
      </c>
    </row>
    <row r="39" spans="3:12" x14ac:dyDescent="0.25">
      <c r="G39" s="115" t="s">
        <v>295</v>
      </c>
      <c r="H39" s="29">
        <f>H38*(1+J39)</f>
        <v>1664.6124880000002</v>
      </c>
      <c r="I39" s="31">
        <f>H39*K39</f>
        <v>332.92249760000004</v>
      </c>
      <c r="J39" s="117">
        <v>0.1</v>
      </c>
      <c r="K39" s="117">
        <v>0.2</v>
      </c>
      <c r="L39" s="33">
        <f ca="1">($C$10/1000)/I39</f>
        <v>5.4260713111324437</v>
      </c>
    </row>
    <row r="41" spans="3:12" x14ac:dyDescent="0.25">
      <c r="G41" s="121" t="s">
        <v>298</v>
      </c>
      <c r="I41" s="60"/>
    </row>
    <row r="42" spans="3:12" x14ac:dyDescent="0.25">
      <c r="I42" s="129" t="s">
        <v>313</v>
      </c>
    </row>
    <row r="43" spans="3:12" x14ac:dyDescent="0.25">
      <c r="G43" s="121" t="s">
        <v>299</v>
      </c>
      <c r="I43" s="31">
        <f>I36</f>
        <v>250.12959999999998</v>
      </c>
      <c r="K43" s="120"/>
      <c r="L43" s="120"/>
    </row>
    <row r="44" spans="3:12" x14ac:dyDescent="0.25">
      <c r="G44" s="125" t="s">
        <v>136</v>
      </c>
      <c r="I44" s="120">
        <v>12</v>
      </c>
      <c r="K44" s="31"/>
      <c r="L44" s="31"/>
    </row>
    <row r="45" spans="3:12" x14ac:dyDescent="0.25">
      <c r="G45" s="121" t="s">
        <v>300</v>
      </c>
      <c r="I45" s="31">
        <f>I44*$I$43</f>
        <v>3001.5551999999998</v>
      </c>
      <c r="K45" s="118"/>
      <c r="L45" s="118"/>
    </row>
    <row r="46" spans="3:12" x14ac:dyDescent="0.25">
      <c r="G46" s="121" t="s">
        <v>301</v>
      </c>
      <c r="I46" s="118">
        <v>0</v>
      </c>
      <c r="K46" s="31"/>
      <c r="L46" s="31"/>
    </row>
    <row r="47" spans="3:12" ht="15.75" thickBot="1" x14ac:dyDescent="0.3">
      <c r="G47" s="121" t="s">
        <v>302</v>
      </c>
      <c r="I47" s="31">
        <f>I45-I46</f>
        <v>3001.5551999999998</v>
      </c>
      <c r="K47" s="109"/>
      <c r="L47" s="109"/>
    </row>
    <row r="48" spans="3:12" ht="15.75" thickBot="1" x14ac:dyDescent="0.3">
      <c r="G48" s="136" t="s">
        <v>303</v>
      </c>
      <c r="H48" s="137"/>
      <c r="I48" s="138">
        <f>I47/($C$11/1000)</f>
        <v>48.00442793720282</v>
      </c>
      <c r="K48" s="33"/>
      <c r="L48" s="33"/>
    </row>
    <row r="49" spans="7:12" x14ac:dyDescent="0.25">
      <c r="G49" s="126" t="s">
        <v>304</v>
      </c>
      <c r="H49" s="127"/>
      <c r="I49" s="128">
        <f ca="1">I48/$C$3</f>
        <v>1.955373846729239</v>
      </c>
      <c r="K49" s="109"/>
      <c r="L49" s="109"/>
    </row>
    <row r="50" spans="7:12" x14ac:dyDescent="0.25">
      <c r="I50" s="109">
        <f>I48/1.6</f>
        <v>30.002767460751762</v>
      </c>
      <c r="K50" s="33"/>
      <c r="L50" s="33"/>
    </row>
    <row r="51" spans="7:12" x14ac:dyDescent="0.25">
      <c r="I51" s="33">
        <f ca="1">I50/$C$3</f>
        <v>1.2221086542057744</v>
      </c>
    </row>
    <row r="53" spans="7:12" x14ac:dyDescent="0.25">
      <c r="H53" s="25" t="s">
        <v>260</v>
      </c>
      <c r="I53" s="25" t="s">
        <v>175</v>
      </c>
      <c r="J53" s="25" t="s">
        <v>296</v>
      </c>
      <c r="K53" s="25" t="s">
        <v>297</v>
      </c>
      <c r="L53" s="25" t="s">
        <v>305</v>
      </c>
    </row>
    <row r="54" spans="7:12" x14ac:dyDescent="0.25">
      <c r="G54" s="115">
        <v>2020</v>
      </c>
      <c r="H54" s="118">
        <v>265</v>
      </c>
      <c r="I54" s="119">
        <v>43.3</v>
      </c>
      <c r="K54" s="116">
        <f>I54/H54</f>
        <v>0.16339622641509433</v>
      </c>
    </row>
    <row r="55" spans="7:12" x14ac:dyDescent="0.25">
      <c r="G55" s="115">
        <v>2021</v>
      </c>
      <c r="H55" s="118">
        <v>285</v>
      </c>
      <c r="I55" s="119">
        <v>42.9</v>
      </c>
      <c r="J55" s="116">
        <f>H55/H54-1</f>
        <v>7.547169811320753E-2</v>
      </c>
      <c r="K55" s="116">
        <f>I55/H55</f>
        <v>0.15052631578947367</v>
      </c>
    </row>
    <row r="56" spans="7:12" x14ac:dyDescent="0.25">
      <c r="G56" s="115">
        <v>2022</v>
      </c>
      <c r="H56" s="118">
        <v>637</v>
      </c>
      <c r="I56" s="119">
        <v>69.400000000000006</v>
      </c>
      <c r="J56" s="116">
        <f>H56/H55-1</f>
        <v>1.2350877192982455</v>
      </c>
      <c r="K56" s="116">
        <f>I56/H56</f>
        <v>0.10894819466248039</v>
      </c>
    </row>
    <row r="57" spans="7:12" x14ac:dyDescent="0.25">
      <c r="G57" s="115">
        <v>2023</v>
      </c>
      <c r="H57" s="118">
        <v>705</v>
      </c>
      <c r="I57" s="119">
        <v>89.2</v>
      </c>
      <c r="J57" s="116">
        <f>H57/H56-1</f>
        <v>0.10675039246467821</v>
      </c>
      <c r="K57" s="116">
        <f>I57/H57</f>
        <v>0.12652482269503545</v>
      </c>
    </row>
    <row r="58" spans="7:12" x14ac:dyDescent="0.25">
      <c r="G58" s="115">
        <v>2024</v>
      </c>
      <c r="H58" s="118">
        <v>816</v>
      </c>
      <c r="I58" s="119">
        <v>130.5</v>
      </c>
      <c r="J58" s="116">
        <f>H58/H57-1</f>
        <v>0.15744680851063819</v>
      </c>
      <c r="K58" s="124">
        <f>I58/H58</f>
        <v>0.15992647058823528</v>
      </c>
    </row>
    <row r="59" spans="7:12" x14ac:dyDescent="0.25">
      <c r="G59" s="115">
        <v>2025</v>
      </c>
      <c r="H59" s="118">
        <v>971</v>
      </c>
      <c r="I59" s="118">
        <v>161</v>
      </c>
      <c r="J59" s="116">
        <f>H59/H58-1</f>
        <v>0.18995098039215685</v>
      </c>
      <c r="K59" s="124" t="e">
        <f>Model!#REF!</f>
        <v>#REF!</v>
      </c>
    </row>
    <row r="60" spans="7:12" x14ac:dyDescent="0.25">
      <c r="G60" s="115" t="s">
        <v>291</v>
      </c>
      <c r="H60" s="29">
        <f>H59*(1+J60)</f>
        <v>1048.68</v>
      </c>
      <c r="I60" s="31">
        <f>H60*K60</f>
        <v>125.8416</v>
      </c>
      <c r="J60" s="117">
        <v>0.08</v>
      </c>
      <c r="K60" s="117">
        <v>0.12</v>
      </c>
      <c r="L60" s="33">
        <f ca="1">($C$10/1000)/I60</f>
        <v>14.355040090541761</v>
      </c>
    </row>
    <row r="61" spans="7:12" x14ac:dyDescent="0.25">
      <c r="G61" s="130" t="s">
        <v>292</v>
      </c>
      <c r="H61" s="131">
        <f>H60*(1+J61)</f>
        <v>1101.114</v>
      </c>
      <c r="I61" s="132">
        <f>H61*K61</f>
        <v>132.13368</v>
      </c>
      <c r="J61" s="133">
        <v>0.05</v>
      </c>
      <c r="K61" s="133">
        <v>0.12</v>
      </c>
      <c r="L61" s="135">
        <f ca="1">($C$10/1000)/I61</f>
        <v>13.671466752896915</v>
      </c>
    </row>
    <row r="62" spans="7:12" x14ac:dyDescent="0.25">
      <c r="G62" s="115" t="s">
        <v>293</v>
      </c>
      <c r="H62" s="29">
        <f>H61*(1+J62)</f>
        <v>1156.1697000000001</v>
      </c>
      <c r="I62" s="31">
        <f>H62*K62</f>
        <v>138.740364</v>
      </c>
      <c r="J62" s="117">
        <v>0.05</v>
      </c>
      <c r="K62" s="117">
        <v>0.12</v>
      </c>
      <c r="L62" s="33">
        <f ca="1">($C$10/1000)/I62</f>
        <v>13.020444526568491</v>
      </c>
    </row>
    <row r="63" spans="7:12" x14ac:dyDescent="0.25">
      <c r="G63" s="115" t="s">
        <v>294</v>
      </c>
      <c r="H63" s="29">
        <f>H62*(1+J63)</f>
        <v>1213.9781850000002</v>
      </c>
      <c r="I63" s="31">
        <f>H63*K63</f>
        <v>145.67738220000001</v>
      </c>
      <c r="J63" s="117">
        <v>0.05</v>
      </c>
      <c r="K63" s="117">
        <v>0.12</v>
      </c>
      <c r="L63" s="33">
        <f ca="1">($C$10/1000)/I63</f>
        <v>12.400423358636656</v>
      </c>
    </row>
    <row r="64" spans="7:12" x14ac:dyDescent="0.25">
      <c r="G64" s="115" t="s">
        <v>295</v>
      </c>
      <c r="H64" s="29">
        <f>H63*(1+J64)</f>
        <v>1274.6770942500002</v>
      </c>
      <c r="I64" s="31">
        <f>H64*K64</f>
        <v>152.96125131000002</v>
      </c>
      <c r="J64" s="117">
        <v>0.05</v>
      </c>
      <c r="K64" s="117">
        <v>0.12</v>
      </c>
      <c r="L64" s="33">
        <f ca="1">($C$10/1000)/I64</f>
        <v>11.809927008225387</v>
      </c>
    </row>
    <row r="65" spans="7:12" x14ac:dyDescent="0.25">
      <c r="G65" s="121" t="s">
        <v>298</v>
      </c>
      <c r="I65" s="60"/>
    </row>
    <row r="66" spans="7:12" x14ac:dyDescent="0.25">
      <c r="I66" s="129" t="s">
        <v>314</v>
      </c>
    </row>
    <row r="67" spans="7:12" x14ac:dyDescent="0.25">
      <c r="G67" s="121" t="s">
        <v>299</v>
      </c>
      <c r="I67" s="31">
        <f>I61</f>
        <v>132.13368</v>
      </c>
      <c r="K67" s="120"/>
      <c r="L67" s="120"/>
    </row>
    <row r="68" spans="7:12" x14ac:dyDescent="0.25">
      <c r="G68" s="125" t="s">
        <v>136</v>
      </c>
      <c r="I68" s="120">
        <v>8</v>
      </c>
      <c r="K68" s="31"/>
      <c r="L68" s="31"/>
    </row>
    <row r="69" spans="7:12" x14ac:dyDescent="0.25">
      <c r="G69" s="121" t="s">
        <v>300</v>
      </c>
      <c r="I69" s="31">
        <f>I68*$I$67</f>
        <v>1057.06944</v>
      </c>
      <c r="K69" s="118"/>
      <c r="L69" s="118"/>
    </row>
    <row r="70" spans="7:12" x14ac:dyDescent="0.25">
      <c r="G70" s="121" t="s">
        <v>301</v>
      </c>
      <c r="I70" s="118">
        <v>150</v>
      </c>
      <c r="K70" s="31"/>
      <c r="L70" s="31"/>
    </row>
    <row r="71" spans="7:12" ht="15.75" thickBot="1" x14ac:dyDescent="0.3">
      <c r="G71" s="121" t="s">
        <v>302</v>
      </c>
      <c r="I71" s="31">
        <f>I69-I70</f>
        <v>907.06943999999999</v>
      </c>
      <c r="K71" s="109"/>
      <c r="L71" s="109"/>
    </row>
    <row r="72" spans="7:12" ht="15.75" thickBot="1" x14ac:dyDescent="0.3">
      <c r="G72" s="136" t="s">
        <v>303</v>
      </c>
      <c r="H72" s="137"/>
      <c r="I72" s="138">
        <f>I71/($C$11/1000)</f>
        <v>14.506929463272545</v>
      </c>
      <c r="K72" s="33"/>
      <c r="L72" s="33"/>
    </row>
    <row r="73" spans="7:12" x14ac:dyDescent="0.25">
      <c r="G73" s="126" t="s">
        <v>304</v>
      </c>
      <c r="H73" s="127"/>
      <c r="I73" s="128">
        <f ca="1">I72/$C$3</f>
        <v>0.59091362375855583</v>
      </c>
      <c r="K73" s="109"/>
      <c r="L73" s="109"/>
    </row>
    <row r="74" spans="7:12" x14ac:dyDescent="0.25">
      <c r="I74" s="109">
        <f>I72/1.6</f>
        <v>9.0668309145453403</v>
      </c>
      <c r="K74" s="33"/>
      <c r="L74" s="33"/>
    </row>
    <row r="75" spans="7:12" x14ac:dyDescent="0.25">
      <c r="I75" s="33">
        <f ca="1">I74/$C$3</f>
        <v>0.36932101484909735</v>
      </c>
    </row>
    <row r="76" spans="7:12" x14ac:dyDescent="0.25">
      <c r="H76" s="25" t="s">
        <v>260</v>
      </c>
      <c r="I76" s="25" t="s">
        <v>175</v>
      </c>
      <c r="J76" s="25" t="s">
        <v>296</v>
      </c>
      <c r="K76" s="25" t="s">
        <v>297</v>
      </c>
      <c r="L76" s="25" t="s">
        <v>305</v>
      </c>
    </row>
    <row r="77" spans="7:12" x14ac:dyDescent="0.25">
      <c r="G77" s="115">
        <v>2020</v>
      </c>
      <c r="H77" s="118">
        <v>265</v>
      </c>
      <c r="I77" s="119">
        <v>43.3</v>
      </c>
      <c r="K77" s="116">
        <f>I77/H77</f>
        <v>0.16339622641509433</v>
      </c>
    </row>
    <row r="78" spans="7:12" x14ac:dyDescent="0.25">
      <c r="G78" s="115">
        <v>2021</v>
      </c>
      <c r="H78" s="118">
        <v>285</v>
      </c>
      <c r="I78" s="119">
        <v>42.9</v>
      </c>
      <c r="J78" s="116">
        <f>H78/H77-1</f>
        <v>7.547169811320753E-2</v>
      </c>
      <c r="K78" s="116">
        <f>I78/H78</f>
        <v>0.15052631578947367</v>
      </c>
    </row>
    <row r="79" spans="7:12" x14ac:dyDescent="0.25">
      <c r="G79" s="115">
        <v>2022</v>
      </c>
      <c r="H79" s="118">
        <v>637</v>
      </c>
      <c r="I79" s="119">
        <v>69.400000000000006</v>
      </c>
      <c r="J79" s="116">
        <f>H79/H78-1</f>
        <v>1.2350877192982455</v>
      </c>
      <c r="K79" s="116">
        <f>I79/H79</f>
        <v>0.10894819466248039</v>
      </c>
    </row>
    <row r="80" spans="7:12" x14ac:dyDescent="0.25">
      <c r="G80" s="115">
        <v>2023</v>
      </c>
      <c r="H80" s="118">
        <v>705</v>
      </c>
      <c r="I80" s="119">
        <v>89.2</v>
      </c>
      <c r="J80" s="116">
        <f>H80/H79-1</f>
        <v>0.10675039246467821</v>
      </c>
      <c r="K80" s="116">
        <f>I80/H80</f>
        <v>0.12652482269503545</v>
      </c>
    </row>
    <row r="81" spans="7:12" x14ac:dyDescent="0.25">
      <c r="G81" s="115">
        <v>2024</v>
      </c>
      <c r="H81" s="118">
        <v>816</v>
      </c>
      <c r="I81" s="119">
        <v>130.5</v>
      </c>
      <c r="J81" s="116">
        <f>H81/H80-1</f>
        <v>0.15744680851063819</v>
      </c>
      <c r="K81" s="124">
        <f>I81/H81</f>
        <v>0.15992647058823528</v>
      </c>
    </row>
    <row r="82" spans="7:12" x14ac:dyDescent="0.25">
      <c r="G82" s="115">
        <v>2025</v>
      </c>
      <c r="H82" s="118">
        <v>971</v>
      </c>
      <c r="I82" s="118">
        <v>161</v>
      </c>
      <c r="J82" s="116">
        <f>H82/H81-1</f>
        <v>0.18995098039215685</v>
      </c>
      <c r="K82" s="124" t="e">
        <f>Model!#REF!</f>
        <v>#REF!</v>
      </c>
    </row>
    <row r="83" spans="7:12" x14ac:dyDescent="0.25">
      <c r="G83" s="115" t="s">
        <v>291</v>
      </c>
      <c r="H83" s="29">
        <f>H82*(1+J83)</f>
        <v>1165.2</v>
      </c>
      <c r="I83" s="31">
        <f>H83*K83</f>
        <v>233.04000000000002</v>
      </c>
      <c r="J83" s="117">
        <v>0.2</v>
      </c>
      <c r="K83" s="117">
        <v>0.2</v>
      </c>
      <c r="L83" s="33">
        <f ca="1">($C$10/1000)/I83</f>
        <v>7.7517216488925502</v>
      </c>
    </row>
    <row r="84" spans="7:12" x14ac:dyDescent="0.25">
      <c r="G84" s="130" t="s">
        <v>292</v>
      </c>
      <c r="H84" s="131">
        <f>H83*(1+J84)</f>
        <v>1339.98</v>
      </c>
      <c r="I84" s="132">
        <f>H84*K84</f>
        <v>294.79559999999998</v>
      </c>
      <c r="J84" s="133">
        <v>0.15</v>
      </c>
      <c r="K84" s="133">
        <v>0.22</v>
      </c>
      <c r="L84" s="135">
        <f ca="1">($C$10/1000)/I84</f>
        <v>6.1278432007055743</v>
      </c>
    </row>
    <row r="85" spans="7:12" x14ac:dyDescent="0.25">
      <c r="G85" s="115" t="s">
        <v>293</v>
      </c>
      <c r="H85" s="29">
        <f>H84*(1+J85)</f>
        <v>1540.9769999999999</v>
      </c>
      <c r="I85" s="31">
        <f>H85*K85</f>
        <v>339.01493999999997</v>
      </c>
      <c r="J85" s="117">
        <v>0.15</v>
      </c>
      <c r="K85" s="117">
        <v>0.22</v>
      </c>
      <c r="L85" s="33">
        <f ca="1">($C$10/1000)/I85</f>
        <v>5.3285593049613693</v>
      </c>
    </row>
    <row r="86" spans="7:12" x14ac:dyDescent="0.25">
      <c r="G86" s="115" t="s">
        <v>294</v>
      </c>
      <c r="H86" s="29">
        <f>H85*(1+J86)</f>
        <v>1772.1235499999998</v>
      </c>
      <c r="I86" s="31">
        <f>H86*K86</f>
        <v>389.86718099999996</v>
      </c>
      <c r="J86" s="117">
        <v>0.15</v>
      </c>
      <c r="K86" s="117">
        <v>0.22</v>
      </c>
      <c r="L86" s="33">
        <f ca="1">($C$10/1000)/I86</f>
        <v>4.6335298304011907</v>
      </c>
    </row>
    <row r="87" spans="7:12" x14ac:dyDescent="0.25">
      <c r="G87" s="115" t="s">
        <v>295</v>
      </c>
      <c r="H87" s="29">
        <f>H86*(1+J87)</f>
        <v>2037.9420824999995</v>
      </c>
      <c r="I87" s="31">
        <f>H87*K87</f>
        <v>448.3472581499999</v>
      </c>
      <c r="J87" s="117">
        <v>0.15</v>
      </c>
      <c r="K87" s="117">
        <v>0.22</v>
      </c>
      <c r="L87" s="33">
        <f ca="1">($C$10/1000)/I87</f>
        <v>4.0291563742619054</v>
      </c>
    </row>
    <row r="88" spans="7:12" x14ac:dyDescent="0.25">
      <c r="G88" s="121" t="s">
        <v>298</v>
      </c>
      <c r="I88" s="60"/>
    </row>
    <row r="89" spans="7:12" x14ac:dyDescent="0.25">
      <c r="I89" s="129" t="s">
        <v>315</v>
      </c>
    </row>
    <row r="90" spans="7:12" x14ac:dyDescent="0.25">
      <c r="G90" s="121" t="s">
        <v>299</v>
      </c>
      <c r="I90" s="31">
        <f>I84</f>
        <v>294.79559999999998</v>
      </c>
      <c r="K90" s="120"/>
      <c r="L90" s="120"/>
    </row>
    <row r="91" spans="7:12" x14ac:dyDescent="0.25">
      <c r="G91" s="125" t="s">
        <v>136</v>
      </c>
      <c r="I91" s="120">
        <v>15</v>
      </c>
      <c r="K91" s="31"/>
      <c r="L91" s="31"/>
    </row>
    <row r="92" spans="7:12" x14ac:dyDescent="0.25">
      <c r="G92" s="121" t="s">
        <v>300</v>
      </c>
      <c r="I92" s="31">
        <f>I91*$I$90</f>
        <v>4421.9339999999993</v>
      </c>
      <c r="K92" s="118"/>
      <c r="L92" s="118"/>
    </row>
    <row r="93" spans="7:12" x14ac:dyDescent="0.25">
      <c r="G93" s="121" t="s">
        <v>301</v>
      </c>
      <c r="I93" s="118">
        <v>150</v>
      </c>
      <c r="K93" s="31"/>
      <c r="L93" s="31"/>
    </row>
    <row r="94" spans="7:12" ht="15.75" thickBot="1" x14ac:dyDescent="0.3">
      <c r="G94" s="121" t="s">
        <v>302</v>
      </c>
      <c r="I94" s="31">
        <f>I92-I93</f>
        <v>4271.9339999999993</v>
      </c>
      <c r="K94" s="109"/>
      <c r="L94" s="109"/>
    </row>
    <row r="95" spans="7:12" ht="15.75" thickBot="1" x14ac:dyDescent="0.3">
      <c r="G95" s="136" t="s">
        <v>303</v>
      </c>
      <c r="H95" s="137"/>
      <c r="I95" s="138">
        <f>I94/($C$11/1000)</f>
        <v>68.321831247843306</v>
      </c>
      <c r="K95" s="33"/>
      <c r="L95" s="33"/>
    </row>
    <row r="96" spans="7:12" x14ac:dyDescent="0.25">
      <c r="G96" s="126" t="s">
        <v>304</v>
      </c>
      <c r="H96" s="127"/>
      <c r="I96" s="128">
        <f ca="1">I95/$C$3</f>
        <v>2.7829666496066521</v>
      </c>
      <c r="K96" s="109"/>
      <c r="L96" s="109"/>
    </row>
    <row r="97" spans="9:12" x14ac:dyDescent="0.25">
      <c r="I97" s="109">
        <f>I95/1.6</f>
        <v>42.701144529902066</v>
      </c>
      <c r="K97" s="33"/>
      <c r="L97" s="33"/>
    </row>
    <row r="98" spans="9:12" x14ac:dyDescent="0.25">
      <c r="I98" s="33">
        <f ca="1">I97/$C$3</f>
        <v>1.7393541560041574</v>
      </c>
    </row>
  </sheetData>
  <hyperlinks>
    <hyperlink ref="F19" r:id="rId1" xr:uid="{3F892B40-5C5D-401A-8616-AE6FDF1F4631}"/>
  </hyperlinks>
  <pageMargins left="0.7" right="0.7" top="0.75" bottom="0.75" header="0.3" footer="0.3"/>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9B4DB-EAAE-48E8-A7C2-E14A4243D833}">
  <dimension ref="A1:AE254"/>
  <sheetViews>
    <sheetView zoomScale="115" zoomScaleNormal="115" workbookViewId="0">
      <pane xSplit="2" ySplit="2" topLeftCell="W224" activePane="bottomRight" state="frozen"/>
      <selection pane="topRight" activeCell="C1" sqref="C1"/>
      <selection pane="bottomLeft" activeCell="A3" sqref="A3"/>
      <selection pane="bottomRight" activeCell="Y52" sqref="Y52"/>
    </sheetView>
  </sheetViews>
  <sheetFormatPr defaultRowHeight="15" outlineLevelRow="1" x14ac:dyDescent="0.25"/>
  <cols>
    <col min="1" max="1" width="2.85546875" style="2" customWidth="1"/>
    <col min="2" max="2" width="50.140625" style="2" bestFit="1" customWidth="1"/>
    <col min="3" max="3" width="9.140625" style="2"/>
    <col min="6" max="7" width="11.7109375" style="2" customWidth="1"/>
    <col min="8" max="8" width="10" style="2" bestFit="1" customWidth="1"/>
    <col min="9" max="10" width="9.140625" style="2"/>
    <col min="11" max="11" width="11.7109375" style="2" bestFit="1" customWidth="1"/>
    <col min="12" max="12" width="12.140625" style="2" bestFit="1" customWidth="1"/>
    <col min="13" max="13" width="11.7109375" style="2" bestFit="1" customWidth="1"/>
    <col min="14" max="14" width="9.42578125" style="2" customWidth="1"/>
    <col min="15" max="15" width="11.7109375" style="2" bestFit="1" customWidth="1"/>
    <col min="16" max="17" width="12.140625" style="2" bestFit="1" customWidth="1"/>
    <col min="18" max="18" width="12.140625" style="2" customWidth="1"/>
    <col min="19" max="19" width="6.7109375" style="2" customWidth="1"/>
    <col min="20" max="20" width="13.7109375" style="2" bestFit="1" customWidth="1"/>
    <col min="21" max="21" width="12.42578125" style="2" bestFit="1" customWidth="1"/>
    <col min="22" max="22" width="12.140625" style="2" bestFit="1" customWidth="1"/>
    <col min="23" max="23" width="11.7109375" style="2" bestFit="1" customWidth="1"/>
    <col min="24" max="24" width="11.7109375" style="2" customWidth="1"/>
    <col min="25" max="25" width="11.7109375" style="2" bestFit="1" customWidth="1"/>
    <col min="26" max="26" width="9.140625" style="2"/>
    <col min="27" max="28" width="9.85546875" style="2" bestFit="1" customWidth="1"/>
    <col min="29" max="30" width="9.5703125" style="2" bestFit="1" customWidth="1"/>
    <col min="31" max="31" width="9.85546875" style="2" bestFit="1" customWidth="1"/>
    <col min="32" max="16384" width="9.140625" style="2"/>
  </cols>
  <sheetData>
    <row r="1" spans="1:31" x14ac:dyDescent="0.25">
      <c r="P1" s="54"/>
      <c r="Q1" s="54"/>
      <c r="R1" s="54"/>
    </row>
    <row r="2" spans="1:31" s="71" customFormat="1" ht="12" x14ac:dyDescent="0.2">
      <c r="C2" s="71" t="s">
        <v>224</v>
      </c>
      <c r="D2" s="71" t="s">
        <v>223</v>
      </c>
      <c r="E2" s="71" t="s">
        <v>222</v>
      </c>
      <c r="F2" s="71" t="s">
        <v>242</v>
      </c>
      <c r="G2" s="71" t="s">
        <v>171</v>
      </c>
      <c r="H2" s="71" t="s">
        <v>166</v>
      </c>
      <c r="I2" s="71" t="s">
        <v>7</v>
      </c>
      <c r="J2" s="71" t="s">
        <v>6</v>
      </c>
      <c r="K2" s="71" t="s">
        <v>0</v>
      </c>
      <c r="L2" s="71" t="s">
        <v>5</v>
      </c>
      <c r="M2" s="71" t="s">
        <v>4</v>
      </c>
      <c r="N2" s="71" t="s">
        <v>3</v>
      </c>
      <c r="O2" s="71" t="s">
        <v>2</v>
      </c>
      <c r="P2" s="72" t="s">
        <v>1</v>
      </c>
      <c r="Q2" s="72" t="s">
        <v>282</v>
      </c>
      <c r="R2" s="72" t="s">
        <v>285</v>
      </c>
      <c r="T2" s="71" t="s">
        <v>225</v>
      </c>
      <c r="U2" s="71" t="s">
        <v>111</v>
      </c>
      <c r="V2" s="71" t="s">
        <v>85</v>
      </c>
      <c r="W2" s="71" t="s">
        <v>84</v>
      </c>
      <c r="X2" s="71" t="s">
        <v>327</v>
      </c>
      <c r="Y2" s="71" t="s">
        <v>272</v>
      </c>
      <c r="Z2" s="73" t="s">
        <v>252</v>
      </c>
      <c r="AA2" s="71" t="s">
        <v>290</v>
      </c>
      <c r="AB2" s="71" t="s">
        <v>307</v>
      </c>
      <c r="AC2" s="71" t="s">
        <v>308</v>
      </c>
      <c r="AD2" s="71" t="s">
        <v>309</v>
      </c>
      <c r="AE2" s="71" t="s">
        <v>310</v>
      </c>
    </row>
    <row r="3" spans="1:31" x14ac:dyDescent="0.25">
      <c r="A3" s="2" t="s">
        <v>21</v>
      </c>
      <c r="B3" s="49" t="s">
        <v>172</v>
      </c>
      <c r="P3" s="54"/>
      <c r="Q3" s="54"/>
      <c r="R3" s="54"/>
    </row>
    <row r="4" spans="1:31" x14ac:dyDescent="0.25">
      <c r="B4" s="83" t="s">
        <v>173</v>
      </c>
      <c r="C4" s="84"/>
      <c r="D4" s="85"/>
      <c r="E4" s="85"/>
      <c r="F4" s="84"/>
      <c r="G4" s="84"/>
      <c r="H4" s="84"/>
      <c r="I4" s="84"/>
      <c r="J4" s="84"/>
      <c r="K4" s="84"/>
      <c r="L4" s="84"/>
      <c r="M4" s="84"/>
      <c r="N4" s="84"/>
      <c r="O4" s="84"/>
      <c r="P4" s="86"/>
      <c r="Q4" s="86"/>
      <c r="R4" s="86"/>
      <c r="S4" s="84"/>
      <c r="T4" s="84"/>
      <c r="U4" s="84"/>
      <c r="V4" s="84"/>
      <c r="W4" s="84"/>
      <c r="X4" s="84"/>
      <c r="Y4" s="84"/>
    </row>
    <row r="5" spans="1:31" ht="12" x14ac:dyDescent="0.2">
      <c r="B5" s="9" t="s">
        <v>8</v>
      </c>
      <c r="C5" s="1">
        <v>89358</v>
      </c>
      <c r="D5" s="8">
        <f>256935-C5</f>
        <v>167577</v>
      </c>
      <c r="E5" s="8">
        <f>433174-D5-C5</f>
        <v>176239</v>
      </c>
      <c r="F5" s="5">
        <f>U5-E5-D5-C5</f>
        <v>202349</v>
      </c>
      <c r="G5" s="1">
        <v>166389</v>
      </c>
      <c r="H5" s="8">
        <f>332024-G5</f>
        <v>165635</v>
      </c>
      <c r="I5" s="8">
        <f>496727-H5-G5</f>
        <v>164703</v>
      </c>
      <c r="J5" s="5">
        <f>V5-I5-H5-G5</f>
        <v>206340</v>
      </c>
      <c r="K5" s="1">
        <v>207384</v>
      </c>
      <c r="L5" s="8">
        <f>407878-K5</f>
        <v>200494</v>
      </c>
      <c r="M5" s="8">
        <f>610539-L5-K5</f>
        <v>202661</v>
      </c>
      <c r="N5" s="5">
        <f>W5-M5-L5-K5</f>
        <v>203526</v>
      </c>
      <c r="O5" s="1">
        <v>221323</v>
      </c>
      <c r="P5" s="8">
        <f>429903-O5</f>
        <v>208580</v>
      </c>
      <c r="Q5" s="8">
        <f>649100-P5-O5</f>
        <v>219197</v>
      </c>
      <c r="R5" s="8">
        <f>Q5+P5+O5+N5</f>
        <v>852626</v>
      </c>
      <c r="S5" s="1"/>
      <c r="T5" s="1">
        <v>284587</v>
      </c>
      <c r="U5" s="1">
        <v>635523</v>
      </c>
      <c r="V5" s="1">
        <v>703067</v>
      </c>
      <c r="W5" s="1">
        <v>814065</v>
      </c>
      <c r="X5" s="1"/>
      <c r="Y5" s="1">
        <v>881272</v>
      </c>
      <c r="Z5" s="24">
        <f>((W5/T5)^(1/(2024-2021)))-1</f>
        <v>0.4195412219955843</v>
      </c>
      <c r="AA5" s="1">
        <v>1000000</v>
      </c>
    </row>
    <row r="6" spans="1:31" ht="14.25" x14ac:dyDescent="0.35">
      <c r="B6" s="6" t="s">
        <v>174</v>
      </c>
      <c r="C6" s="3">
        <v>519</v>
      </c>
      <c r="D6" s="48">
        <f>572-C6</f>
        <v>53</v>
      </c>
      <c r="E6" s="48">
        <f>648-D6-C6</f>
        <v>76</v>
      </c>
      <c r="F6" s="17">
        <f>U6-E6-D6-C6</f>
        <v>256</v>
      </c>
      <c r="G6" s="3">
        <v>371</v>
      </c>
      <c r="H6" s="48">
        <f>695-G6</f>
        <v>324</v>
      </c>
      <c r="I6" s="48">
        <f>1010-H6-G6</f>
        <v>315</v>
      </c>
      <c r="J6" s="17">
        <f>V6-I6-H6-G6</f>
        <v>452</v>
      </c>
      <c r="K6" s="3">
        <v>389</v>
      </c>
      <c r="L6" s="48">
        <f>1102-K6</f>
        <v>713</v>
      </c>
      <c r="M6" s="48">
        <f>1462-L6-K6</f>
        <v>360</v>
      </c>
      <c r="N6" s="17">
        <f>W6-M6-L6-K6</f>
        <v>92</v>
      </c>
      <c r="O6" s="3">
        <v>0</v>
      </c>
      <c r="P6" s="48">
        <v>0</v>
      </c>
      <c r="Q6" s="48">
        <v>0</v>
      </c>
      <c r="R6" s="8">
        <f>Q6+P6+O6+N6</f>
        <v>92</v>
      </c>
      <c r="S6" s="3"/>
      <c r="T6" s="3">
        <v>378</v>
      </c>
      <c r="U6" s="3">
        <v>904</v>
      </c>
      <c r="V6" s="3">
        <v>1462</v>
      </c>
      <c r="W6" s="3">
        <v>1554</v>
      </c>
      <c r="X6" s="3"/>
      <c r="Y6" s="3">
        <v>0</v>
      </c>
      <c r="AA6" s="3">
        <v>0</v>
      </c>
    </row>
    <row r="7" spans="1:31" ht="12" x14ac:dyDescent="0.2">
      <c r="B7" s="2" t="s">
        <v>179</v>
      </c>
      <c r="C7" s="5">
        <f t="shared" ref="C7:P7" si="0">C6+C5</f>
        <v>89877</v>
      </c>
      <c r="D7" s="53">
        <f t="shared" si="0"/>
        <v>167630</v>
      </c>
      <c r="E7" s="53">
        <f t="shared" si="0"/>
        <v>176315</v>
      </c>
      <c r="F7" s="5">
        <f t="shared" si="0"/>
        <v>202605</v>
      </c>
      <c r="G7" s="5">
        <f t="shared" si="0"/>
        <v>166760</v>
      </c>
      <c r="H7" s="5">
        <f t="shared" si="0"/>
        <v>165959</v>
      </c>
      <c r="I7" s="53">
        <f t="shared" si="0"/>
        <v>165018</v>
      </c>
      <c r="J7" s="5">
        <f t="shared" si="0"/>
        <v>206792</v>
      </c>
      <c r="K7" s="5">
        <f t="shared" si="0"/>
        <v>207773</v>
      </c>
      <c r="L7" s="53">
        <f t="shared" si="0"/>
        <v>201207</v>
      </c>
      <c r="M7" s="53">
        <f t="shared" si="0"/>
        <v>203021</v>
      </c>
      <c r="N7" s="53">
        <f t="shared" si="0"/>
        <v>203618</v>
      </c>
      <c r="O7" s="5">
        <f>O6+O5</f>
        <v>221323</v>
      </c>
      <c r="P7" s="53">
        <f t="shared" si="0"/>
        <v>208580</v>
      </c>
      <c r="Q7" s="53">
        <f t="shared" ref="Q7:R7" si="1">Q6+Q5</f>
        <v>219197</v>
      </c>
      <c r="R7" s="53">
        <f t="shared" si="1"/>
        <v>852718</v>
      </c>
      <c r="S7" s="5"/>
      <c r="T7" s="5">
        <f>T6+T5</f>
        <v>284965</v>
      </c>
      <c r="U7" s="5">
        <f t="shared" ref="U7" si="2">U6+U5</f>
        <v>636427</v>
      </c>
      <c r="V7" s="5">
        <f>V6+V5</f>
        <v>704529</v>
      </c>
      <c r="W7" s="5">
        <f>W6+W5</f>
        <v>815619</v>
      </c>
      <c r="X7" s="5"/>
      <c r="Y7" s="5">
        <f>Y6+Y5</f>
        <v>881272</v>
      </c>
      <c r="AA7" s="53">
        <f>AA6+AA5</f>
        <v>1000000</v>
      </c>
      <c r="AB7" s="122">
        <f>AA7*(1+AB8)</f>
        <v>1100000</v>
      </c>
      <c r="AC7" s="122">
        <f t="shared" ref="AC7:AE7" si="3">AB7*(1+AC8)</f>
        <v>1265000</v>
      </c>
      <c r="AD7" s="122">
        <f t="shared" si="3"/>
        <v>1429449.9999999998</v>
      </c>
      <c r="AE7" s="122">
        <f t="shared" si="3"/>
        <v>1572394.9999999998</v>
      </c>
    </row>
    <row r="8" spans="1:31" ht="12" x14ac:dyDescent="0.2">
      <c r="B8" s="6" t="s">
        <v>316</v>
      </c>
      <c r="C8" s="5"/>
      <c r="D8" s="53"/>
      <c r="E8" s="53"/>
      <c r="F8" s="5"/>
      <c r="G8" s="5"/>
      <c r="H8" s="5"/>
      <c r="I8" s="53"/>
      <c r="J8" s="5"/>
      <c r="K8" s="5"/>
      <c r="L8" s="53"/>
      <c r="M8" s="53"/>
      <c r="N8" s="53"/>
      <c r="O8" s="5"/>
      <c r="P8" s="53"/>
      <c r="Q8" s="53"/>
      <c r="R8" s="108">
        <f>R7/W7-1</f>
        <v>4.5485698592112156E-2</v>
      </c>
      <c r="S8" s="5"/>
      <c r="T8" s="5"/>
      <c r="U8" s="40">
        <f>U5/T5-1</f>
        <v>1.2331413592328531</v>
      </c>
      <c r="V8" s="40">
        <f t="shared" ref="V8:W8" si="4">V5/U5-1</f>
        <v>0.10628096858807634</v>
      </c>
      <c r="W8" s="40">
        <f t="shared" si="4"/>
        <v>0.15787684530777302</v>
      </c>
      <c r="X8" s="40"/>
      <c r="Y8" s="40">
        <f>Y5/W5-1</f>
        <v>8.2557289651317811E-2</v>
      </c>
      <c r="AA8" s="40">
        <f>AA7/Y7-1</f>
        <v>0.13472344520193547</v>
      </c>
      <c r="AB8" s="123">
        <v>0.1</v>
      </c>
      <c r="AC8" s="123">
        <v>0.15</v>
      </c>
      <c r="AD8" s="123">
        <v>0.13</v>
      </c>
      <c r="AE8" s="123">
        <v>0.1</v>
      </c>
    </row>
    <row r="9" spans="1:31" ht="12" x14ac:dyDescent="0.2">
      <c r="B9" s="2" t="s">
        <v>175</v>
      </c>
      <c r="C9" s="1">
        <v>11678</v>
      </c>
      <c r="D9" s="8">
        <f>24586-C9</f>
        <v>12908</v>
      </c>
      <c r="E9" s="8">
        <f>32702-D9-C9</f>
        <v>8116</v>
      </c>
      <c r="F9" s="5">
        <f>U9-E9-D9-C9</f>
        <v>33006</v>
      </c>
      <c r="G9" s="1">
        <v>13452</v>
      </c>
      <c r="H9" s="8">
        <f>35171-G9</f>
        <v>21719</v>
      </c>
      <c r="I9" s="8">
        <f>52695-H9-G9</f>
        <v>17524</v>
      </c>
      <c r="J9" s="5">
        <f>V9-I9-H9-G9</f>
        <v>20874</v>
      </c>
      <c r="K9" s="1">
        <v>29287</v>
      </c>
      <c r="L9" s="8">
        <f>60097-K9</f>
        <v>30810</v>
      </c>
      <c r="M9" s="8">
        <f>90888-L9-K9</f>
        <v>30791</v>
      </c>
      <c r="N9" s="5">
        <f>W9-M9-L9-K9</f>
        <v>36147</v>
      </c>
      <c r="O9" s="1">
        <v>39812</v>
      </c>
      <c r="P9" s="8">
        <f>76421-O9</f>
        <v>36609</v>
      </c>
      <c r="Q9" s="8">
        <f>111200-P9-O9</f>
        <v>34779</v>
      </c>
      <c r="R9" s="8">
        <f>Q9+P9+O9+N9</f>
        <v>147347</v>
      </c>
      <c r="S9" s="1"/>
      <c r="T9" s="1">
        <v>35127</v>
      </c>
      <c r="U9" s="1">
        <v>65708</v>
      </c>
      <c r="V9" s="1">
        <v>73569</v>
      </c>
      <c r="W9" s="1">
        <v>127035</v>
      </c>
      <c r="X9" s="1"/>
      <c r="Y9" s="1">
        <v>159811</v>
      </c>
      <c r="Z9" s="24">
        <f>((W9/T9)^(1/(2024-2021)))-1</f>
        <v>0.5349495660445045</v>
      </c>
      <c r="AA9" s="1">
        <v>185000</v>
      </c>
    </row>
    <row r="10" spans="1:31" ht="12" x14ac:dyDescent="0.2">
      <c r="B10" s="6" t="s">
        <v>181</v>
      </c>
      <c r="C10" s="50">
        <f t="shared" ref="C10:R10" si="5">C9/C$7</f>
        <v>0.12993313083436253</v>
      </c>
      <c r="D10" s="51">
        <f t="shared" si="5"/>
        <v>7.7002923104456236E-2</v>
      </c>
      <c r="E10" s="51">
        <f t="shared" si="5"/>
        <v>4.6031250886198E-2</v>
      </c>
      <c r="F10" s="50">
        <f t="shared" si="5"/>
        <v>0.16290812171466648</v>
      </c>
      <c r="G10" s="50">
        <f t="shared" si="5"/>
        <v>8.066682657711681E-2</v>
      </c>
      <c r="H10" s="51">
        <f t="shared" si="5"/>
        <v>0.13086967262998692</v>
      </c>
      <c r="I10" s="51">
        <f t="shared" si="5"/>
        <v>0.10619447575416015</v>
      </c>
      <c r="J10" s="50">
        <f t="shared" si="5"/>
        <v>0.10094200936206429</v>
      </c>
      <c r="K10" s="50">
        <f t="shared" si="5"/>
        <v>0.14095671718654493</v>
      </c>
      <c r="L10" s="51">
        <f t="shared" si="5"/>
        <v>0.15312588528232118</v>
      </c>
      <c r="M10" s="51">
        <f t="shared" si="5"/>
        <v>0.15166411356460663</v>
      </c>
      <c r="N10" s="50">
        <f t="shared" si="5"/>
        <v>0.17752359811018673</v>
      </c>
      <c r="O10" s="50">
        <f>O9/O$7</f>
        <v>0.17988189207628669</v>
      </c>
      <c r="P10" s="51">
        <f t="shared" si="5"/>
        <v>0.17551538977850226</v>
      </c>
      <c r="Q10" s="51">
        <f t="shared" si="5"/>
        <v>0.15866549268466265</v>
      </c>
      <c r="R10" s="51">
        <f t="shared" si="5"/>
        <v>0.17279686836679886</v>
      </c>
      <c r="S10" s="50"/>
      <c r="T10" s="50">
        <f>T9/T$7</f>
        <v>0.12326776972610672</v>
      </c>
      <c r="U10" s="50">
        <f>U9/U$7</f>
        <v>0.10324514830451882</v>
      </c>
      <c r="V10" s="50">
        <f>V9/V$7</f>
        <v>0.10442295491030178</v>
      </c>
      <c r="W10" s="50">
        <f>W9/W$7</f>
        <v>0.15575286990616943</v>
      </c>
      <c r="X10" s="50"/>
      <c r="Y10" s="50">
        <f>Y9/Y$7</f>
        <v>0.18134128850116649</v>
      </c>
      <c r="AA10" s="50">
        <f>AA9/AA$7</f>
        <v>0.185</v>
      </c>
    </row>
    <row r="11" spans="1:31" ht="12" x14ac:dyDescent="0.2">
      <c r="B11" s="2" t="s">
        <v>176</v>
      </c>
      <c r="C11" s="1">
        <v>-14970</v>
      </c>
      <c r="D11" s="8">
        <f>-37801-C11</f>
        <v>-22831</v>
      </c>
      <c r="E11" s="8">
        <f>-62307-D11-C11</f>
        <v>-24506</v>
      </c>
      <c r="F11" s="5">
        <f>U11-E11-D11-C11</f>
        <v>-27111</v>
      </c>
      <c r="G11" s="1">
        <v>-22983</v>
      </c>
      <c r="H11" s="8">
        <f>-42109-G11</f>
        <v>-19126</v>
      </c>
      <c r="I11" s="8">
        <f>-64593-H11-G11</f>
        <v>-22484</v>
      </c>
      <c r="J11" s="5">
        <f>V11-I11-H11-G11</f>
        <v>-17934</v>
      </c>
      <c r="K11" s="1">
        <v>-20244</v>
      </c>
      <c r="L11" s="8">
        <f>-41789-K11</f>
        <v>-21545</v>
      </c>
      <c r="M11" s="8">
        <f>-62487-L11-K11</f>
        <v>-20698</v>
      </c>
      <c r="N11" s="5">
        <f>W11-M11-L11-K11</f>
        <v>-20512</v>
      </c>
      <c r="O11" s="1">
        <v>-21520</v>
      </c>
      <c r="P11" s="8">
        <f>-42525-O11</f>
        <v>-21005</v>
      </c>
      <c r="Q11" s="8"/>
      <c r="R11" s="8"/>
      <c r="S11" s="1"/>
      <c r="T11" s="1">
        <v>-54104</v>
      </c>
      <c r="U11" s="1">
        <v>-89418</v>
      </c>
      <c r="V11" s="1">
        <v>-82527</v>
      </c>
      <c r="W11" s="1">
        <v>-82999</v>
      </c>
      <c r="X11" s="1"/>
      <c r="Y11" s="1">
        <v>-87106</v>
      </c>
    </row>
    <row r="12" spans="1:31" ht="12" x14ac:dyDescent="0.2">
      <c r="B12" s="6" t="s">
        <v>181</v>
      </c>
      <c r="C12" s="40">
        <f t="shared" ref="C12:P12" si="6">-C11/C$7</f>
        <v>0.16656096665442771</v>
      </c>
      <c r="D12" s="52">
        <f t="shared" si="6"/>
        <v>0.13619877110302453</v>
      </c>
      <c r="E12" s="52">
        <f t="shared" si="6"/>
        <v>0.13898987607407198</v>
      </c>
      <c r="F12" s="40">
        <f t="shared" si="6"/>
        <v>0.13381209743096173</v>
      </c>
      <c r="G12" s="40">
        <f t="shared" si="6"/>
        <v>0.13782082034060925</v>
      </c>
      <c r="H12" s="52">
        <f t="shared" si="6"/>
        <v>0.11524533167830608</v>
      </c>
      <c r="I12" s="52">
        <f t="shared" si="6"/>
        <v>0.13625180283363028</v>
      </c>
      <c r="J12" s="40">
        <f t="shared" si="6"/>
        <v>8.6724824944872145E-2</v>
      </c>
      <c r="K12" s="40">
        <f t="shared" si="6"/>
        <v>9.7433256486646483E-2</v>
      </c>
      <c r="L12" s="52">
        <f t="shared" si="6"/>
        <v>0.10707877956532327</v>
      </c>
      <c r="M12" s="52">
        <f t="shared" si="6"/>
        <v>0.10195004457666941</v>
      </c>
      <c r="N12" s="40">
        <f t="shared" si="6"/>
        <v>0.10073765580646112</v>
      </c>
      <c r="O12" s="40">
        <f>-O11/O$7</f>
        <v>9.7233455176371192E-2</v>
      </c>
      <c r="P12" s="52">
        <f t="shared" si="6"/>
        <v>0.10070476555757983</v>
      </c>
      <c r="Q12" s="52"/>
      <c r="R12" s="52"/>
      <c r="S12" s="40"/>
      <c r="T12" s="40">
        <f>-T11/T$7</f>
        <v>0.18986191286649237</v>
      </c>
      <c r="U12" s="40">
        <f>-U11/U$7</f>
        <v>0.14050001021326877</v>
      </c>
      <c r="V12" s="40">
        <f>-V11/V$7</f>
        <v>0.11713783250937861</v>
      </c>
      <c r="W12" s="40">
        <f>-W11/W$7</f>
        <v>0.10176197464747633</v>
      </c>
      <c r="X12" s="40"/>
      <c r="Y12" s="40">
        <f>-Y11/Y$7</f>
        <v>9.8841220417759779E-2</v>
      </c>
    </row>
    <row r="13" spans="1:31" ht="12" x14ac:dyDescent="0.2">
      <c r="B13" s="2" t="s">
        <v>177</v>
      </c>
      <c r="C13" s="1">
        <v>16369</v>
      </c>
      <c r="D13" s="8">
        <f>30538-C13</f>
        <v>14169</v>
      </c>
      <c r="E13" s="8">
        <f>49043-D13-C13</f>
        <v>18505</v>
      </c>
      <c r="F13" s="5">
        <f>U13-E13-D13-C13</f>
        <v>28179</v>
      </c>
      <c r="G13" s="1">
        <v>12492</v>
      </c>
      <c r="H13" s="8">
        <f>24312-G13</f>
        <v>11820</v>
      </c>
      <c r="I13" s="8">
        <f>34871-H13-G13</f>
        <v>10559</v>
      </c>
      <c r="J13" s="5">
        <f>V13-I13-H13-G13</f>
        <v>19149</v>
      </c>
      <c r="K13" s="1">
        <v>11805</v>
      </c>
      <c r="L13" s="8">
        <f>25517-K13</f>
        <v>13712</v>
      </c>
      <c r="M13" s="8">
        <f>39783-L13-K13</f>
        <v>14266</v>
      </c>
      <c r="N13" s="5">
        <f>W13-M13-L13-K13</f>
        <v>33499</v>
      </c>
      <c r="O13" s="1">
        <v>23138</v>
      </c>
      <c r="P13" s="8">
        <f>36460-O13</f>
        <v>13322</v>
      </c>
      <c r="Q13" s="8"/>
      <c r="R13" s="8"/>
      <c r="S13" s="1"/>
      <c r="T13" s="1">
        <v>100787</v>
      </c>
      <c r="U13" s="1">
        <v>77222</v>
      </c>
      <c r="V13" s="1">
        <v>54020</v>
      </c>
      <c r="W13" s="1">
        <v>73282</v>
      </c>
      <c r="X13" s="1"/>
      <c r="Y13" s="1">
        <v>68161</v>
      </c>
    </row>
    <row r="14" spans="1:31" ht="12" x14ac:dyDescent="0.2">
      <c r="B14" s="6" t="s">
        <v>251</v>
      </c>
      <c r="C14" s="40">
        <f t="shared" ref="C14:P14" si="7">C13/C$7</f>
        <v>0.18212668424624764</v>
      </c>
      <c r="D14" s="52">
        <f t="shared" si="7"/>
        <v>8.4525442939807904E-2</v>
      </c>
      <c r="E14" s="52">
        <f t="shared" si="7"/>
        <v>0.10495420128746845</v>
      </c>
      <c r="F14" s="40">
        <f t="shared" si="7"/>
        <v>0.13908343821722069</v>
      </c>
      <c r="G14" s="40">
        <f t="shared" si="7"/>
        <v>7.4910050371791798E-2</v>
      </c>
      <c r="H14" s="52">
        <f t="shared" si="7"/>
        <v>7.1222410354364635E-2</v>
      </c>
      <c r="I14" s="52">
        <f t="shared" si="7"/>
        <v>6.3986958998412294E-2</v>
      </c>
      <c r="J14" s="40">
        <f t="shared" si="7"/>
        <v>9.2600294015242363E-2</v>
      </c>
      <c r="K14" s="40">
        <f t="shared" si="7"/>
        <v>5.6816814504290741E-2</v>
      </c>
      <c r="L14" s="52">
        <f t="shared" si="7"/>
        <v>6.8148722459954181E-2</v>
      </c>
      <c r="M14" s="52">
        <f t="shared" si="7"/>
        <v>7.0268592904182331E-2</v>
      </c>
      <c r="N14" s="40">
        <f t="shared" si="7"/>
        <v>0.16451885393236354</v>
      </c>
      <c r="O14" s="40">
        <f>O13/O$7</f>
        <v>0.10454403744753143</v>
      </c>
      <c r="P14" s="52">
        <f t="shared" si="7"/>
        <v>6.3869977946111808E-2</v>
      </c>
      <c r="Q14" s="52"/>
      <c r="R14" s="52"/>
      <c r="S14" s="40"/>
      <c r="T14" s="40">
        <f>T13/T$7</f>
        <v>0.3536820311266296</v>
      </c>
      <c r="U14" s="40">
        <f>U13/U$7</f>
        <v>0.12133677546678566</v>
      </c>
      <c r="V14" s="40">
        <f>V13/V$7</f>
        <v>7.6675339127275102E-2</v>
      </c>
      <c r="W14" s="40">
        <f>W13/W$7</f>
        <v>8.9848323788435533E-2</v>
      </c>
      <c r="X14" s="40"/>
      <c r="Y14" s="40">
        <f>Y13/Y$7</f>
        <v>7.7343884748409114E-2</v>
      </c>
    </row>
    <row r="15" spans="1:31" ht="12" x14ac:dyDescent="0.2">
      <c r="B15" s="140" t="s">
        <v>324</v>
      </c>
      <c r="C15" s="141"/>
      <c r="D15" s="142"/>
      <c r="E15" s="142"/>
      <c r="F15" s="141"/>
      <c r="G15" s="141"/>
      <c r="H15" s="142"/>
      <c r="I15" s="142"/>
      <c r="J15" s="141"/>
      <c r="K15" s="141"/>
      <c r="L15" s="142"/>
      <c r="M15" s="142"/>
      <c r="N15" s="141"/>
      <c r="O15" s="141"/>
      <c r="P15" s="142"/>
      <c r="Q15" s="142"/>
      <c r="R15" s="142"/>
      <c r="S15" s="141"/>
      <c r="T15" s="141"/>
      <c r="U15" s="141"/>
      <c r="V15" s="141"/>
      <c r="W15" s="141"/>
      <c r="X15" s="141"/>
      <c r="Y15" s="143">
        <v>10</v>
      </c>
    </row>
    <row r="16" spans="1:31" ht="12" x14ac:dyDescent="0.2">
      <c r="B16" s="2" t="s">
        <v>325</v>
      </c>
      <c r="C16" s="40"/>
      <c r="D16" s="52"/>
      <c r="E16" s="52"/>
      <c r="F16" s="40"/>
      <c r="G16" s="40"/>
      <c r="H16" s="52"/>
      <c r="I16" s="52"/>
      <c r="J16" s="40"/>
      <c r="K16" s="40"/>
      <c r="L16" s="52"/>
      <c r="M16" s="52"/>
      <c r="N16" s="40"/>
      <c r="O16" s="40"/>
      <c r="P16" s="52"/>
      <c r="Q16" s="52"/>
      <c r="R16" s="52"/>
      <c r="S16" s="40"/>
      <c r="T16" s="40"/>
      <c r="U16" s="40"/>
      <c r="V16" s="40"/>
      <c r="W16" s="40"/>
      <c r="X16" s="40"/>
      <c r="Y16" s="19">
        <f>Y9*Y15</f>
        <v>1598110</v>
      </c>
    </row>
    <row r="17" spans="2:31" x14ac:dyDescent="0.25">
      <c r="B17" s="83" t="s">
        <v>129</v>
      </c>
      <c r="C17" s="84"/>
      <c r="D17" s="85"/>
      <c r="E17" s="85"/>
      <c r="F17" s="84"/>
      <c r="G17" s="84"/>
      <c r="H17" s="84"/>
      <c r="I17" s="84"/>
      <c r="J17" s="84"/>
      <c r="K17" s="84"/>
      <c r="L17" s="84"/>
      <c r="M17" s="84"/>
      <c r="N17" s="84"/>
      <c r="O17" s="84"/>
      <c r="P17" s="86"/>
      <c r="Q17" s="86"/>
      <c r="R17" s="86"/>
      <c r="S17" s="84"/>
      <c r="T17" s="84"/>
      <c r="U17" s="84"/>
      <c r="V17" s="84"/>
      <c r="W17" s="84"/>
      <c r="X17" s="84"/>
      <c r="Y17" s="84"/>
    </row>
    <row r="18" spans="2:31" ht="12" x14ac:dyDescent="0.2">
      <c r="B18" s="9" t="s">
        <v>8</v>
      </c>
      <c r="C18" s="40"/>
      <c r="D18" s="52"/>
      <c r="E18" s="52"/>
      <c r="F18" s="40"/>
      <c r="G18" s="40"/>
      <c r="H18" s="52"/>
      <c r="I18" s="52"/>
      <c r="J18" s="40"/>
      <c r="K18" s="40"/>
      <c r="L18" s="52"/>
      <c r="M18" s="52"/>
      <c r="N18" s="40"/>
      <c r="O18" s="40"/>
      <c r="P18" s="52"/>
      <c r="Q18" s="52"/>
      <c r="R18" s="52"/>
      <c r="S18" s="40"/>
      <c r="T18" s="40"/>
      <c r="U18" s="40"/>
      <c r="V18" s="40"/>
      <c r="W18" s="1">
        <v>36959</v>
      </c>
      <c r="X18" s="1"/>
      <c r="Y18" s="1">
        <v>98060</v>
      </c>
      <c r="AA18" s="5">
        <f>Y18</f>
        <v>98060</v>
      </c>
      <c r="AB18" s="5">
        <f>AA18</f>
        <v>98060</v>
      </c>
      <c r="AC18" s="5">
        <f t="shared" ref="AC18:AE18" si="8">AB18</f>
        <v>98060</v>
      </c>
      <c r="AD18" s="5">
        <f t="shared" si="8"/>
        <v>98060</v>
      </c>
      <c r="AE18" s="5">
        <f t="shared" si="8"/>
        <v>98060</v>
      </c>
    </row>
    <row r="19" spans="2:31" ht="14.25" x14ac:dyDescent="0.35">
      <c r="B19" s="6" t="s">
        <v>174</v>
      </c>
      <c r="C19" s="40"/>
      <c r="D19" s="52"/>
      <c r="E19" s="52"/>
      <c r="F19" s="40"/>
      <c r="G19" s="40"/>
      <c r="H19" s="52"/>
      <c r="I19" s="52"/>
      <c r="J19" s="40"/>
      <c r="K19" s="40"/>
      <c r="L19" s="52"/>
      <c r="M19" s="52"/>
      <c r="N19" s="40"/>
      <c r="O19" s="40"/>
      <c r="P19" s="52"/>
      <c r="Q19" s="52"/>
      <c r="R19" s="52"/>
      <c r="S19" s="40"/>
      <c r="T19" s="40"/>
      <c r="U19" s="40"/>
      <c r="V19" s="40"/>
      <c r="W19" s="3">
        <v>0</v>
      </c>
      <c r="X19" s="3"/>
      <c r="Y19" s="3">
        <v>10</v>
      </c>
      <c r="AA19" s="3">
        <v>0</v>
      </c>
      <c r="AB19" s="3">
        <v>0</v>
      </c>
      <c r="AC19" s="3">
        <v>0</v>
      </c>
      <c r="AD19" s="3">
        <v>0</v>
      </c>
      <c r="AE19" s="3">
        <v>0</v>
      </c>
    </row>
    <row r="20" spans="2:31" ht="12" x14ac:dyDescent="0.2">
      <c r="B20" s="2" t="s">
        <v>179</v>
      </c>
      <c r="C20" s="40"/>
      <c r="D20" s="52"/>
      <c r="E20" s="52"/>
      <c r="F20" s="40"/>
      <c r="G20" s="40"/>
      <c r="H20" s="52"/>
      <c r="I20" s="52"/>
      <c r="J20" s="40"/>
      <c r="K20" s="40"/>
      <c r="L20" s="52"/>
      <c r="M20" s="52"/>
      <c r="N20" s="40"/>
      <c r="O20" s="40"/>
      <c r="P20" s="52"/>
      <c r="Q20" s="52"/>
      <c r="R20" s="52"/>
      <c r="S20" s="40"/>
      <c r="T20" s="40"/>
      <c r="U20" s="40"/>
      <c r="V20" s="40"/>
      <c r="W20" s="5">
        <f>W19+W18</f>
        <v>36959</v>
      </c>
      <c r="X20" s="5"/>
      <c r="Y20" s="5">
        <f>Y19+Y18</f>
        <v>98070</v>
      </c>
      <c r="AA20" s="5">
        <f>AA19+AA18</f>
        <v>98060</v>
      </c>
      <c r="AB20" s="5">
        <f t="shared" ref="AB20:AE20" si="9">AB19+AB18</f>
        <v>98060</v>
      </c>
      <c r="AC20" s="5">
        <f t="shared" si="9"/>
        <v>98060</v>
      </c>
      <c r="AD20" s="5">
        <f t="shared" si="9"/>
        <v>98060</v>
      </c>
      <c r="AE20" s="5">
        <f t="shared" si="9"/>
        <v>98060</v>
      </c>
    </row>
    <row r="21" spans="2:31" ht="12" x14ac:dyDescent="0.2">
      <c r="B21" s="6" t="s">
        <v>316</v>
      </c>
      <c r="C21" s="40"/>
      <c r="D21" s="52"/>
      <c r="E21" s="52"/>
      <c r="F21" s="40"/>
      <c r="G21" s="40"/>
      <c r="H21" s="52"/>
      <c r="I21" s="52"/>
      <c r="J21" s="40"/>
      <c r="K21" s="40"/>
      <c r="L21" s="52"/>
      <c r="M21" s="52"/>
      <c r="N21" s="40"/>
      <c r="O21" s="40"/>
      <c r="P21" s="52"/>
      <c r="Q21" s="52"/>
      <c r="R21" s="52"/>
      <c r="S21" s="40"/>
      <c r="T21" s="40"/>
      <c r="U21" s="40"/>
      <c r="V21" s="40"/>
      <c r="W21" s="40" t="e">
        <f t="shared" ref="W21" si="10">W18/V18-1</f>
        <v>#DIV/0!</v>
      </c>
      <c r="X21" s="40"/>
      <c r="Y21" s="40">
        <f>Y18/W18-1</f>
        <v>1.6532103141318757</v>
      </c>
    </row>
    <row r="22" spans="2:31" ht="12" x14ac:dyDescent="0.2">
      <c r="B22" s="2" t="s">
        <v>175</v>
      </c>
      <c r="C22" s="40"/>
      <c r="D22" s="52"/>
      <c r="E22" s="52"/>
      <c r="F22" s="40"/>
      <c r="G22" s="40"/>
      <c r="H22" s="52"/>
      <c r="I22" s="52"/>
      <c r="J22" s="40"/>
      <c r="K22" s="40"/>
      <c r="L22" s="52"/>
      <c r="M22" s="52"/>
      <c r="N22" s="40"/>
      <c r="O22" s="40"/>
      <c r="P22" s="52"/>
      <c r="Q22" s="52"/>
      <c r="R22" s="52"/>
      <c r="S22" s="40"/>
      <c r="T22" s="40"/>
      <c r="U22" s="40"/>
      <c r="V22" s="40"/>
      <c r="W22" s="1">
        <v>4042</v>
      </c>
      <c r="X22" s="1"/>
      <c r="Y22" s="1">
        <v>9139</v>
      </c>
    </row>
    <row r="23" spans="2:31" ht="12" x14ac:dyDescent="0.2">
      <c r="B23" s="6" t="s">
        <v>181</v>
      </c>
      <c r="C23" s="40"/>
      <c r="D23" s="52"/>
      <c r="E23" s="52"/>
      <c r="F23" s="40"/>
      <c r="G23" s="40"/>
      <c r="H23" s="52"/>
      <c r="I23" s="52"/>
      <c r="J23" s="40"/>
      <c r="K23" s="40"/>
      <c r="L23" s="52"/>
      <c r="M23" s="52"/>
      <c r="N23" s="40"/>
      <c r="O23" s="40"/>
      <c r="P23" s="52"/>
      <c r="Q23" s="52"/>
      <c r="R23" s="52"/>
      <c r="S23" s="40"/>
      <c r="T23" s="40"/>
      <c r="U23" s="40"/>
      <c r="V23" s="40"/>
      <c r="W23" s="50">
        <f>W22/W$20</f>
        <v>0.1093644308558132</v>
      </c>
      <c r="X23" s="50"/>
      <c r="Y23" s="50">
        <f>Y22/Y$20</f>
        <v>9.3188538798817167E-2</v>
      </c>
    </row>
    <row r="24" spans="2:31" ht="12" x14ac:dyDescent="0.2">
      <c r="B24" s="2" t="s">
        <v>176</v>
      </c>
      <c r="C24" s="40"/>
      <c r="D24" s="52"/>
      <c r="E24" s="52"/>
      <c r="F24" s="40"/>
      <c r="G24" s="40"/>
      <c r="H24" s="52"/>
      <c r="I24" s="52"/>
      <c r="J24" s="40"/>
      <c r="K24" s="40"/>
      <c r="L24" s="52"/>
      <c r="M24" s="52"/>
      <c r="N24" s="40"/>
      <c r="O24" s="40"/>
      <c r="P24" s="52"/>
      <c r="Q24" s="52"/>
      <c r="R24" s="52"/>
      <c r="S24" s="40"/>
      <c r="T24" s="40"/>
      <c r="U24" s="40"/>
      <c r="V24" s="40"/>
      <c r="W24" s="1">
        <v>-1538</v>
      </c>
      <c r="X24" s="1"/>
      <c r="Y24" s="1">
        <v>-4054</v>
      </c>
    </row>
    <row r="25" spans="2:31" ht="12" x14ac:dyDescent="0.2">
      <c r="B25" s="6" t="s">
        <v>181</v>
      </c>
      <c r="C25" s="40"/>
      <c r="D25" s="52"/>
      <c r="E25" s="52"/>
      <c r="F25" s="40"/>
      <c r="G25" s="40"/>
      <c r="H25" s="52"/>
      <c r="I25" s="52"/>
      <c r="J25" s="40"/>
      <c r="K25" s="40"/>
      <c r="L25" s="52"/>
      <c r="M25" s="52"/>
      <c r="N25" s="40"/>
      <c r="O25" s="40"/>
      <c r="P25" s="52"/>
      <c r="Q25" s="52"/>
      <c r="R25" s="52"/>
      <c r="S25" s="40"/>
      <c r="T25" s="40"/>
      <c r="U25" s="40"/>
      <c r="V25" s="40"/>
      <c r="W25" s="40">
        <f>-W24/W$7</f>
        <v>1.8856843697854023E-3</v>
      </c>
      <c r="X25" s="40"/>
      <c r="Y25" s="40">
        <f>-Y24/Y$7</f>
        <v>4.6001688468486459E-3</v>
      </c>
    </row>
    <row r="26" spans="2:31" ht="12" x14ac:dyDescent="0.2">
      <c r="B26" s="2" t="s">
        <v>177</v>
      </c>
      <c r="C26" s="40"/>
      <c r="D26" s="52"/>
      <c r="E26" s="52"/>
      <c r="F26" s="40"/>
      <c r="G26" s="40"/>
      <c r="H26" s="52"/>
      <c r="I26" s="52"/>
      <c r="J26" s="40"/>
      <c r="K26" s="40"/>
      <c r="L26" s="52"/>
      <c r="M26" s="52"/>
      <c r="N26" s="40"/>
      <c r="O26" s="40"/>
      <c r="P26" s="52"/>
      <c r="Q26" s="52"/>
      <c r="R26" s="52"/>
      <c r="S26" s="40"/>
      <c r="T26" s="40"/>
      <c r="U26" s="40"/>
      <c r="V26" s="40"/>
      <c r="W26" s="1">
        <v>1580</v>
      </c>
      <c r="X26" s="1"/>
      <c r="Y26" s="1">
        <v>1226</v>
      </c>
    </row>
    <row r="27" spans="2:31" ht="12" x14ac:dyDescent="0.2">
      <c r="B27" s="6" t="s">
        <v>251</v>
      </c>
      <c r="C27" s="40"/>
      <c r="D27" s="52"/>
      <c r="E27" s="52"/>
      <c r="F27" s="40"/>
      <c r="G27" s="40"/>
      <c r="H27" s="52"/>
      <c r="I27" s="52"/>
      <c r="J27" s="40"/>
      <c r="K27" s="40"/>
      <c r="L27" s="52"/>
      <c r="M27" s="52"/>
      <c r="N27" s="40"/>
      <c r="O27" s="40"/>
      <c r="P27" s="52"/>
      <c r="Q27" s="52"/>
      <c r="R27" s="52"/>
      <c r="S27" s="40"/>
      <c r="T27" s="40"/>
      <c r="U27" s="40"/>
      <c r="V27" s="40"/>
      <c r="W27" s="40">
        <f>W26/W$7</f>
        <v>1.9371790014700492E-3</v>
      </c>
      <c r="X27" s="40"/>
      <c r="Y27" s="40">
        <f>Y26/Y$7</f>
        <v>1.3911709438175729E-3</v>
      </c>
    </row>
    <row r="28" spans="2:31" ht="12" x14ac:dyDescent="0.2">
      <c r="B28" s="144" t="s">
        <v>324</v>
      </c>
      <c r="C28" s="145"/>
      <c r="D28" s="146"/>
      <c r="E28" s="146"/>
      <c r="F28" s="145"/>
      <c r="G28" s="145"/>
      <c r="H28" s="146"/>
      <c r="I28" s="146"/>
      <c r="J28" s="145"/>
      <c r="K28" s="145"/>
      <c r="L28" s="146"/>
      <c r="M28" s="146"/>
      <c r="N28" s="145"/>
      <c r="O28" s="145"/>
      <c r="P28" s="146"/>
      <c r="Q28" s="146"/>
      <c r="R28" s="146"/>
      <c r="S28" s="145"/>
      <c r="T28" s="145"/>
      <c r="U28" s="145"/>
      <c r="V28" s="145"/>
      <c r="W28" s="145"/>
      <c r="X28" s="145"/>
      <c r="Y28" s="147">
        <v>7.5</v>
      </c>
    </row>
    <row r="29" spans="2:31" ht="12" x14ac:dyDescent="0.2">
      <c r="B29" s="2" t="s">
        <v>325</v>
      </c>
      <c r="C29" s="40"/>
      <c r="D29" s="52"/>
      <c r="E29" s="52"/>
      <c r="F29" s="40"/>
      <c r="G29" s="40"/>
      <c r="H29" s="52"/>
      <c r="I29" s="52"/>
      <c r="J29" s="40"/>
      <c r="K29" s="40"/>
      <c r="L29" s="52"/>
      <c r="M29" s="52"/>
      <c r="N29" s="40"/>
      <c r="O29" s="40"/>
      <c r="P29" s="52"/>
      <c r="Q29" s="52"/>
      <c r="R29" s="52"/>
      <c r="S29" s="40"/>
      <c r="T29" s="40"/>
      <c r="U29" s="40"/>
      <c r="V29" s="40"/>
      <c r="W29" s="40"/>
      <c r="X29" s="40"/>
      <c r="Y29" s="19">
        <f>Y22*Y28</f>
        <v>68542.5</v>
      </c>
    </row>
    <row r="30" spans="2:31" hidden="1" outlineLevel="1" x14ac:dyDescent="0.25">
      <c r="B30" s="83" t="s">
        <v>178</v>
      </c>
      <c r="C30" s="85"/>
      <c r="D30" s="87"/>
      <c r="E30" s="84"/>
      <c r="F30" s="84"/>
      <c r="G30" s="84"/>
      <c r="H30" s="84"/>
      <c r="I30" s="84"/>
      <c r="J30" s="84"/>
      <c r="K30" s="84"/>
      <c r="L30" s="86"/>
      <c r="M30" s="86"/>
      <c r="N30" s="84"/>
      <c r="O30" s="84"/>
      <c r="P30" s="86"/>
      <c r="Q30" s="86"/>
      <c r="R30" s="86"/>
      <c r="S30" s="85"/>
      <c r="T30" s="85"/>
      <c r="U30" s="85"/>
      <c r="V30" s="85"/>
      <c r="W30" s="85"/>
      <c r="X30" s="85"/>
      <c r="Y30" s="85"/>
    </row>
    <row r="31" spans="2:31" ht="12" hidden="1" outlineLevel="1" x14ac:dyDescent="0.2">
      <c r="B31" s="9" t="s">
        <v>8</v>
      </c>
      <c r="C31" s="1">
        <v>45307</v>
      </c>
      <c r="D31" s="8">
        <f>94443-C31</f>
        <v>49136</v>
      </c>
      <c r="E31" s="8">
        <f>140817-D31-C31</f>
        <v>46374</v>
      </c>
      <c r="F31" s="5">
        <f>U31-E31-D31-C31</f>
        <v>50201</v>
      </c>
      <c r="G31" s="1">
        <v>46930</v>
      </c>
      <c r="H31" s="8">
        <f>89997-G31</f>
        <v>43067</v>
      </c>
      <c r="I31" s="8">
        <f>127413-H31-G31</f>
        <v>37416</v>
      </c>
      <c r="J31" s="5">
        <f>V31-I31-H31-G31</f>
        <v>38623</v>
      </c>
      <c r="K31" s="1">
        <v>40651</v>
      </c>
      <c r="L31" s="1"/>
      <c r="M31" s="1"/>
      <c r="O31" s="1"/>
      <c r="P31" s="1"/>
      <c r="Q31" s="1"/>
      <c r="R31" s="1"/>
      <c r="S31" s="1"/>
      <c r="T31" s="1">
        <v>122493</v>
      </c>
      <c r="U31" s="1">
        <v>191018</v>
      </c>
      <c r="V31" s="1">
        <v>166036</v>
      </c>
      <c r="W31" s="1"/>
      <c r="X31" s="1"/>
      <c r="Y31" s="1"/>
    </row>
    <row r="32" spans="2:31" ht="14.25" hidden="1" outlineLevel="1" x14ac:dyDescent="0.35">
      <c r="B32" s="6" t="s">
        <v>174</v>
      </c>
      <c r="C32" s="3">
        <v>85</v>
      </c>
      <c r="D32" s="48">
        <f>163-C32</f>
        <v>78</v>
      </c>
      <c r="E32" s="48">
        <f>0-D32-C32</f>
        <v>-163</v>
      </c>
      <c r="F32" s="17">
        <f>U32-E32-D32-C32</f>
        <v>204</v>
      </c>
      <c r="G32" s="3">
        <v>224</v>
      </c>
      <c r="H32" s="48">
        <f>310-G32</f>
        <v>86</v>
      </c>
      <c r="I32" s="48">
        <f>513-H32-G32</f>
        <v>203</v>
      </c>
      <c r="J32" s="17">
        <f>V32-I32-H32-G32</f>
        <v>323</v>
      </c>
      <c r="K32" s="3">
        <v>49</v>
      </c>
      <c r="L32" s="3"/>
      <c r="M32" s="3"/>
      <c r="O32" s="3"/>
      <c r="P32" s="3"/>
      <c r="Q32" s="3"/>
      <c r="R32" s="3"/>
      <c r="S32" s="3"/>
      <c r="T32" s="3">
        <v>1</v>
      </c>
      <c r="U32" s="3">
        <v>204</v>
      </c>
      <c r="V32" s="3">
        <v>836</v>
      </c>
      <c r="W32" s="3"/>
      <c r="X32" s="3"/>
      <c r="Y32" s="3"/>
    </row>
    <row r="33" spans="2:25" ht="12" hidden="1" outlineLevel="1" x14ac:dyDescent="0.2">
      <c r="B33" s="2" t="s">
        <v>179</v>
      </c>
      <c r="C33" s="5">
        <f t="shared" ref="C33:K33" si="11">C32+C31</f>
        <v>45392</v>
      </c>
      <c r="D33" s="53">
        <f t="shared" si="11"/>
        <v>49214</v>
      </c>
      <c r="E33" s="53">
        <f t="shared" si="11"/>
        <v>46211</v>
      </c>
      <c r="F33" s="5">
        <f t="shared" si="11"/>
        <v>50405</v>
      </c>
      <c r="G33" s="5">
        <f t="shared" si="11"/>
        <v>47154</v>
      </c>
      <c r="H33" s="53">
        <f t="shared" si="11"/>
        <v>43153</v>
      </c>
      <c r="I33" s="53">
        <f t="shared" si="11"/>
        <v>37619</v>
      </c>
      <c r="J33" s="5">
        <f t="shared" si="11"/>
        <v>38946</v>
      </c>
      <c r="K33" s="5">
        <f t="shared" si="11"/>
        <v>40700</v>
      </c>
      <c r="L33" s="5"/>
      <c r="M33" s="5"/>
      <c r="O33" s="5"/>
      <c r="P33" s="5"/>
      <c r="Q33" s="5"/>
      <c r="R33" s="5"/>
      <c r="S33" s="5"/>
      <c r="T33" s="5">
        <f>T32+T31</f>
        <v>122494</v>
      </c>
      <c r="U33" s="5">
        <f t="shared" ref="U33" si="12">U32+U31</f>
        <v>191222</v>
      </c>
      <c r="V33" s="5">
        <f>V32+V31</f>
        <v>166872</v>
      </c>
      <c r="W33" s="5"/>
      <c r="X33" s="5"/>
      <c r="Y33" s="5"/>
    </row>
    <row r="34" spans="2:25" ht="12" hidden="1" outlineLevel="1" x14ac:dyDescent="0.2">
      <c r="B34" s="2" t="s">
        <v>175</v>
      </c>
      <c r="C34" s="1">
        <v>4163</v>
      </c>
      <c r="D34" s="8">
        <f>8040-C34</f>
        <v>3877</v>
      </c>
      <c r="E34" s="8">
        <f>12675-D34-C34</f>
        <v>4635</v>
      </c>
      <c r="F34" s="5">
        <f>U34-E34-D34-C34</f>
        <v>11722</v>
      </c>
      <c r="G34" s="1">
        <v>3296</v>
      </c>
      <c r="H34" s="8">
        <f>7191-G34</f>
        <v>3895</v>
      </c>
      <c r="I34" s="8">
        <f>18280-H34-G34</f>
        <v>11089</v>
      </c>
      <c r="J34" s="5">
        <f>V34-I34-H34-G34</f>
        <v>7101</v>
      </c>
      <c r="K34" s="1">
        <v>1900</v>
      </c>
      <c r="L34" s="1"/>
      <c r="M34" s="1"/>
      <c r="O34" s="1"/>
      <c r="P34" s="1"/>
      <c r="Q34" s="1"/>
      <c r="R34" s="1"/>
      <c r="S34" s="1"/>
      <c r="T34" s="1">
        <v>8582</v>
      </c>
      <c r="U34" s="1">
        <v>24397</v>
      </c>
      <c r="V34" s="1">
        <v>25381</v>
      </c>
      <c r="W34" s="1"/>
      <c r="X34" s="1"/>
      <c r="Y34" s="1"/>
    </row>
    <row r="35" spans="2:25" ht="12" hidden="1" outlineLevel="1" x14ac:dyDescent="0.2">
      <c r="B35" s="6" t="s">
        <v>181</v>
      </c>
      <c r="C35" s="50">
        <f>C34/C$7</f>
        <v>4.6318857994815138E-2</v>
      </c>
      <c r="D35" s="51">
        <f>D34/D$33</f>
        <v>7.877839639127078E-2</v>
      </c>
      <c r="E35" s="51">
        <f>E34/E$7</f>
        <v>2.6288177409749595E-2</v>
      </c>
      <c r="F35" s="50">
        <f>F34/F$7</f>
        <v>5.785642012783495E-2</v>
      </c>
      <c r="G35" s="50">
        <f>G34/G$7</f>
        <v>1.9764931638282562E-2</v>
      </c>
      <c r="H35" s="51">
        <f>H34/H$33</f>
        <v>9.0260236831738228E-2</v>
      </c>
      <c r="I35" s="51">
        <f>I34/I$7</f>
        <v>6.71987298355331E-2</v>
      </c>
      <c r="J35" s="50">
        <f>J34/J$7</f>
        <v>3.433885256683044E-2</v>
      </c>
      <c r="K35" s="51">
        <f>K34/K$33</f>
        <v>4.6683046683046681E-2</v>
      </c>
      <c r="L35" s="50"/>
      <c r="M35" s="50"/>
      <c r="O35" s="50"/>
      <c r="P35" s="50"/>
      <c r="Q35" s="50"/>
      <c r="R35" s="50"/>
      <c r="S35" s="50"/>
      <c r="T35" s="50">
        <f>T34/T$7</f>
        <v>3.0115979155334864E-2</v>
      </c>
      <c r="U35" s="50">
        <f>U34/U$7</f>
        <v>3.8334325853554299E-2</v>
      </c>
      <c r="V35" s="50">
        <f>V34/V$7</f>
        <v>3.6025486530717687E-2</v>
      </c>
      <c r="W35" s="50"/>
      <c r="X35" s="50"/>
      <c r="Y35" s="50"/>
    </row>
    <row r="36" spans="2:25" ht="12" hidden="1" outlineLevel="1" x14ac:dyDescent="0.2">
      <c r="B36" s="2" t="s">
        <v>176</v>
      </c>
      <c r="C36" s="1">
        <v>-2444</v>
      </c>
      <c r="D36" s="8">
        <f>-4926-C36</f>
        <v>-2482</v>
      </c>
      <c r="E36" s="8">
        <f>-7489-D36-C36</f>
        <v>-2563</v>
      </c>
      <c r="F36" s="5">
        <f>U36-E36-D36-C36</f>
        <v>-3025</v>
      </c>
      <c r="G36" s="1">
        <v>-2535</v>
      </c>
      <c r="H36" s="8">
        <f>-5089-G36</f>
        <v>-2554</v>
      </c>
      <c r="I36" s="8">
        <f>-7258-H36-G36</f>
        <v>-2169</v>
      </c>
      <c r="J36" s="5">
        <f>V36-I36-H36-G36</f>
        <v>-2853</v>
      </c>
      <c r="K36" s="1">
        <v>-2418</v>
      </c>
      <c r="L36" s="1"/>
      <c r="M36" s="1"/>
      <c r="O36" s="1"/>
      <c r="P36" s="1"/>
      <c r="Q36" s="1"/>
      <c r="R36" s="1"/>
      <c r="S36" s="1"/>
      <c r="T36" s="1">
        <v>-9731</v>
      </c>
      <c r="U36" s="1">
        <v>-10514</v>
      </c>
      <c r="V36" s="1">
        <v>-10111</v>
      </c>
      <c r="W36" s="1"/>
      <c r="X36" s="1"/>
      <c r="Y36" s="1"/>
    </row>
    <row r="37" spans="2:25" ht="12" hidden="1" outlineLevel="1" x14ac:dyDescent="0.2">
      <c r="B37" s="6" t="s">
        <v>181</v>
      </c>
      <c r="C37" s="40">
        <f>-C36/C$7</f>
        <v>2.7192718938104297E-2</v>
      </c>
      <c r="D37" s="52">
        <f>-D36/D$33</f>
        <v>5.0432803673751372E-2</v>
      </c>
      <c r="E37" s="52">
        <f>-E36/E$7</f>
        <v>1.4536482999177609E-2</v>
      </c>
      <c r="F37" s="40">
        <f>-F36/F$7</f>
        <v>1.4930529848720417E-2</v>
      </c>
      <c r="G37" s="40">
        <f>-G36/G$7</f>
        <v>1.5201487167186375E-2</v>
      </c>
      <c r="H37" s="52">
        <f>-H36/H$33</f>
        <v>5.9184761198526177E-2</v>
      </c>
      <c r="I37" s="52">
        <f>-I36/I$7</f>
        <v>1.3144020652292478E-2</v>
      </c>
      <c r="J37" s="40">
        <f>-J36/J$7</f>
        <v>1.3796471817091571E-2</v>
      </c>
      <c r="K37" s="52">
        <f>-K36/K$33</f>
        <v>5.9410319410319413E-2</v>
      </c>
      <c r="L37" s="52"/>
      <c r="M37" s="52"/>
      <c r="O37" s="40"/>
      <c r="P37" s="52"/>
      <c r="Q37" s="52"/>
      <c r="R37" s="52"/>
      <c r="S37" s="40"/>
      <c r="T37" s="40">
        <f>-T36/T$7</f>
        <v>3.4148053269699788E-2</v>
      </c>
      <c r="U37" s="40">
        <f>-U36/U$7</f>
        <v>1.6520355044647696E-2</v>
      </c>
      <c r="V37" s="40">
        <f>-V36/V$7</f>
        <v>1.4351431949571983E-2</v>
      </c>
      <c r="W37" s="40"/>
      <c r="X37" s="40"/>
      <c r="Y37" s="40"/>
    </row>
    <row r="38" spans="2:25" ht="12" hidden="1" outlineLevel="1" x14ac:dyDescent="0.2">
      <c r="B38" s="2" t="s">
        <v>177</v>
      </c>
      <c r="C38" s="1">
        <v>2105</v>
      </c>
      <c r="D38" s="8">
        <f>4622-C38</f>
        <v>2517</v>
      </c>
      <c r="E38" s="8">
        <f>5174-D38-C38</f>
        <v>552</v>
      </c>
      <c r="F38" s="5">
        <f>U38-E38-D38-C38</f>
        <v>1473</v>
      </c>
      <c r="G38" s="1">
        <v>2105</v>
      </c>
      <c r="H38" s="8">
        <f>4622-G38</f>
        <v>2517</v>
      </c>
      <c r="I38" s="8">
        <f>4429-H38-G38</f>
        <v>-193</v>
      </c>
      <c r="J38" s="5">
        <f>V38-I38-H38-G38</f>
        <v>1691</v>
      </c>
      <c r="K38" s="1">
        <v>11805</v>
      </c>
      <c r="L38" s="8"/>
      <c r="M38" s="8"/>
      <c r="O38" s="1"/>
      <c r="P38" s="8"/>
      <c r="Q38" s="8"/>
      <c r="R38" s="8"/>
      <c r="S38" s="1"/>
      <c r="T38" s="1">
        <v>5444</v>
      </c>
      <c r="U38" s="1">
        <v>6647</v>
      </c>
      <c r="V38" s="1">
        <v>6120</v>
      </c>
      <c r="W38" s="1"/>
      <c r="X38" s="1"/>
      <c r="Y38" s="1"/>
    </row>
    <row r="39" spans="2:25" ht="12" hidden="1" outlineLevel="1" x14ac:dyDescent="0.2">
      <c r="B39" s="6" t="s">
        <v>182</v>
      </c>
      <c r="C39" s="40">
        <f>C38/C$7</f>
        <v>2.3420897448735493E-2</v>
      </c>
      <c r="D39" s="52">
        <f>D38/D$33</f>
        <v>5.1143983419352217E-2</v>
      </c>
      <c r="E39" s="52">
        <f>E38/E$7</f>
        <v>3.1307602869863598E-3</v>
      </c>
      <c r="F39" s="40">
        <f>F38/F$7</f>
        <v>7.2703042866661734E-3</v>
      </c>
      <c r="G39" s="40">
        <f>G38/G$7</f>
        <v>1.2622931158551211E-2</v>
      </c>
      <c r="H39" s="52">
        <f>H38/H$33</f>
        <v>5.8327346882024428E-2</v>
      </c>
      <c r="I39" s="52">
        <f>I38/I$7</f>
        <v>-1.1695693803100268E-3</v>
      </c>
      <c r="J39" s="40">
        <f>J38/J$7</f>
        <v>8.1772989283918143E-3</v>
      </c>
      <c r="K39" s="52">
        <f>K38/K$33</f>
        <v>0.29004914004914006</v>
      </c>
      <c r="L39" s="52"/>
      <c r="M39" s="52"/>
      <c r="O39" s="40"/>
      <c r="P39" s="52"/>
      <c r="Q39" s="52"/>
      <c r="R39" s="52"/>
      <c r="S39" s="40"/>
      <c r="T39" s="40">
        <f>T38/T$7</f>
        <v>1.9104100503570615E-2</v>
      </c>
      <c r="U39" s="40">
        <f>U38/U$7</f>
        <v>1.0444245765814462E-2</v>
      </c>
      <c r="V39" s="40">
        <f>V38/V$7</f>
        <v>8.6866544883177268E-3</v>
      </c>
      <c r="W39" s="40"/>
      <c r="X39" s="40"/>
      <c r="Y39" s="40"/>
    </row>
    <row r="40" spans="2:25" hidden="1" outlineLevel="1" x14ac:dyDescent="0.25">
      <c r="B40" s="83" t="s">
        <v>317</v>
      </c>
      <c r="C40" s="85"/>
      <c r="D40" s="85"/>
      <c r="E40" s="88"/>
      <c r="F40" s="84"/>
      <c r="G40" s="84"/>
      <c r="H40" s="84"/>
      <c r="I40" s="88"/>
      <c r="J40" s="84"/>
      <c r="K40" s="84"/>
      <c r="L40" s="86"/>
      <c r="M40" s="86"/>
      <c r="N40" s="84"/>
      <c r="O40" s="84"/>
      <c r="P40" s="86"/>
      <c r="Q40" s="86"/>
      <c r="R40" s="86"/>
      <c r="S40" s="85"/>
      <c r="T40" s="85"/>
      <c r="U40" s="85"/>
      <c r="V40" s="85"/>
      <c r="W40" s="85"/>
      <c r="X40" s="85"/>
      <c r="Y40" s="85"/>
    </row>
    <row r="41" spans="2:25" ht="12" hidden="1" outlineLevel="1" x14ac:dyDescent="0.2">
      <c r="B41" s="9" t="s">
        <v>8</v>
      </c>
      <c r="C41" s="1">
        <v>108622</v>
      </c>
      <c r="D41" s="8">
        <f>227434-C41</f>
        <v>118812</v>
      </c>
      <c r="E41" s="8">
        <f>348609-D41-C41</f>
        <v>121175</v>
      </c>
      <c r="F41" s="5">
        <f>U41-E41-D41-C41</f>
        <v>130985</v>
      </c>
      <c r="G41" s="1">
        <v>139764</v>
      </c>
      <c r="H41" s="8">
        <f>281986-G41</f>
        <v>142222</v>
      </c>
      <c r="I41" s="8">
        <f>418024-H41-G41</f>
        <v>136038</v>
      </c>
      <c r="J41" s="5">
        <f>V41-I41-H41-G41</f>
        <v>149257</v>
      </c>
      <c r="K41" s="1">
        <v>147649</v>
      </c>
      <c r="L41" s="8">
        <f>311671-K41</f>
        <v>164022</v>
      </c>
      <c r="M41" s="8">
        <f>469420-L41-K41</f>
        <v>157749</v>
      </c>
      <c r="N41" s="5">
        <f>W41-M41-L41-K41</f>
        <v>173228</v>
      </c>
      <c r="O41" s="1">
        <v>170377</v>
      </c>
      <c r="P41" s="8">
        <f>356661-O41</f>
        <v>186284</v>
      </c>
      <c r="Q41" s="8"/>
      <c r="R41" s="8"/>
      <c r="S41" s="1"/>
      <c r="T41" s="1">
        <v>382972</v>
      </c>
      <c r="U41" s="1">
        <v>479594</v>
      </c>
      <c r="V41" s="1">
        <v>567281</v>
      </c>
      <c r="W41" s="1">
        <v>642648</v>
      </c>
      <c r="X41" s="1"/>
      <c r="Y41" s="1">
        <v>525650</v>
      </c>
    </row>
    <row r="42" spans="2:25" ht="14.25" hidden="1" outlineLevel="1" x14ac:dyDescent="0.35">
      <c r="B42" s="6" t="s">
        <v>174</v>
      </c>
      <c r="C42" s="3">
        <v>0</v>
      </c>
      <c r="D42" s="48">
        <v>0</v>
      </c>
      <c r="E42" s="48">
        <v>0</v>
      </c>
      <c r="F42" s="17">
        <f>U42-E42-D42-C42</f>
        <v>0</v>
      </c>
      <c r="G42" s="3">
        <v>0</v>
      </c>
      <c r="H42" s="48">
        <v>0</v>
      </c>
      <c r="I42" s="48">
        <v>0</v>
      </c>
      <c r="J42" s="17">
        <f>V42-I42-H42-G42</f>
        <v>0</v>
      </c>
      <c r="K42" s="3">
        <v>0</v>
      </c>
      <c r="L42" s="48">
        <v>0</v>
      </c>
      <c r="M42" s="48">
        <v>0</v>
      </c>
      <c r="N42" s="17">
        <f>W42-M42-L42-K42</f>
        <v>0</v>
      </c>
      <c r="O42" s="3">
        <v>0</v>
      </c>
      <c r="P42" s="48">
        <v>0</v>
      </c>
      <c r="Q42" s="48"/>
      <c r="R42" s="48"/>
      <c r="S42" s="3"/>
      <c r="T42" s="3">
        <v>0</v>
      </c>
      <c r="U42" s="3">
        <v>0</v>
      </c>
      <c r="V42" s="3">
        <v>0</v>
      </c>
      <c r="W42" s="3">
        <v>0</v>
      </c>
      <c r="X42" s="3"/>
      <c r="Y42" s="3"/>
    </row>
    <row r="43" spans="2:25" ht="12" hidden="1" outlineLevel="1" x14ac:dyDescent="0.2">
      <c r="B43" s="2" t="s">
        <v>179</v>
      </c>
      <c r="C43" s="5">
        <f t="shared" ref="C43:P43" si="13">C42+C41</f>
        <v>108622</v>
      </c>
      <c r="D43" s="53">
        <f t="shared" si="13"/>
        <v>118812</v>
      </c>
      <c r="E43" s="53">
        <f t="shared" si="13"/>
        <v>121175</v>
      </c>
      <c r="F43" s="5">
        <f t="shared" si="13"/>
        <v>130985</v>
      </c>
      <c r="G43" s="5">
        <f t="shared" si="13"/>
        <v>139764</v>
      </c>
      <c r="H43" s="53">
        <f t="shared" si="13"/>
        <v>142222</v>
      </c>
      <c r="I43" s="53">
        <f t="shared" si="13"/>
        <v>136038</v>
      </c>
      <c r="J43" s="5">
        <f t="shared" si="13"/>
        <v>149257</v>
      </c>
      <c r="K43" s="5">
        <f t="shared" si="13"/>
        <v>147649</v>
      </c>
      <c r="L43" s="53">
        <f t="shared" si="13"/>
        <v>164022</v>
      </c>
      <c r="M43" s="53">
        <f t="shared" si="13"/>
        <v>157749</v>
      </c>
      <c r="N43" s="53">
        <f t="shared" si="13"/>
        <v>173228</v>
      </c>
      <c r="O43" s="5">
        <f>O42+O41</f>
        <v>170377</v>
      </c>
      <c r="P43" s="53">
        <f t="shared" si="13"/>
        <v>186284</v>
      </c>
      <c r="Q43" s="53"/>
      <c r="R43" s="53"/>
      <c r="S43" s="5"/>
      <c r="T43" s="5">
        <f>T42+T41</f>
        <v>382972</v>
      </c>
      <c r="U43" s="5">
        <f t="shared" ref="U43" si="14">U42+U41</f>
        <v>479594</v>
      </c>
      <c r="V43" s="5">
        <f>V42+V41</f>
        <v>567281</v>
      </c>
      <c r="W43" s="5">
        <f>W42+W41</f>
        <v>642648</v>
      </c>
      <c r="X43" s="5"/>
      <c r="Y43" s="5">
        <f>Y42+Y41</f>
        <v>525650</v>
      </c>
    </row>
    <row r="44" spans="2:25" ht="12" hidden="1" outlineLevel="1" x14ac:dyDescent="0.2">
      <c r="B44" s="2" t="s">
        <v>175</v>
      </c>
      <c r="C44" s="1">
        <v>1435</v>
      </c>
      <c r="D44" s="8">
        <f>3149-C44</f>
        <v>1714</v>
      </c>
      <c r="E44" s="8">
        <f>9829-D44-C44</f>
        <v>6680</v>
      </c>
      <c r="F44" s="5">
        <f>U44-E44-D44-C44</f>
        <v>23461</v>
      </c>
      <c r="G44" s="1">
        <v>7175</v>
      </c>
      <c r="H44" s="8">
        <f>13465-G44</f>
        <v>6290</v>
      </c>
      <c r="I44" s="8">
        <f>18692-H44-G44</f>
        <v>5227</v>
      </c>
      <c r="J44" s="5">
        <f>V44-I44-H44-G44</f>
        <v>6375</v>
      </c>
      <c r="K44" s="1">
        <v>8183</v>
      </c>
      <c r="L44" s="8">
        <f>18189-K44</f>
        <v>10006</v>
      </c>
      <c r="M44" s="8">
        <f>25450-L44-K44</f>
        <v>7261</v>
      </c>
      <c r="N44" s="5">
        <f>W44-M44-L44-K44</f>
        <v>10046</v>
      </c>
      <c r="O44" s="1">
        <v>10205</v>
      </c>
      <c r="P44" s="8">
        <f>24033-O44</f>
        <v>13828</v>
      </c>
      <c r="Q44" s="8"/>
      <c r="R44" s="8"/>
      <c r="S44" s="77"/>
      <c r="T44" s="1">
        <v>8564</v>
      </c>
      <c r="U44" s="1">
        <v>33290</v>
      </c>
      <c r="V44" s="1">
        <v>25067</v>
      </c>
      <c r="W44" s="1">
        <v>35496</v>
      </c>
      <c r="X44" s="1"/>
      <c r="Y44" s="1">
        <v>36398</v>
      </c>
    </row>
    <row r="45" spans="2:25" ht="12" hidden="1" outlineLevel="1" x14ac:dyDescent="0.2">
      <c r="B45" s="6" t="s">
        <v>181</v>
      </c>
      <c r="C45" s="50">
        <f>C44/C$7</f>
        <v>1.596626500662016E-2</v>
      </c>
      <c r="D45" s="51">
        <f>D44/D$43</f>
        <v>1.4426152240514425E-2</v>
      </c>
      <c r="E45" s="51">
        <f>E44/E$7</f>
        <v>3.788673680628421E-2</v>
      </c>
      <c r="F45" s="50">
        <f>F44/F$7</f>
        <v>0.11579674736556353</v>
      </c>
      <c r="G45" s="50">
        <f>G44/G$7</f>
        <v>4.3025905492923962E-2</v>
      </c>
      <c r="H45" s="51">
        <f>H44/H$43</f>
        <v>4.4226631604111881E-2</v>
      </c>
      <c r="I45" s="51">
        <f>I44/I$7</f>
        <v>3.1675332387981918E-2</v>
      </c>
      <c r="J45" s="50">
        <f>J44/J$7</f>
        <v>3.0828078455646252E-2</v>
      </c>
      <c r="K45" s="51">
        <f>K44/K$43</f>
        <v>5.5421980507825992E-2</v>
      </c>
      <c r="L45" s="51">
        <f>L44/L$43</f>
        <v>6.1004011656972848E-2</v>
      </c>
      <c r="M45" s="51">
        <f>M44/M$7</f>
        <v>3.5764773102289912E-2</v>
      </c>
      <c r="N45" s="50">
        <f>N44/N$7</f>
        <v>4.9337484898191709E-2</v>
      </c>
      <c r="O45" s="51">
        <f>O44/O$43</f>
        <v>5.9896582285167602E-2</v>
      </c>
      <c r="P45" s="51">
        <f>P44/P$43</f>
        <v>7.4230744454703568E-2</v>
      </c>
      <c r="Q45" s="51"/>
      <c r="R45" s="51"/>
      <c r="S45" s="50"/>
      <c r="T45" s="50">
        <f>T44/T$7</f>
        <v>3.0052813503412698E-2</v>
      </c>
      <c r="U45" s="50">
        <f>U44/U$7</f>
        <v>5.230764879554136E-2</v>
      </c>
      <c r="V45" s="50">
        <f>V44/V$7</f>
        <v>3.5579798702395499E-2</v>
      </c>
      <c r="W45" s="50">
        <f>W44/W$7</f>
        <v>4.352032014948156E-2</v>
      </c>
      <c r="X45" s="50"/>
      <c r="Y45" s="50">
        <f>Y44/Y$7</f>
        <v>4.1301663958460043E-2</v>
      </c>
    </row>
    <row r="46" spans="2:25" ht="12" hidden="1" outlineLevel="1" x14ac:dyDescent="0.2">
      <c r="B46" s="2" t="s">
        <v>176</v>
      </c>
      <c r="C46" s="1">
        <v>-1841</v>
      </c>
      <c r="D46" s="8">
        <f>-3827-C46</f>
        <v>-1986</v>
      </c>
      <c r="E46" s="8">
        <f>-5893-D46-C46</f>
        <v>-2066</v>
      </c>
      <c r="F46" s="5">
        <f>U46-E46-D46-C46</f>
        <v>-3186</v>
      </c>
      <c r="G46" s="1">
        <v>-2384</v>
      </c>
      <c r="H46" s="8">
        <f>-4869-G46</f>
        <v>-2485</v>
      </c>
      <c r="I46" s="8">
        <f>-7458-H46-G46</f>
        <v>-2589</v>
      </c>
      <c r="J46" s="5">
        <f>V46-I46-H46-G46</f>
        <v>-2716</v>
      </c>
      <c r="K46" s="1">
        <v>-2380</v>
      </c>
      <c r="L46" s="8">
        <f>-4740-K46</f>
        <v>-2360</v>
      </c>
      <c r="M46" s="8">
        <f>-7168-L46-K46</f>
        <v>-2428</v>
      </c>
      <c r="N46" s="5">
        <f>W46-M46-L46-K46</f>
        <v>-2812</v>
      </c>
      <c r="O46" s="1">
        <v>-2231</v>
      </c>
      <c r="P46" s="8">
        <f>-4475-O46</f>
        <v>-2244</v>
      </c>
      <c r="Q46" s="8"/>
      <c r="R46" s="8"/>
      <c r="S46" s="1"/>
      <c r="T46" s="1">
        <v>-7644</v>
      </c>
      <c r="U46" s="1">
        <v>-9079</v>
      </c>
      <c r="V46" s="1">
        <v>-10174</v>
      </c>
      <c r="W46" s="1">
        <v>-9980</v>
      </c>
      <c r="X46" s="1"/>
      <c r="Y46" s="1">
        <v>-7029</v>
      </c>
    </row>
    <row r="47" spans="2:25" ht="12" hidden="1" outlineLevel="1" x14ac:dyDescent="0.2">
      <c r="B47" s="6" t="s">
        <v>181</v>
      </c>
      <c r="C47" s="40">
        <f>-C46/C$7</f>
        <v>2.0483549740200495E-2</v>
      </c>
      <c r="D47" s="52">
        <f>-D46/D$43</f>
        <v>1.6715483284516715E-2</v>
      </c>
      <c r="E47" s="52">
        <f>-E46/E$7</f>
        <v>1.1717664407452571E-2</v>
      </c>
      <c r="F47" s="40">
        <f>-F46/F$7</f>
        <v>1.5725179536536609E-2</v>
      </c>
      <c r="G47" s="40">
        <f>-G46/G$7</f>
        <v>1.4295994243223795E-2</v>
      </c>
      <c r="H47" s="52">
        <f>-H46/H$43</f>
        <v>1.7472683551068048E-2</v>
      </c>
      <c r="I47" s="52">
        <f>-I46/I$7</f>
        <v>1.5689197542086319E-2</v>
      </c>
      <c r="J47" s="40">
        <f>-J46/J$7</f>
        <v>1.3133970366358466E-2</v>
      </c>
      <c r="K47" s="52">
        <f>-K46/K$43</f>
        <v>1.6119309985167526E-2</v>
      </c>
      <c r="L47" s="52">
        <f>-L46/L$43</f>
        <v>1.4388313762787919E-2</v>
      </c>
      <c r="M47" s="52">
        <f>-M46/M$7</f>
        <v>1.19593539584575E-2</v>
      </c>
      <c r="N47" s="40">
        <f>-N46/N$7</f>
        <v>1.3810173953186849E-2</v>
      </c>
      <c r="O47" s="52">
        <f>-O46/O$43</f>
        <v>1.3094490453523656E-2</v>
      </c>
      <c r="P47" s="52">
        <f>-P46/P$43</f>
        <v>1.2046123123832428E-2</v>
      </c>
      <c r="Q47" s="52"/>
      <c r="R47" s="52"/>
      <c r="S47" s="40"/>
      <c r="T47" s="40">
        <f>-T46/T$7</f>
        <v>2.6824346849613111E-2</v>
      </c>
      <c r="U47" s="40">
        <f>-U46/U$7</f>
        <v>1.4265579555864223E-2</v>
      </c>
      <c r="V47" s="40">
        <f>-V46/V$7</f>
        <v>1.4440853392834078E-2</v>
      </c>
      <c r="W47" s="40">
        <f>-W46/W$7</f>
        <v>1.2236105338399424E-2</v>
      </c>
      <c r="X47" s="40"/>
      <c r="Y47" s="40">
        <f>-Y46/Y$7</f>
        <v>7.9759710963244034E-3</v>
      </c>
    </row>
    <row r="48" spans="2:25" ht="12" hidden="1" outlineLevel="1" x14ac:dyDescent="0.2">
      <c r="B48" s="2" t="s">
        <v>177</v>
      </c>
      <c r="C48" s="1">
        <v>1128</v>
      </c>
      <c r="D48" s="8">
        <f>3101-C48</f>
        <v>1973</v>
      </c>
      <c r="E48" s="8">
        <f>6080-D48-C48</f>
        <v>2979</v>
      </c>
      <c r="F48" s="5">
        <f>U48-E48-D48-C48</f>
        <v>2131</v>
      </c>
      <c r="G48" s="1">
        <v>2227</v>
      </c>
      <c r="H48" s="8">
        <f>4559-G48</f>
        <v>2332</v>
      </c>
      <c r="I48" s="8">
        <f>4559-H48-G48</f>
        <v>0</v>
      </c>
      <c r="J48" s="5">
        <f>V48-I48-H48-G48</f>
        <v>9148</v>
      </c>
      <c r="K48" s="1">
        <v>3876</v>
      </c>
      <c r="L48" s="8">
        <f>8735-K48</f>
        <v>4859</v>
      </c>
      <c r="M48" s="8">
        <f>15512-L48-K48</f>
        <v>6777</v>
      </c>
      <c r="N48" s="5">
        <f>W48-M48-L48-K48</f>
        <v>12800</v>
      </c>
      <c r="O48" s="1">
        <v>6278</v>
      </c>
      <c r="P48" s="8">
        <f>12568-O48</f>
        <v>6290</v>
      </c>
      <c r="Q48" s="8"/>
      <c r="R48" s="8"/>
      <c r="S48" s="1"/>
      <c r="T48" s="1">
        <v>6454</v>
      </c>
      <c r="U48" s="1">
        <v>8211</v>
      </c>
      <c r="V48" s="1">
        <v>13707</v>
      </c>
      <c r="W48" s="1">
        <v>28312</v>
      </c>
      <c r="X48" s="1"/>
      <c r="Y48" s="1">
        <v>22207</v>
      </c>
    </row>
    <row r="49" spans="2:26" ht="12" hidden="1" outlineLevel="1" x14ac:dyDescent="0.2">
      <c r="B49" s="6" t="s">
        <v>182</v>
      </c>
      <c r="C49" s="40">
        <f>C48/C$7</f>
        <v>1.2550485663740445E-2</v>
      </c>
      <c r="D49" s="52">
        <f>D48/D$43</f>
        <v>1.6606066727266607E-2</v>
      </c>
      <c r="E49" s="52">
        <f>E48/E$7</f>
        <v>1.6895896548790517E-2</v>
      </c>
      <c r="F49" s="40">
        <f>F48/F$7</f>
        <v>1.0518003010784531E-2</v>
      </c>
      <c r="G49" s="40">
        <f>G48/G$7</f>
        <v>1.3354521467977932E-2</v>
      </c>
      <c r="H49" s="52">
        <f>H48/H$43</f>
        <v>1.639690062015722E-2</v>
      </c>
      <c r="I49" s="52">
        <f>I48/I$7</f>
        <v>0</v>
      </c>
      <c r="J49" s="40">
        <f>J48/J$7</f>
        <v>4.4237688111725793E-2</v>
      </c>
      <c r="K49" s="52">
        <f>K48/K$43</f>
        <v>2.6251447690129971E-2</v>
      </c>
      <c r="L49" s="52">
        <f>L48/L$43</f>
        <v>2.9624074819231565E-2</v>
      </c>
      <c r="M49" s="52">
        <f>M48/M$7</f>
        <v>3.3380783268725893E-2</v>
      </c>
      <c r="N49" s="40">
        <f>N48/N$7</f>
        <v>6.2862811735701171E-2</v>
      </c>
      <c r="O49" s="52">
        <f>O48/O$43</f>
        <v>3.6847696578763564E-2</v>
      </c>
      <c r="P49" s="52">
        <f>P48/P$43</f>
        <v>3.376564815013635E-2</v>
      </c>
      <c r="Q49" s="52"/>
      <c r="R49" s="52"/>
      <c r="S49" s="40"/>
      <c r="T49" s="40">
        <f>T48/T$7</f>
        <v>2.2648395416981031E-2</v>
      </c>
      <c r="U49" s="40">
        <f>U48/U$7</f>
        <v>1.2901715357770805E-2</v>
      </c>
      <c r="V49" s="40">
        <f>V48/V$7</f>
        <v>1.9455551155452791E-2</v>
      </c>
      <c r="W49" s="40">
        <f>W48/W$7</f>
        <v>3.4712286006088625E-2</v>
      </c>
      <c r="X49" s="40"/>
      <c r="Y49" s="40">
        <f>Y48/Y$7</f>
        <v>2.5198803547599378E-2</v>
      </c>
    </row>
    <row r="50" spans="2:26" ht="12" hidden="1" outlineLevel="1" x14ac:dyDescent="0.2">
      <c r="B50" s="13" t="s">
        <v>183</v>
      </c>
      <c r="C50" s="40"/>
      <c r="D50" s="52"/>
      <c r="E50" s="52"/>
      <c r="F50" s="40"/>
      <c r="G50" s="40"/>
      <c r="H50" s="40"/>
      <c r="I50" s="52"/>
      <c r="K50" s="40"/>
      <c r="L50" s="52"/>
      <c r="M50" s="52"/>
      <c r="O50" s="40"/>
      <c r="P50" s="52"/>
      <c r="Q50" s="52"/>
      <c r="R50" s="52"/>
      <c r="S50" s="40"/>
      <c r="T50" s="40"/>
      <c r="U50" s="40"/>
      <c r="V50" s="40"/>
      <c r="W50" s="40"/>
      <c r="X50" s="40"/>
      <c r="Y50" s="40"/>
    </row>
    <row r="51" spans="2:26" ht="12" hidden="1" outlineLevel="1" x14ac:dyDescent="0.2">
      <c r="B51" s="9" t="s">
        <v>8</v>
      </c>
      <c r="C51" s="1">
        <v>-504</v>
      </c>
      <c r="D51" s="8">
        <f>-736-C51</f>
        <v>-232</v>
      </c>
      <c r="E51" s="8">
        <f>-648-D51-C51</f>
        <v>88</v>
      </c>
      <c r="F51" s="5">
        <f>U51-E51-D51-C51</f>
        <v>-460</v>
      </c>
      <c r="G51" s="1">
        <v>-595</v>
      </c>
      <c r="H51" s="8">
        <f>-1005-G51</f>
        <v>-410</v>
      </c>
      <c r="I51" s="8">
        <f>4899-H51-G51</f>
        <v>5904</v>
      </c>
      <c r="K51" s="1">
        <v>-438</v>
      </c>
      <c r="L51" s="8">
        <f>-1102-K51</f>
        <v>-664</v>
      </c>
      <c r="M51" s="8">
        <f>4899-L51-K51</f>
        <v>6001</v>
      </c>
      <c r="O51" s="1">
        <v>17068</v>
      </c>
      <c r="P51" s="8">
        <f>34072-O51</f>
        <v>17004</v>
      </c>
      <c r="Q51" s="8"/>
      <c r="R51" s="8"/>
      <c r="S51" s="1"/>
      <c r="T51" s="1">
        <v>-379</v>
      </c>
      <c r="U51" s="1">
        <v>-1108</v>
      </c>
      <c r="V51" s="1">
        <v>-1462</v>
      </c>
      <c r="W51" s="1">
        <v>35406</v>
      </c>
      <c r="X51" s="1"/>
      <c r="Y51" s="1"/>
    </row>
    <row r="52" spans="2:26" collapsed="1" x14ac:dyDescent="0.25">
      <c r="B52" s="78"/>
      <c r="P52" s="54"/>
      <c r="Q52" s="54"/>
      <c r="R52" s="54"/>
    </row>
    <row r="53" spans="2:26" ht="9.75" customHeight="1" x14ac:dyDescent="0.25">
      <c r="B53" s="49" t="s">
        <v>226</v>
      </c>
      <c r="E53" s="2"/>
      <c r="P53" s="54"/>
      <c r="Q53" s="54"/>
      <c r="R53" s="54"/>
    </row>
    <row r="54" spans="2:26" ht="9.75" customHeight="1" x14ac:dyDescent="0.2">
      <c r="B54" s="9" t="s">
        <v>173</v>
      </c>
      <c r="D54" s="40">
        <v>1.1990000000000001</v>
      </c>
      <c r="E54" s="40">
        <f>E7/W7-1</f>
        <v>-0.78382676225051151</v>
      </c>
      <c r="F54" s="40" t="e">
        <f>F7/S7-1</f>
        <v>#DIV/0!</v>
      </c>
      <c r="G54" s="40">
        <f t="shared" ref="G54:P54" si="15">G7/C7-1</f>
        <v>0.8554246358912736</v>
      </c>
      <c r="H54" s="40">
        <f t="shared" si="15"/>
        <v>-9.968382747718163E-3</v>
      </c>
      <c r="I54" s="40">
        <f t="shared" si="15"/>
        <v>-6.4072824206675594E-2</v>
      </c>
      <c r="J54" s="40">
        <f t="shared" si="15"/>
        <v>2.0665827595567787E-2</v>
      </c>
      <c r="K54" s="40">
        <f t="shared" si="15"/>
        <v>0.24594027344686986</v>
      </c>
      <c r="L54" s="40">
        <f t="shared" si="15"/>
        <v>0.21238980712103595</v>
      </c>
      <c r="M54" s="40">
        <f t="shared" si="15"/>
        <v>0.23029608891151265</v>
      </c>
      <c r="N54" s="40">
        <f t="shared" si="15"/>
        <v>-1.534875623815235E-2</v>
      </c>
      <c r="O54" s="40">
        <f t="shared" si="15"/>
        <v>6.5215403348847012E-2</v>
      </c>
      <c r="P54" s="40">
        <f t="shared" si="15"/>
        <v>3.6643854339063697E-2</v>
      </c>
      <c r="Q54" s="40"/>
      <c r="R54" s="40"/>
      <c r="T54" s="40" t="e">
        <f>T7/Z7-1</f>
        <v>#DIV/0!</v>
      </c>
      <c r="U54" s="40">
        <f>U7/T7-1</f>
        <v>1.2333514642149037</v>
      </c>
      <c r="V54" s="40">
        <f>V7/U7-1</f>
        <v>0.10700677375409895</v>
      </c>
      <c r="W54" s="40">
        <f>W7/V7-1</f>
        <v>0.15767981161882627</v>
      </c>
      <c r="X54" s="40"/>
      <c r="Y54" s="40"/>
    </row>
    <row r="55" spans="2:26" ht="9.75" customHeight="1" x14ac:dyDescent="0.2">
      <c r="B55" s="9" t="s">
        <v>180</v>
      </c>
      <c r="D55" s="40">
        <v>0.21299999999999999</v>
      </c>
      <c r="E55" s="40">
        <f>E43/W43-1</f>
        <v>-0.8114442120725498</v>
      </c>
      <c r="F55" s="40" t="e">
        <f>F43/S43-1</f>
        <v>#DIV/0!</v>
      </c>
      <c r="G55" s="40">
        <f t="shared" ref="G55:N55" si="16">G43/C43-1</f>
        <v>0.28670066837288943</v>
      </c>
      <c r="H55" s="40">
        <f t="shared" si="16"/>
        <v>0.19703396963269704</v>
      </c>
      <c r="I55" s="40">
        <f t="shared" si="16"/>
        <v>0.1226573138023519</v>
      </c>
      <c r="J55" s="40">
        <f t="shared" si="16"/>
        <v>0.13949688895675072</v>
      </c>
      <c r="K55" s="40">
        <f t="shared" si="16"/>
        <v>5.6416530723219172E-2</v>
      </c>
      <c r="L55" s="40">
        <f t="shared" si="16"/>
        <v>0.15328148950232734</v>
      </c>
      <c r="M55" s="40">
        <f t="shared" si="16"/>
        <v>0.15959511313015473</v>
      </c>
      <c r="N55" s="40">
        <f t="shared" si="16"/>
        <v>0.1606021828121964</v>
      </c>
      <c r="O55" s="40">
        <f>O43/K43-1</f>
        <v>0.15393263753902842</v>
      </c>
      <c r="P55" s="40">
        <f>P43/L43-1</f>
        <v>0.13572569533355283</v>
      </c>
      <c r="Q55" s="40"/>
      <c r="R55" s="40"/>
      <c r="U55" s="40">
        <f>U43/T43-1</f>
        <v>0.25229520696029994</v>
      </c>
      <c r="V55" s="40">
        <f>V43/U43-1</f>
        <v>0.18283589869764838</v>
      </c>
      <c r="W55" s="40">
        <f>W43/V43-1</f>
        <v>0.13285655609830038</v>
      </c>
      <c r="X55" s="40"/>
      <c r="Y55" s="40"/>
    </row>
    <row r="56" spans="2:26" ht="9.75" customHeight="1" x14ac:dyDescent="0.2">
      <c r="B56" s="9" t="s">
        <v>227</v>
      </c>
      <c r="D56" s="40">
        <v>0.71699999999999997</v>
      </c>
      <c r="E56" s="40" t="e">
        <f>E31/W31-1</f>
        <v>#DIV/0!</v>
      </c>
      <c r="F56" s="40" t="e">
        <f>F31/S31-1</f>
        <v>#DIV/0!</v>
      </c>
      <c r="G56" s="40">
        <f t="shared" ref="G56:N56" si="17">G31/C31-1</f>
        <v>3.5822279118017164E-2</v>
      </c>
      <c r="H56" s="40">
        <f t="shared" si="17"/>
        <v>-0.12351432758059266</v>
      </c>
      <c r="I56" s="40">
        <f t="shared" si="17"/>
        <v>-0.19316858584551688</v>
      </c>
      <c r="J56" s="40">
        <f t="shared" si="17"/>
        <v>-0.23063285591920479</v>
      </c>
      <c r="K56" s="40">
        <f t="shared" si="17"/>
        <v>-0.13379501385041548</v>
      </c>
      <c r="L56" s="40">
        <f t="shared" si="17"/>
        <v>-1</v>
      </c>
      <c r="M56" s="40">
        <f t="shared" si="17"/>
        <v>-1</v>
      </c>
      <c r="N56" s="40">
        <f t="shared" si="17"/>
        <v>-1</v>
      </c>
      <c r="O56" s="40">
        <f>O31/K31-1</f>
        <v>-1</v>
      </c>
      <c r="P56" s="40" t="e">
        <f>P31/L31-1</f>
        <v>#DIV/0!</v>
      </c>
      <c r="Q56" s="40"/>
      <c r="R56" s="40"/>
      <c r="U56" s="40">
        <f>U31/T31-1</f>
        <v>0.55941972194329481</v>
      </c>
      <c r="V56" s="40">
        <f>V31/U31-1</f>
        <v>-0.13078348637301196</v>
      </c>
      <c r="W56" s="40">
        <f>W31/V31-1</f>
        <v>-1</v>
      </c>
      <c r="X56" s="40"/>
      <c r="Y56" s="40"/>
    </row>
    <row r="57" spans="2:26" s="13" customFormat="1" ht="9.75" customHeight="1" x14ac:dyDescent="0.2">
      <c r="B57" s="4" t="s">
        <v>228</v>
      </c>
      <c r="D57" s="55">
        <v>0.61099999999999999</v>
      </c>
      <c r="E57" s="55">
        <f>E69/W69-1</f>
        <v>-0.76983650370596513</v>
      </c>
      <c r="F57" s="55" t="e">
        <f>F69/S69-1</f>
        <v>#DIV/0!</v>
      </c>
      <c r="G57" s="55">
        <f t="shared" ref="G57:N57" si="18">G69/C69-1</f>
        <v>0.45130648164513509</v>
      </c>
      <c r="H57" s="55">
        <f t="shared" si="18"/>
        <v>-8.2462059345978278E-2</v>
      </c>
      <c r="I57" s="55">
        <f t="shared" si="18"/>
        <v>-0.12521633909171037</v>
      </c>
      <c r="J57" s="58">
        <f t="shared" si="18"/>
        <v>-0.19520303284715301</v>
      </c>
      <c r="K57" s="58">
        <f t="shared" si="18"/>
        <v>5.5227651210476569E-3</v>
      </c>
      <c r="L57" s="58">
        <f t="shared" si="18"/>
        <v>0.18404383867782337</v>
      </c>
      <c r="M57" s="58">
        <f t="shared" si="18"/>
        <v>-0.30497670753239503</v>
      </c>
      <c r="N57" s="58">
        <f t="shared" si="18"/>
        <v>0.83078204019218127</v>
      </c>
      <c r="O57" s="58">
        <f>O69/K69-1</f>
        <v>0.15134888489553111</v>
      </c>
      <c r="P57" s="58">
        <f>P69/L69-1</f>
        <v>0.12990686254337946</v>
      </c>
      <c r="Q57" s="58"/>
      <c r="R57" s="58"/>
      <c r="T57" s="50" t="e">
        <f>T69/Z69-1</f>
        <v>#DIV/0!</v>
      </c>
      <c r="U57" s="50">
        <f>U69/T69-1</f>
        <v>0.65322535731825249</v>
      </c>
      <c r="V57" s="50">
        <f>V69/U69-1</f>
        <v>-2.7398413945276645E-2</v>
      </c>
      <c r="W57" s="50">
        <f>W69/V69-1</f>
        <v>0.17579828519429319</v>
      </c>
      <c r="X57" s="50"/>
      <c r="Y57" s="50"/>
    </row>
    <row r="58" spans="2:26" ht="9.75" customHeight="1" x14ac:dyDescent="0.25">
      <c r="B58" s="9" t="s">
        <v>230</v>
      </c>
      <c r="F58" s="56"/>
      <c r="G58" s="56"/>
      <c r="H58" s="56"/>
      <c r="J58" s="55">
        <f t="shared" ref="J58:P58" si="19">J77/F77-1</f>
        <v>-0.2143205412660586</v>
      </c>
      <c r="K58" s="55">
        <f t="shared" si="19"/>
        <v>-2.4702380106167876E-2</v>
      </c>
      <c r="L58" s="55">
        <f t="shared" si="19"/>
        <v>0.21730759039762582</v>
      </c>
      <c r="M58" s="55">
        <f t="shared" si="19"/>
        <v>-0.34492148436444225</v>
      </c>
      <c r="N58" s="55">
        <f t="shared" si="19"/>
        <v>0.81920175157237085</v>
      </c>
      <c r="O58" s="55">
        <f t="shared" si="19"/>
        <v>0.11680985601380689</v>
      </c>
      <c r="P58" s="55">
        <f t="shared" si="19"/>
        <v>9.8916024552696769E-2</v>
      </c>
      <c r="Q58" s="55"/>
      <c r="R58" s="55"/>
      <c r="T58" s="40"/>
      <c r="U58" s="40">
        <f>U77/T77-1</f>
        <v>0.58939948131139053</v>
      </c>
      <c r="V58" s="40">
        <f>V77/U77-1</f>
        <v>-8.191136573735458E-2</v>
      </c>
      <c r="W58" s="40">
        <f>W77/V77-1</f>
        <v>0.1525137526671716</v>
      </c>
      <c r="X58" s="40"/>
      <c r="Y58" s="40"/>
    </row>
    <row r="59" spans="2:26" ht="9.75" customHeight="1" x14ac:dyDescent="0.25">
      <c r="B59" s="49" t="s">
        <v>253</v>
      </c>
      <c r="F59" s="56"/>
      <c r="G59" s="56"/>
      <c r="H59" s="56"/>
      <c r="K59" s="55"/>
      <c r="L59" s="55"/>
      <c r="M59" s="55"/>
      <c r="N59" s="55"/>
      <c r="O59" s="55"/>
      <c r="P59" s="55"/>
      <c r="Q59" s="55"/>
      <c r="R59" s="55"/>
      <c r="T59" s="40"/>
      <c r="U59" s="40"/>
      <c r="V59" s="40"/>
      <c r="W59" s="40"/>
      <c r="X59" s="40"/>
      <c r="Y59" s="40"/>
    </row>
    <row r="60" spans="2:26" ht="9.75" customHeight="1" x14ac:dyDescent="0.2">
      <c r="B60" s="9" t="s">
        <v>173</v>
      </c>
      <c r="C60" s="55">
        <f t="shared" ref="C60:P60" si="20">C7/C$69</f>
        <v>0.36942787736294991</v>
      </c>
      <c r="D60" s="55">
        <f t="shared" si="20"/>
        <v>0.49960658551996279</v>
      </c>
      <c r="E60" s="55">
        <f t="shared" si="20"/>
        <v>0.51285817754494767</v>
      </c>
      <c r="F60" s="55">
        <f t="shared" si="20"/>
        <v>0.52825825089822542</v>
      </c>
      <c r="G60" s="55">
        <f t="shared" si="20"/>
        <v>0.47229554440303156</v>
      </c>
      <c r="H60" s="55">
        <f t="shared" si="20"/>
        <v>0.53907995946156639</v>
      </c>
      <c r="I60" s="55">
        <f t="shared" si="20"/>
        <v>0.54870469939250055</v>
      </c>
      <c r="J60" s="55">
        <f t="shared" si="20"/>
        <v>0.66995176031127401</v>
      </c>
      <c r="K60" s="55">
        <f t="shared" si="20"/>
        <v>0.58522000709791178</v>
      </c>
      <c r="L60" s="55">
        <f t="shared" si="20"/>
        <v>0.55198551499938275</v>
      </c>
      <c r="M60" s="55">
        <f t="shared" si="20"/>
        <v>0.97129010343408828</v>
      </c>
      <c r="N60" s="55">
        <f t="shared" si="20"/>
        <v>0.36032079164469422</v>
      </c>
      <c r="O60" s="55">
        <f t="shared" si="20"/>
        <v>0.54143915374980434</v>
      </c>
      <c r="P60" s="55">
        <f t="shared" si="20"/>
        <v>0.50642438839628234</v>
      </c>
      <c r="Q60" s="55"/>
      <c r="R60" s="55"/>
      <c r="T60" s="55">
        <f>T7/T$69</f>
        <v>0.36069144815784276</v>
      </c>
      <c r="U60" s="55">
        <f>U7/U$69</f>
        <v>0.4872601126683786</v>
      </c>
      <c r="V60" s="55">
        <f>V7/V$69</f>
        <v>0.55459527625501048</v>
      </c>
      <c r="W60" s="55">
        <f>W7/W$69</f>
        <v>0.54604923567608177</v>
      </c>
      <c r="X60" s="55"/>
      <c r="Y60" s="55"/>
    </row>
    <row r="61" spans="2:26" ht="9.75" customHeight="1" x14ac:dyDescent="0.2">
      <c r="B61" s="9" t="s">
        <v>180</v>
      </c>
      <c r="C61" s="55">
        <f t="shared" ref="C61:P61" si="21">C43/C$69</f>
        <v>0.4464767948965625</v>
      </c>
      <c r="D61" s="55">
        <f t="shared" si="21"/>
        <v>0.35410879698620668</v>
      </c>
      <c r="E61" s="55">
        <f t="shared" si="21"/>
        <v>0.35246910168737222</v>
      </c>
      <c r="F61" s="55">
        <f t="shared" si="21"/>
        <v>0.34152122106514676</v>
      </c>
      <c r="G61" s="55">
        <f t="shared" si="21"/>
        <v>0.39583781762979914</v>
      </c>
      <c r="H61" s="55">
        <f t="shared" si="21"/>
        <v>0.46197572891221872</v>
      </c>
      <c r="I61" s="55">
        <f t="shared" si="21"/>
        <v>0.45234271349766075</v>
      </c>
      <c r="J61" s="55">
        <f t="shared" si="21"/>
        <v>0.48355347348436989</v>
      </c>
      <c r="K61" s="55">
        <f t="shared" si="21"/>
        <v>0.41587284598094831</v>
      </c>
      <c r="L61" s="55">
        <f t="shared" si="21"/>
        <v>0.44997325212954198</v>
      </c>
      <c r="M61" s="55">
        <f t="shared" si="21"/>
        <v>0.75470046215230935</v>
      </c>
      <c r="N61" s="55">
        <f t="shared" si="21"/>
        <v>0.30654288960223108</v>
      </c>
      <c r="O61" s="55">
        <f>O43/O$69</f>
        <v>0.41680611006732426</v>
      </c>
      <c r="P61" s="55">
        <f t="shared" si="21"/>
        <v>0.45229053968747268</v>
      </c>
      <c r="Q61" s="55"/>
      <c r="R61" s="55"/>
      <c r="T61" s="55">
        <f>T43/T$69</f>
        <v>0.48474277642484292</v>
      </c>
      <c r="U61" s="55">
        <f>U43/U$69</f>
        <v>0.36718590894961772</v>
      </c>
      <c r="V61" s="55">
        <f>V43/V$69</f>
        <v>0.44655558949201324</v>
      </c>
      <c r="W61" s="55">
        <f>W43/W$69</f>
        <v>0.4302467809219287</v>
      </c>
      <c r="X61" s="55"/>
      <c r="Y61" s="55"/>
    </row>
    <row r="62" spans="2:26" ht="9.75" customHeight="1" x14ac:dyDescent="0.2">
      <c r="B62" s="9" t="s">
        <v>227</v>
      </c>
      <c r="C62" s="55">
        <f t="shared" ref="C62:P62" si="22">C33/C$69</f>
        <v>0.18657799224783897</v>
      </c>
      <c r="D62" s="55">
        <f t="shared" si="22"/>
        <v>0.14667803197386775</v>
      </c>
      <c r="E62" s="55">
        <f t="shared" si="22"/>
        <v>0.13441674980874896</v>
      </c>
      <c r="F62" s="55">
        <f t="shared" si="22"/>
        <v>0.13142250752214926</v>
      </c>
      <c r="G62" s="55">
        <f t="shared" si="22"/>
        <v>0.13354895718865767</v>
      </c>
      <c r="H62" s="55">
        <f t="shared" si="22"/>
        <v>0.14017267813523204</v>
      </c>
      <c r="I62" s="55">
        <f t="shared" si="22"/>
        <v>0.12508770004754921</v>
      </c>
      <c r="J62" s="55">
        <f t="shared" si="22"/>
        <v>0.12617480974642575</v>
      </c>
      <c r="K62" s="55">
        <f t="shared" si="22"/>
        <v>0.11463690801444369</v>
      </c>
      <c r="L62" s="55">
        <f t="shared" si="22"/>
        <v>0</v>
      </c>
      <c r="M62" s="55">
        <f t="shared" si="22"/>
        <v>0</v>
      </c>
      <c r="N62" s="55">
        <f t="shared" si="22"/>
        <v>0</v>
      </c>
      <c r="O62" s="55">
        <f>O33/O$69</f>
        <v>0</v>
      </c>
      <c r="P62" s="55">
        <f t="shared" si="22"/>
        <v>0</v>
      </c>
      <c r="Q62" s="55"/>
      <c r="R62" s="55"/>
      <c r="T62" s="55">
        <f>T33/T$69</f>
        <v>0.15504549067656306</v>
      </c>
      <c r="U62" s="55">
        <f>U33/U$69</f>
        <v>0.14640304899803541</v>
      </c>
      <c r="V62" s="55">
        <f>V33/V$69</f>
        <v>0.13135928107888548</v>
      </c>
      <c r="W62" s="55">
        <f>W33/W$69</f>
        <v>0</v>
      </c>
      <c r="X62" s="55"/>
      <c r="Y62" s="55"/>
    </row>
    <row r="63" spans="2:26" ht="9.75" customHeight="1" x14ac:dyDescent="0.2">
      <c r="B63" s="9" t="s">
        <v>174</v>
      </c>
      <c r="C63" s="74">
        <f t="shared" ref="C63:P63" si="23">C51/C$69</f>
        <v>-2.0716273372601082E-3</v>
      </c>
      <c r="D63" s="74">
        <f t="shared" si="23"/>
        <v>-6.9145575279264669E-4</v>
      </c>
      <c r="E63" s="74">
        <f t="shared" si="23"/>
        <v>2.559709589312049E-4</v>
      </c>
      <c r="F63" s="74">
        <f t="shared" si="23"/>
        <v>-1.1993721547502959E-3</v>
      </c>
      <c r="G63" s="74">
        <f t="shared" si="23"/>
        <v>-1.685151408729934E-3</v>
      </c>
      <c r="H63" s="74">
        <f t="shared" si="23"/>
        <v>-1.3317914869289539E-3</v>
      </c>
      <c r="I63" s="74">
        <f t="shared" si="23"/>
        <v>1.9631510169880396E-2</v>
      </c>
      <c r="J63" s="74">
        <f t="shared" si="23"/>
        <v>0</v>
      </c>
      <c r="K63" s="74">
        <f t="shared" si="23"/>
        <v>-1.2336846611873792E-3</v>
      </c>
      <c r="L63" s="74">
        <f t="shared" si="23"/>
        <v>-1.8215985624734235E-3</v>
      </c>
      <c r="M63" s="74">
        <f t="shared" si="23"/>
        <v>2.8709896565911722E-2</v>
      </c>
      <c r="N63" s="74">
        <f t="shared" si="23"/>
        <v>0</v>
      </c>
      <c r="O63" s="74">
        <f>O51/O$69</f>
        <v>4.1754736182871455E-2</v>
      </c>
      <c r="P63" s="74">
        <f t="shared" si="23"/>
        <v>4.128507191624501E-2</v>
      </c>
      <c r="Q63" s="74"/>
      <c r="R63" s="74"/>
      <c r="T63" s="74">
        <f>T51/T$69</f>
        <v>-4.7971525924875834E-4</v>
      </c>
      <c r="U63" s="74">
        <f>U51/U$69</f>
        <v>-8.4830499780267569E-4</v>
      </c>
      <c r="V63" s="74">
        <f>V51/V$69</f>
        <v>-1.1508657470236502E-3</v>
      </c>
      <c r="W63" s="74">
        <f>W51/W$69</f>
        <v>2.3703983401989592E-2</v>
      </c>
      <c r="X63" s="74"/>
      <c r="Y63" s="74"/>
    </row>
    <row r="64" spans="2:26" ht="12" x14ac:dyDescent="0.2">
      <c r="B64" s="9"/>
      <c r="C64" s="75">
        <f t="shared" ref="C64:I64" si="24">C60+C61+C62+C63</f>
        <v>1.0004110371700914</v>
      </c>
      <c r="D64" s="75">
        <f t="shared" si="24"/>
        <v>0.99970195872724466</v>
      </c>
      <c r="E64" s="75">
        <f t="shared" si="24"/>
        <v>1</v>
      </c>
      <c r="F64" s="75">
        <f t="shared" si="24"/>
        <v>1.0000026073307713</v>
      </c>
      <c r="G64" s="75">
        <f t="shared" si="24"/>
        <v>0.99999716781275838</v>
      </c>
      <c r="H64" s="75">
        <f t="shared" si="24"/>
        <v>1.1398965750220884</v>
      </c>
      <c r="I64" s="75">
        <f t="shared" si="24"/>
        <v>1.1457666231075909</v>
      </c>
      <c r="J64" s="75">
        <f t="shared" ref="J64" si="25">J60+J61+J62+J63</f>
        <v>1.2796800435420697</v>
      </c>
      <c r="K64" s="75">
        <f t="shared" ref="K64:P64" si="26">K60+K61+K62+K63</f>
        <v>1.1144960764321163</v>
      </c>
      <c r="L64" s="75">
        <f t="shared" si="26"/>
        <v>1.0001371685664513</v>
      </c>
      <c r="M64" s="75">
        <f t="shared" si="26"/>
        <v>1.7547004621523095</v>
      </c>
      <c r="N64" s="75">
        <f t="shared" si="26"/>
        <v>0.6668636812469253</v>
      </c>
      <c r="O64" s="75">
        <f>O60+O61+O62+O63</f>
        <v>1</v>
      </c>
      <c r="P64" s="75">
        <f t="shared" si="26"/>
        <v>1</v>
      </c>
      <c r="Q64" s="75"/>
      <c r="R64" s="75"/>
      <c r="T64" s="75">
        <f>T60+T61+T62+T63</f>
        <v>1</v>
      </c>
      <c r="U64" s="75">
        <f>U60+U61+U62+U63</f>
        <v>1.000000765618229</v>
      </c>
      <c r="V64" s="75">
        <f t="shared" ref="V64" si="27">V60+V61+V62+V63</f>
        <v>1.1313592810788857</v>
      </c>
      <c r="W64" s="75">
        <f>W60+W61+W62+W63</f>
        <v>1</v>
      </c>
      <c r="X64" s="75"/>
      <c r="Y64" s="75"/>
      <c r="Z64" s="2" t="s">
        <v>329</v>
      </c>
    </row>
    <row r="65" spans="2:31" ht="12" x14ac:dyDescent="0.2">
      <c r="B65" s="9" t="s">
        <v>326</v>
      </c>
      <c r="C65" s="75"/>
      <c r="D65" s="75"/>
      <c r="E65" s="75"/>
      <c r="F65" s="75"/>
      <c r="G65" s="75"/>
      <c r="H65" s="75"/>
      <c r="I65" s="75"/>
      <c r="J65" s="75"/>
      <c r="K65" s="75"/>
      <c r="L65" s="75"/>
      <c r="M65" s="75"/>
      <c r="N65" s="75"/>
      <c r="O65" s="75"/>
      <c r="P65" s="75"/>
      <c r="Q65" s="75"/>
      <c r="R65" s="75"/>
      <c r="T65" s="75"/>
      <c r="U65" s="75"/>
      <c r="V65" s="75"/>
      <c r="W65" s="19">
        <f>W29+W16</f>
        <v>0</v>
      </c>
      <c r="X65" s="19"/>
      <c r="Y65" s="19">
        <f>Y29+Y16</f>
        <v>1666652.5</v>
      </c>
      <c r="Z65" s="24">
        <f ca="1">Y65/Main!C10-1</f>
        <v>-7.7393697715356091E-2</v>
      </c>
    </row>
    <row r="66" spans="2:31" ht="12" x14ac:dyDescent="0.2">
      <c r="B66" s="9" t="s">
        <v>303</v>
      </c>
      <c r="C66" s="75"/>
      <c r="D66" s="75"/>
      <c r="E66" s="75"/>
      <c r="F66" s="75"/>
      <c r="G66" s="75"/>
      <c r="H66" s="75"/>
      <c r="I66" s="75"/>
      <c r="J66" s="75"/>
      <c r="K66" s="75"/>
      <c r="L66" s="75"/>
      <c r="M66" s="75"/>
      <c r="N66" s="75"/>
      <c r="O66" s="75"/>
      <c r="P66" s="75"/>
      <c r="Q66" s="75"/>
      <c r="R66" s="75"/>
      <c r="T66" s="75"/>
      <c r="U66" s="75"/>
      <c r="V66" s="75"/>
      <c r="W66" s="75"/>
      <c r="X66" s="75"/>
      <c r="Y66" s="139">
        <f ca="1">(Y65/Y104)/Main!E3</f>
        <v>24.607719672932276</v>
      </c>
    </row>
    <row r="67" spans="2:31" ht="12" x14ac:dyDescent="0.2">
      <c r="B67" s="100" t="s">
        <v>281</v>
      </c>
      <c r="C67" s="101"/>
      <c r="D67" s="101"/>
      <c r="E67" s="101"/>
      <c r="F67" s="101"/>
      <c r="G67" s="101"/>
      <c r="H67" s="101"/>
      <c r="I67" s="101"/>
      <c r="J67" s="101"/>
      <c r="K67" s="101"/>
      <c r="L67" s="101"/>
      <c r="M67" s="101" t="s">
        <v>284</v>
      </c>
      <c r="N67" s="101"/>
      <c r="O67" s="101"/>
      <c r="P67" s="101"/>
      <c r="Q67" s="101"/>
      <c r="R67" s="101"/>
      <c r="S67" s="102"/>
      <c r="T67" s="101"/>
      <c r="U67" s="101"/>
      <c r="V67" s="101"/>
      <c r="W67" s="101"/>
      <c r="X67" s="101"/>
      <c r="Y67" s="101"/>
      <c r="Z67" s="102"/>
    </row>
    <row r="68" spans="2:31" ht="12" x14ac:dyDescent="0.2">
      <c r="C68" s="5">
        <f>C43+C33+C7+C51</f>
        <v>243387</v>
      </c>
      <c r="D68" s="5">
        <f>D43+D33+D7+D51</f>
        <v>335424</v>
      </c>
      <c r="E68" s="5">
        <f>E43+E33+E7+E51</f>
        <v>343789</v>
      </c>
      <c r="F68" s="5">
        <f>F43+F33+F7+F51</f>
        <v>383535</v>
      </c>
      <c r="G68" s="5">
        <f>G43+G33+G7+G51</f>
        <v>353083</v>
      </c>
      <c r="K68" s="5">
        <f>K43+K33+K7+K51</f>
        <v>395684</v>
      </c>
      <c r="L68" s="5">
        <f>L43+L33+L7+L51</f>
        <v>364565</v>
      </c>
      <c r="O68" s="5">
        <f>O43+O33+O7+O51</f>
        <v>408768</v>
      </c>
      <c r="P68" s="5">
        <f>P43+P33+P7+P51</f>
        <v>411868</v>
      </c>
      <c r="Q68" s="5"/>
      <c r="R68" s="5"/>
      <c r="S68" s="5"/>
      <c r="T68" s="5">
        <f>T43+T33+T7+T51</f>
        <v>790052</v>
      </c>
      <c r="U68" s="5">
        <f>U43+U33+U7+U51</f>
        <v>1306135</v>
      </c>
      <c r="V68" s="76">
        <f>V43+V33+V7+V51</f>
        <v>1437220</v>
      </c>
      <c r="W68" s="5">
        <f>W43+W33+W7+W51</f>
        <v>1493673</v>
      </c>
      <c r="X68" s="5"/>
      <c r="Y68" s="5">
        <f>Y43+Y33+Y7+Y20</f>
        <v>1504992</v>
      </c>
      <c r="Z68" s="24">
        <f>((W68/T68)^(1/(2024-2021)))-1</f>
        <v>0.23651660062527857</v>
      </c>
      <c r="AA68" s="5">
        <f t="shared" ref="AA68:AE68" si="28">AA43+AA33+AA7+AA20</f>
        <v>1098060</v>
      </c>
      <c r="AB68" s="5">
        <f t="shared" si="28"/>
        <v>1198060</v>
      </c>
      <c r="AC68" s="5">
        <f t="shared" si="28"/>
        <v>1363060</v>
      </c>
      <c r="AD68" s="5">
        <f t="shared" si="28"/>
        <v>1527509.9999999998</v>
      </c>
      <c r="AE68" s="5">
        <f t="shared" si="28"/>
        <v>1670454.9999999998</v>
      </c>
    </row>
    <row r="69" spans="2:31" ht="12" x14ac:dyDescent="0.2">
      <c r="B69" s="2" t="s">
        <v>8</v>
      </c>
      <c r="C69" s="1">
        <v>243287</v>
      </c>
      <c r="D69" s="8">
        <f>578811-C69</f>
        <v>335524</v>
      </c>
      <c r="E69" s="1">
        <v>343789</v>
      </c>
      <c r="F69" s="5">
        <f>U69-E69-D69-C69</f>
        <v>383534</v>
      </c>
      <c r="G69" s="1">
        <v>353084</v>
      </c>
      <c r="H69" s="1">
        <v>307856</v>
      </c>
      <c r="I69" s="1">
        <v>300741</v>
      </c>
      <c r="J69" s="5">
        <f>V69-I69-H69-G69</f>
        <v>308667</v>
      </c>
      <c r="K69" s="1">
        <v>355034</v>
      </c>
      <c r="L69" s="1">
        <v>364515</v>
      </c>
      <c r="M69" s="1">
        <v>209022</v>
      </c>
      <c r="N69" s="5">
        <f>W69-M69-L69-K69</f>
        <v>565102</v>
      </c>
      <c r="O69" s="1">
        <v>408768</v>
      </c>
      <c r="P69" s="1">
        <v>411868</v>
      </c>
      <c r="Q69" s="1">
        <v>248355</v>
      </c>
      <c r="R69" s="8">
        <f>Q69+P69+O69+N69</f>
        <v>1634093</v>
      </c>
      <c r="T69" s="1">
        <v>790052</v>
      </c>
      <c r="U69" s="1">
        <v>1306134</v>
      </c>
      <c r="V69" s="1">
        <v>1270348</v>
      </c>
      <c r="W69" s="1">
        <v>1493673</v>
      </c>
      <c r="X69" s="1">
        <v>851025</v>
      </c>
      <c r="Y69" s="1">
        <v>979331</v>
      </c>
      <c r="AA69" s="5">
        <f t="shared" ref="AA69:AE69" si="29">AA68</f>
        <v>1098060</v>
      </c>
      <c r="AB69" s="5">
        <f t="shared" si="29"/>
        <v>1198060</v>
      </c>
      <c r="AC69" s="5">
        <f t="shared" si="29"/>
        <v>1363060</v>
      </c>
      <c r="AD69" s="5">
        <f t="shared" si="29"/>
        <v>1527509.9999999998</v>
      </c>
      <c r="AE69" s="5">
        <f t="shared" si="29"/>
        <v>1670454.9999999998</v>
      </c>
    </row>
    <row r="70" spans="2:31" ht="12" x14ac:dyDescent="0.2">
      <c r="B70" s="6" t="s">
        <v>283</v>
      </c>
      <c r="C70" s="1"/>
      <c r="D70" s="8"/>
      <c r="E70" s="1"/>
      <c r="F70" s="5"/>
      <c r="G70" s="1"/>
      <c r="H70" s="1"/>
      <c r="I70" s="1"/>
      <c r="J70" s="40">
        <f t="shared" ref="J70:Q70" si="30">J69/F69-1</f>
        <v>-0.19520303284715301</v>
      </c>
      <c r="K70" s="40">
        <f t="shared" si="30"/>
        <v>5.5227651210476569E-3</v>
      </c>
      <c r="L70" s="40">
        <f t="shared" si="30"/>
        <v>0.18404383867782337</v>
      </c>
      <c r="M70" s="40">
        <f t="shared" si="30"/>
        <v>-0.30497670753239503</v>
      </c>
      <c r="N70" s="40">
        <f t="shared" si="30"/>
        <v>0.83078204019218127</v>
      </c>
      <c r="O70" s="40">
        <f t="shared" si="30"/>
        <v>0.15134888489553111</v>
      </c>
      <c r="P70" s="40">
        <f t="shared" si="30"/>
        <v>0.12990686254337946</v>
      </c>
      <c r="Q70" s="40">
        <f t="shared" si="30"/>
        <v>0.18817636421046591</v>
      </c>
      <c r="R70" s="108">
        <f>R69/W69-1</f>
        <v>9.4009866952137422E-2</v>
      </c>
      <c r="T70" s="1"/>
      <c r="U70" s="40">
        <f>U69/T69-1</f>
        <v>0.65322535731825249</v>
      </c>
      <c r="V70" s="40">
        <f t="shared" ref="V70:Y70" si="31">V69/U69-1</f>
        <v>-2.7398413945276645E-2</v>
      </c>
      <c r="W70" s="40">
        <f t="shared" si="31"/>
        <v>0.17579828519429319</v>
      </c>
      <c r="X70" s="148" t="s">
        <v>328</v>
      </c>
      <c r="Y70" s="40">
        <f t="shared" si="31"/>
        <v>0.15076642871831036</v>
      </c>
      <c r="AA70" s="40">
        <f>AA69/Y69-1</f>
        <v>0.12123480212512416</v>
      </c>
      <c r="AB70" s="40">
        <f t="shared" ref="AB70" si="32">AB69/AA69-1</f>
        <v>9.1069704752017255E-2</v>
      </c>
      <c r="AC70" s="40">
        <f t="shared" ref="AC70" si="33">AC69/AB69-1</f>
        <v>0.1377226516201191</v>
      </c>
      <c r="AD70" s="40">
        <f t="shared" ref="AD70" si="34">AD69/AC69-1</f>
        <v>0.12064766041113351</v>
      </c>
      <c r="AE70" s="40">
        <f t="shared" ref="AE70" si="35">AE69/AD69-1</f>
        <v>9.3580402092293902E-2</v>
      </c>
    </row>
    <row r="71" spans="2:31" ht="12" x14ac:dyDescent="0.2">
      <c r="B71" s="2" t="s">
        <v>9</v>
      </c>
      <c r="C71" s="1">
        <v>17034</v>
      </c>
      <c r="D71" s="8">
        <f>27170-C71</f>
        <v>10136</v>
      </c>
      <c r="E71" s="1">
        <v>1997</v>
      </c>
      <c r="F71" s="5">
        <f t="shared" ref="F71:F76" si="36">U71-E71-D71-C71</f>
        <v>-16734</v>
      </c>
      <c r="G71" s="1">
        <v>11082</v>
      </c>
      <c r="H71" s="1">
        <v>-5484</v>
      </c>
      <c r="I71" s="1">
        <v>6491</v>
      </c>
      <c r="J71" s="5">
        <f t="shared" ref="J71:J76" si="37">V71-I71-H71-G71</f>
        <v>-15781</v>
      </c>
      <c r="K71" s="1">
        <v>17546</v>
      </c>
      <c r="L71" s="1">
        <v>13057</v>
      </c>
      <c r="M71" s="1">
        <v>1159</v>
      </c>
      <c r="N71" s="5">
        <f t="shared" ref="N71:N76" si="38">W71-M71-L71-K71</f>
        <v>-9672</v>
      </c>
      <c r="O71" s="1">
        <v>10938</v>
      </c>
      <c r="P71" s="1">
        <v>5779</v>
      </c>
      <c r="Q71" s="1">
        <v>-11360</v>
      </c>
      <c r="R71" s="8">
        <f t="shared" ref="R71:R76" si="39">Q71+P71+O71+N71</f>
        <v>-4315</v>
      </c>
      <c r="T71" s="1">
        <v>21830</v>
      </c>
      <c r="U71" s="1">
        <v>12433</v>
      </c>
      <c r="V71" s="1">
        <v>-3692</v>
      </c>
      <c r="W71" s="1">
        <v>22090</v>
      </c>
      <c r="X71" s="1">
        <v>17818</v>
      </c>
      <c r="Y71" s="1">
        <v>-9653</v>
      </c>
    </row>
    <row r="72" spans="2:31" ht="12" x14ac:dyDescent="0.2">
      <c r="B72" s="2" t="s">
        <v>10</v>
      </c>
      <c r="C72" s="1">
        <v>6676</v>
      </c>
      <c r="D72" s="8">
        <f>10806-C72</f>
        <v>4130</v>
      </c>
      <c r="E72" s="1">
        <v>6586</v>
      </c>
      <c r="F72" s="5">
        <f t="shared" si="36"/>
        <v>12347</v>
      </c>
      <c r="G72" s="1">
        <v>3450</v>
      </c>
      <c r="H72" s="1">
        <v>2737</v>
      </c>
      <c r="I72" s="1">
        <v>2052</v>
      </c>
      <c r="J72" s="5">
        <f t="shared" si="37"/>
        <v>5535</v>
      </c>
      <c r="K72" s="1">
        <v>2128</v>
      </c>
      <c r="L72" s="1">
        <v>2430</v>
      </c>
      <c r="M72" s="1">
        <v>2740</v>
      </c>
      <c r="N72" s="5">
        <f t="shared" si="38"/>
        <v>6685</v>
      </c>
      <c r="O72" s="1">
        <v>2089</v>
      </c>
      <c r="P72" s="1">
        <v>2621</v>
      </c>
      <c r="Q72" s="1">
        <v>1753</v>
      </c>
      <c r="R72" s="8">
        <f t="shared" si="39"/>
        <v>13148</v>
      </c>
      <c r="T72" s="1">
        <v>34584</v>
      </c>
      <c r="U72" s="1">
        <v>29739</v>
      </c>
      <c r="V72" s="1">
        <v>13774</v>
      </c>
      <c r="W72" s="1">
        <v>13983</v>
      </c>
      <c r="X72" s="1">
        <v>13848</v>
      </c>
      <c r="Y72" s="1">
        <v>8316</v>
      </c>
    </row>
    <row r="73" spans="2:31" ht="12" x14ac:dyDescent="0.2">
      <c r="B73" s="2" t="s">
        <v>11</v>
      </c>
      <c r="C73" s="1">
        <v>4705</v>
      </c>
      <c r="D73" s="8">
        <f>12073-C73</f>
        <v>7368</v>
      </c>
      <c r="E73" s="1">
        <v>26667</v>
      </c>
      <c r="F73" s="5">
        <f t="shared" si="36"/>
        <v>66092</v>
      </c>
      <c r="G73" s="1">
        <v>5450</v>
      </c>
      <c r="H73" s="1">
        <v>9434</v>
      </c>
      <c r="I73" s="1">
        <v>5804</v>
      </c>
      <c r="J73" s="5">
        <f t="shared" si="37"/>
        <v>13366</v>
      </c>
      <c r="K73" s="1">
        <v>4993</v>
      </c>
      <c r="L73" s="1">
        <v>2864</v>
      </c>
      <c r="M73" s="1">
        <v>11895</v>
      </c>
      <c r="N73" s="5">
        <f t="shared" si="38"/>
        <v>14250</v>
      </c>
      <c r="O73" s="1">
        <v>9831</v>
      </c>
      <c r="P73" s="1">
        <v>11284</v>
      </c>
      <c r="Q73" s="1">
        <v>6077</v>
      </c>
      <c r="R73" s="8">
        <f t="shared" si="39"/>
        <v>41442</v>
      </c>
      <c r="T73" s="1">
        <v>33999</v>
      </c>
      <c r="U73" s="1">
        <v>104832</v>
      </c>
      <c r="V73" s="1">
        <v>34054</v>
      </c>
      <c r="W73" s="1">
        <v>34002</v>
      </c>
      <c r="X73" s="1">
        <v>33484</v>
      </c>
      <c r="Y73" s="1">
        <v>36714</v>
      </c>
    </row>
    <row r="74" spans="2:31" ht="12" x14ac:dyDescent="0.2">
      <c r="B74" s="2" t="s">
        <v>12</v>
      </c>
      <c r="C74" s="1">
        <v>-173683</v>
      </c>
      <c r="D74" s="8">
        <f>-393255-C74</f>
        <v>-219572</v>
      </c>
      <c r="E74" s="1">
        <v>-227588</v>
      </c>
      <c r="F74" s="5">
        <f t="shared" si="36"/>
        <v>-236307</v>
      </c>
      <c r="G74" s="1">
        <v>-234434</v>
      </c>
      <c r="H74" s="1">
        <v>-183964</v>
      </c>
      <c r="I74" s="1">
        <v>-197315</v>
      </c>
      <c r="J74" s="5">
        <f t="shared" si="37"/>
        <v>-187707</v>
      </c>
      <c r="K74" s="1">
        <v>-235753</v>
      </c>
      <c r="L74" s="1">
        <v>-228317</v>
      </c>
      <c r="M74" s="1">
        <v>-101042</v>
      </c>
      <c r="N74" s="5">
        <f t="shared" si="38"/>
        <v>-362785</v>
      </c>
      <c r="O74" s="1">
        <v>-256973</v>
      </c>
      <c r="P74" s="1">
        <v>-253224</v>
      </c>
      <c r="Q74" s="1">
        <v>-108290</v>
      </c>
      <c r="R74" s="8">
        <f t="shared" si="39"/>
        <v>-981272</v>
      </c>
      <c r="T74" s="1">
        <v>-558334</v>
      </c>
      <c r="U74" s="1">
        <v>-857150</v>
      </c>
      <c r="V74" s="1">
        <v>-803420</v>
      </c>
      <c r="W74" s="1">
        <v>-927897</v>
      </c>
      <c r="X74" s="1">
        <v>-410617</v>
      </c>
      <c r="Y74" s="1">
        <v>-445879</v>
      </c>
    </row>
    <row r="75" spans="2:31" ht="12" x14ac:dyDescent="0.2">
      <c r="B75" s="2" t="s">
        <v>13</v>
      </c>
      <c r="C75" s="1">
        <v>-50052</v>
      </c>
      <c r="D75" s="8">
        <f>-121957-C75</f>
        <v>-71905</v>
      </c>
      <c r="E75" s="1">
        <v>-73155</v>
      </c>
      <c r="F75" s="5">
        <f t="shared" si="36"/>
        <v>-73153</v>
      </c>
      <c r="G75" s="1">
        <v>-70301</v>
      </c>
      <c r="H75" s="1">
        <v>-61085</v>
      </c>
      <c r="I75" s="1">
        <v>-61564</v>
      </c>
      <c r="J75" s="5">
        <f t="shared" si="37"/>
        <v>-55547</v>
      </c>
      <c r="K75" s="1">
        <v>-68186</v>
      </c>
      <c r="L75" s="1">
        <v>-70973</v>
      </c>
      <c r="M75" s="1">
        <v>-60011</v>
      </c>
      <c r="N75" s="5">
        <f t="shared" si="38"/>
        <v>-95390</v>
      </c>
      <c r="O75" s="1">
        <v>-82925</v>
      </c>
      <c r="P75" s="1">
        <v>-83068</v>
      </c>
      <c r="Q75" s="1">
        <v>-65123</v>
      </c>
      <c r="R75" s="8">
        <f t="shared" si="39"/>
        <v>-326506</v>
      </c>
      <c r="T75" s="1">
        <v>-173645</v>
      </c>
      <c r="U75" s="1">
        <v>-268265</v>
      </c>
      <c r="V75" s="1">
        <v>-248497</v>
      </c>
      <c r="W75" s="1">
        <v>-294560</v>
      </c>
      <c r="X75" s="1">
        <v>-242556</v>
      </c>
      <c r="Y75" s="1">
        <v>-276864</v>
      </c>
    </row>
    <row r="76" spans="2:31" ht="14.25" x14ac:dyDescent="0.35">
      <c r="B76" s="2" t="s">
        <v>14</v>
      </c>
      <c r="C76" s="3">
        <v>-33563</v>
      </c>
      <c r="D76" s="48">
        <f>-85015-C76</f>
        <v>-51452</v>
      </c>
      <c r="E76" s="3">
        <v>-60174</v>
      </c>
      <c r="F76" s="17">
        <f t="shared" si="36"/>
        <v>-55610</v>
      </c>
      <c r="G76" s="3">
        <v>-46972</v>
      </c>
      <c r="H76" s="3">
        <v>-38006</v>
      </c>
      <c r="I76" s="3">
        <v>-37113</v>
      </c>
      <c r="J76" s="17">
        <f t="shared" si="37"/>
        <v>-43574</v>
      </c>
      <c r="K76" s="3">
        <v>-39080</v>
      </c>
      <c r="L76" s="3">
        <v>-45275</v>
      </c>
      <c r="M76" s="3">
        <v>-32845</v>
      </c>
      <c r="N76" s="17">
        <f t="shared" si="38"/>
        <v>-63623</v>
      </c>
      <c r="O76" s="3">
        <v>-43189</v>
      </c>
      <c r="P76" s="3">
        <v>-42356</v>
      </c>
      <c r="Q76" s="3">
        <v>-35368</v>
      </c>
      <c r="R76" s="48">
        <f t="shared" si="39"/>
        <v>-184536</v>
      </c>
      <c r="T76" s="3">
        <v>-102433</v>
      </c>
      <c r="U76" s="3">
        <v>-200799</v>
      </c>
      <c r="V76" s="3">
        <v>-165665</v>
      </c>
      <c r="W76" s="3">
        <v>-180823</v>
      </c>
      <c r="X76" s="3">
        <v>-138318</v>
      </c>
      <c r="Y76" s="3">
        <v>-131373</v>
      </c>
    </row>
    <row r="77" spans="2:31" ht="12" x14ac:dyDescent="0.2">
      <c r="B77" s="13" t="s">
        <v>229</v>
      </c>
      <c r="C77" s="8">
        <f>SUM(C74:C76)</f>
        <v>-257298</v>
      </c>
      <c r="D77" s="8">
        <f>SUM(D74:D76)</f>
        <v>-342929</v>
      </c>
      <c r="E77" s="8">
        <f>SUM(E74:E76)</f>
        <v>-360917</v>
      </c>
      <c r="F77" s="8">
        <f t="shared" ref="F77" si="40">SUM(F74:F76)</f>
        <v>-365070</v>
      </c>
      <c r="G77" s="8">
        <f t="shared" ref="G77:R77" si="41">SUM(G74:G76)</f>
        <v>-351707</v>
      </c>
      <c r="H77" s="8">
        <f t="shared" si="41"/>
        <v>-283055</v>
      </c>
      <c r="I77" s="8">
        <f t="shared" si="41"/>
        <v>-295992</v>
      </c>
      <c r="J77" s="8">
        <f t="shared" si="41"/>
        <v>-286828</v>
      </c>
      <c r="K77" s="8">
        <f t="shared" si="41"/>
        <v>-343019</v>
      </c>
      <c r="L77" s="8">
        <f t="shared" si="41"/>
        <v>-344565</v>
      </c>
      <c r="M77" s="8">
        <f t="shared" si="41"/>
        <v>-193898</v>
      </c>
      <c r="N77" s="8">
        <f t="shared" si="41"/>
        <v>-521798</v>
      </c>
      <c r="O77" s="8">
        <f t="shared" ref="O77" si="42">SUM(O74:O76)</f>
        <v>-383087</v>
      </c>
      <c r="P77" s="8">
        <f t="shared" si="41"/>
        <v>-378648</v>
      </c>
      <c r="Q77" s="8">
        <f t="shared" si="41"/>
        <v>-208781</v>
      </c>
      <c r="R77" s="8">
        <f t="shared" si="41"/>
        <v>-1492314</v>
      </c>
      <c r="T77" s="8">
        <f>SUM(T74:T76)</f>
        <v>-834412</v>
      </c>
      <c r="U77" s="8">
        <f t="shared" ref="U77" si="43">SUM(U74:U76)</f>
        <v>-1326214</v>
      </c>
      <c r="V77" s="8">
        <f>SUM(V74:V76)</f>
        <v>-1217582</v>
      </c>
      <c r="W77" s="8">
        <f>SUM(W74:W76)</f>
        <v>-1403280</v>
      </c>
      <c r="X77" s="8">
        <f>SUM(X74:X76)</f>
        <v>-791491</v>
      </c>
      <c r="Y77" s="8">
        <f>SUM(Y74:Y76)</f>
        <v>-854116</v>
      </c>
      <c r="Z77" s="24">
        <f>((W77/T77)^(1/(2024-2021)))-1</f>
        <v>0.18919917189507962</v>
      </c>
    </row>
    <row r="78" spans="2:31" ht="12" x14ac:dyDescent="0.2">
      <c r="B78" s="90" t="s">
        <v>175</v>
      </c>
      <c r="C78" s="91">
        <f t="shared" ref="C78:R78" si="44">C69+C71+C72+C73+C74+C75+C76</f>
        <v>14404</v>
      </c>
      <c r="D78" s="91">
        <f t="shared" si="44"/>
        <v>14229</v>
      </c>
      <c r="E78" s="91">
        <f t="shared" si="44"/>
        <v>18122</v>
      </c>
      <c r="F78" s="91">
        <f t="shared" si="44"/>
        <v>80169</v>
      </c>
      <c r="G78" s="91">
        <f t="shared" si="44"/>
        <v>21359</v>
      </c>
      <c r="H78" s="91">
        <f t="shared" si="44"/>
        <v>31488</v>
      </c>
      <c r="I78" s="91">
        <f t="shared" si="44"/>
        <v>19096</v>
      </c>
      <c r="J78" s="91">
        <f t="shared" si="44"/>
        <v>24959</v>
      </c>
      <c r="K78" s="91">
        <f t="shared" si="44"/>
        <v>36682</v>
      </c>
      <c r="L78" s="91">
        <f t="shared" si="44"/>
        <v>38301</v>
      </c>
      <c r="M78" s="91">
        <f t="shared" si="44"/>
        <v>30918</v>
      </c>
      <c r="N78" s="91">
        <f t="shared" si="44"/>
        <v>54567</v>
      </c>
      <c r="O78" s="91">
        <f t="shared" si="44"/>
        <v>48539</v>
      </c>
      <c r="P78" s="91">
        <f t="shared" si="44"/>
        <v>52904</v>
      </c>
      <c r="Q78" s="91">
        <f t="shared" si="44"/>
        <v>36044</v>
      </c>
      <c r="R78" s="104">
        <f t="shared" si="44"/>
        <v>192054</v>
      </c>
      <c r="S78" s="92"/>
      <c r="T78" s="91">
        <f t="shared" ref="T78:Y78" si="45">SUM(T69:T76)</f>
        <v>46053</v>
      </c>
      <c r="U78" s="91">
        <f t="shared" si="45"/>
        <v>126924.65322535741</v>
      </c>
      <c r="V78" s="91">
        <f t="shared" si="45"/>
        <v>96901.972601586021</v>
      </c>
      <c r="W78" s="91">
        <f t="shared" si="45"/>
        <v>160468.17579828529</v>
      </c>
      <c r="X78" s="91">
        <f t="shared" si="45"/>
        <v>124684</v>
      </c>
      <c r="Y78" s="91">
        <f t="shared" si="45"/>
        <v>160592.15076642868</v>
      </c>
      <c r="Z78" s="152">
        <f>((Y78/T78)^(1/(2025-2021)))-1</f>
        <v>0.36652190284216823</v>
      </c>
      <c r="AA78" s="153">
        <f>AA69*AA80</f>
        <v>197650.8</v>
      </c>
      <c r="AB78" s="153">
        <f>AB69*AB80</f>
        <v>179709</v>
      </c>
      <c r="AC78" s="153">
        <f>AC69*AC80</f>
        <v>218089.60000000001</v>
      </c>
      <c r="AD78" s="153">
        <f>AD69*AD80</f>
        <v>259676.69999999998</v>
      </c>
      <c r="AE78" s="153">
        <f>AE69*AE80</f>
        <v>334091</v>
      </c>
    </row>
    <row r="79" spans="2:31" ht="12" x14ac:dyDescent="0.2">
      <c r="B79" s="6" t="s">
        <v>283</v>
      </c>
      <c r="C79" s="1"/>
      <c r="D79" s="8"/>
      <c r="E79" s="1"/>
      <c r="F79" s="5"/>
      <c r="G79" s="1"/>
      <c r="H79" s="1"/>
      <c r="I79" s="1"/>
      <c r="J79" s="40">
        <f t="shared" ref="J79:Q79" si="46">J78/F78-1</f>
        <v>-0.68867018423580184</v>
      </c>
      <c r="K79" s="40">
        <f t="shared" si="46"/>
        <v>0.71740250011704676</v>
      </c>
      <c r="L79" s="40">
        <f t="shared" si="46"/>
        <v>0.21636814024390238</v>
      </c>
      <c r="M79" s="40">
        <f t="shared" si="46"/>
        <v>0.61908253037285288</v>
      </c>
      <c r="N79" s="40">
        <f t="shared" si="46"/>
        <v>1.1862654753796225</v>
      </c>
      <c r="O79" s="40">
        <f t="shared" si="46"/>
        <v>0.32323755520418729</v>
      </c>
      <c r="P79" s="40">
        <f t="shared" si="46"/>
        <v>0.38126941855304031</v>
      </c>
      <c r="Q79" s="40">
        <f t="shared" si="46"/>
        <v>0.16579338896435725</v>
      </c>
      <c r="R79" s="108">
        <f>R78/W78-1</f>
        <v>0.19683544132401254</v>
      </c>
      <c r="T79" s="1"/>
      <c r="U79" s="40">
        <f>U78/T78-1</f>
        <v>1.7560561358729596</v>
      </c>
      <c r="V79" s="40">
        <f t="shared" ref="V79" si="47">V78/U78-1</f>
        <v>-0.23653939452145267</v>
      </c>
      <c r="W79" s="40">
        <f t="shared" ref="W79:Y79" si="48">W78/V78-1</f>
        <v>0.65598461507128136</v>
      </c>
      <c r="X79" s="148" t="s">
        <v>328</v>
      </c>
      <c r="Y79" s="40">
        <f t="shared" si="48"/>
        <v>0.28799325307520363</v>
      </c>
      <c r="Z79" s="154"/>
      <c r="AA79" s="155">
        <f>AA78/Y78-1</f>
        <v>0.23076251894447086</v>
      </c>
      <c r="AB79" s="155">
        <f t="shared" ref="AB79" si="49">AB78/AA78-1</f>
        <v>-9.0775246039985658E-2</v>
      </c>
      <c r="AC79" s="155">
        <f t="shared" ref="AC79" si="50">AC78/AB78-1</f>
        <v>0.21357082839479391</v>
      </c>
      <c r="AD79" s="155">
        <f t="shared" ref="AD79" si="51">AD78/AC78-1</f>
        <v>0.19068813918682959</v>
      </c>
      <c r="AE79" s="155">
        <f t="shared" ref="AE79" si="52">AE78/AD78-1</f>
        <v>0.28656517893211064</v>
      </c>
    </row>
    <row r="80" spans="2:31" ht="12" x14ac:dyDescent="0.2">
      <c r="B80" s="93" t="s">
        <v>15</v>
      </c>
      <c r="C80" s="94">
        <f t="shared" ref="C80:Q80" si="53">C78/C$69</f>
        <v>5.9205793979949607E-2</v>
      </c>
      <c r="D80" s="94">
        <f t="shared" si="53"/>
        <v>4.2408292700373149E-2</v>
      </c>
      <c r="E80" s="94">
        <f t="shared" si="53"/>
        <v>5.2712564974446534E-2</v>
      </c>
      <c r="F80" s="94">
        <f t="shared" si="53"/>
        <v>0.20902710059603583</v>
      </c>
      <c r="G80" s="94">
        <f t="shared" si="53"/>
        <v>6.0492687292542285E-2</v>
      </c>
      <c r="H80" s="94">
        <f t="shared" si="53"/>
        <v>0.10228158619614365</v>
      </c>
      <c r="I80" s="94">
        <f t="shared" si="53"/>
        <v>6.3496496985778458E-2</v>
      </c>
      <c r="J80" s="94">
        <f t="shared" si="53"/>
        <v>8.0860603822242097E-2</v>
      </c>
      <c r="K80" s="94">
        <f t="shared" si="53"/>
        <v>0.10331968205861974</v>
      </c>
      <c r="L80" s="94">
        <f t="shared" si="53"/>
        <v>0.10507386527303403</v>
      </c>
      <c r="M80" s="94">
        <f t="shared" si="53"/>
        <v>0.14791744409679364</v>
      </c>
      <c r="N80" s="94">
        <f t="shared" si="53"/>
        <v>9.6561328751269687E-2</v>
      </c>
      <c r="O80" s="94">
        <f>O78/O$69</f>
        <v>0.1187446179740097</v>
      </c>
      <c r="P80" s="94">
        <f t="shared" si="53"/>
        <v>0.12844892052793613</v>
      </c>
      <c r="Q80" s="94">
        <f t="shared" si="53"/>
        <v>0.14513096172817136</v>
      </c>
      <c r="R80" s="105">
        <f t="shared" ref="R80" si="54">R78/R$69</f>
        <v>0.11752941846027123</v>
      </c>
      <c r="S80" s="94"/>
      <c r="T80" s="94">
        <f t="shared" ref="T80:Y80" si="55">T78/T$69</f>
        <v>5.8291099826340544E-2</v>
      </c>
      <c r="U80" s="94">
        <f t="shared" si="55"/>
        <v>9.7175828226933381E-2</v>
      </c>
      <c r="V80" s="94">
        <f t="shared" si="55"/>
        <v>7.6279863944042126E-2</v>
      </c>
      <c r="W80" s="94">
        <f t="shared" si="55"/>
        <v>0.10743193175366046</v>
      </c>
      <c r="X80" s="149">
        <f t="shared" si="55"/>
        <v>0.14651038453629447</v>
      </c>
      <c r="Y80" s="149">
        <f t="shared" si="55"/>
        <v>0.16398148406047464</v>
      </c>
      <c r="Z80" s="156"/>
      <c r="AA80" s="157">
        <v>0.18</v>
      </c>
      <c r="AB80" s="157">
        <v>0.15</v>
      </c>
      <c r="AC80" s="157">
        <v>0.16</v>
      </c>
      <c r="AD80" s="157">
        <v>0.17</v>
      </c>
      <c r="AE80" s="157">
        <v>0.2</v>
      </c>
    </row>
    <row r="81" spans="2:31" ht="12" hidden="1" x14ac:dyDescent="0.2">
      <c r="B81" s="6" t="s">
        <v>15</v>
      </c>
      <c r="C81" s="7"/>
      <c r="D81" s="7"/>
      <c r="E81" s="7"/>
      <c r="F81" s="7"/>
      <c r="G81" s="7"/>
      <c r="H81" s="7"/>
      <c r="I81" s="7" t="e">
        <f>#REF!/I$69</f>
        <v>#REF!</v>
      </c>
      <c r="K81" s="7" t="e">
        <f>#REF!/K$69</f>
        <v>#REF!</v>
      </c>
      <c r="L81" s="7" t="e">
        <f>#REF!/L$69</f>
        <v>#REF!</v>
      </c>
      <c r="M81" s="7" t="e">
        <f>#REF!/M$69</f>
        <v>#REF!</v>
      </c>
      <c r="O81" s="7" t="e">
        <f>#REF!/O$69</f>
        <v>#REF!</v>
      </c>
      <c r="P81" s="7" t="e">
        <f>#REF!/P$69</f>
        <v>#REF!</v>
      </c>
      <c r="Q81" s="7"/>
      <c r="R81" s="106"/>
      <c r="T81" s="7" t="e">
        <f>#REF!/T$69</f>
        <v>#REF!</v>
      </c>
      <c r="U81" s="7" t="e">
        <f>#REF!/U$69</f>
        <v>#REF!</v>
      </c>
      <c r="V81" s="7" t="e">
        <f>#REF!/V$69</f>
        <v>#REF!</v>
      </c>
      <c r="W81" s="7" t="e">
        <f>#REF!/W$69</f>
        <v>#REF!</v>
      </c>
      <c r="X81" s="7"/>
      <c r="Y81" s="7"/>
    </row>
    <row r="82" spans="2:31" ht="14.25" x14ac:dyDescent="0.35">
      <c r="B82" s="2" t="s">
        <v>16</v>
      </c>
      <c r="C82" s="3">
        <v>-19220</v>
      </c>
      <c r="D82" s="48">
        <f>-46599-C82</f>
        <v>-27379</v>
      </c>
      <c r="E82" s="3">
        <v>-29217</v>
      </c>
      <c r="F82" s="17">
        <f>U82-E82-D82-C82</f>
        <v>-33417</v>
      </c>
      <c r="G82" s="3">
        <v>-27856</v>
      </c>
      <c r="H82" s="3">
        <v>-21686</v>
      </c>
      <c r="I82" s="3">
        <v>-25143</v>
      </c>
      <c r="J82" s="17">
        <f>V82-I82-H82-G82</f>
        <v>-18201</v>
      </c>
      <c r="K82" s="3">
        <v>-22554</v>
      </c>
      <c r="L82" s="3">
        <v>-23991</v>
      </c>
      <c r="M82" s="3">
        <v>-21102</v>
      </c>
      <c r="N82" s="17">
        <f>W82-M82-L82-K82</f>
        <v>-27054</v>
      </c>
      <c r="O82" s="3">
        <v>-24896</v>
      </c>
      <c r="P82" s="3">
        <v>-24418</v>
      </c>
      <c r="Q82" s="3">
        <v>-22854</v>
      </c>
      <c r="R82" s="48">
        <f>Q82+P82+O82+N82</f>
        <v>-99222</v>
      </c>
      <c r="T82" s="1">
        <v>-71808</v>
      </c>
      <c r="U82" s="1">
        <v>-109233</v>
      </c>
      <c r="V82" s="1">
        <v>-92886</v>
      </c>
      <c r="W82" s="1">
        <v>-94701</v>
      </c>
      <c r="X82" s="1">
        <v>-84721</v>
      </c>
      <c r="Y82" s="1">
        <v>-91777</v>
      </c>
      <c r="AA82" s="122">
        <f>-AA69*AA83</f>
        <v>-98825.4</v>
      </c>
      <c r="AB82" s="122">
        <f>-AB69*AB83</f>
        <v>-107825.4</v>
      </c>
      <c r="AC82" s="122">
        <f>-AC69*AC83</f>
        <v>-122675.4</v>
      </c>
      <c r="AD82" s="122">
        <f>-AD69*AD83</f>
        <v>-137475.89999999997</v>
      </c>
      <c r="AE82" s="122">
        <f>-AE69*AE83</f>
        <v>-150340.94999999998</v>
      </c>
    </row>
    <row r="83" spans="2:31" ht="14.25" x14ac:dyDescent="0.35">
      <c r="B83" s="2" t="s">
        <v>311</v>
      </c>
      <c r="C83" s="3"/>
      <c r="D83" s="48"/>
      <c r="E83" s="3"/>
      <c r="F83" s="17"/>
      <c r="G83" s="3"/>
      <c r="H83" s="3"/>
      <c r="I83" s="3"/>
      <c r="J83" s="17"/>
      <c r="K83" s="3"/>
      <c r="L83" s="3"/>
      <c r="M83" s="3"/>
      <c r="N83" s="17"/>
      <c r="O83" s="3"/>
      <c r="P83" s="3"/>
      <c r="Q83" s="3"/>
      <c r="R83" s="48"/>
      <c r="T83" s="81">
        <f>-T82/T69</f>
        <v>9.0890219884260784E-2</v>
      </c>
      <c r="U83" s="81">
        <f>-U82/U69</f>
        <v>8.363077601532462E-2</v>
      </c>
      <c r="V83" s="81">
        <f>-V82/V69</f>
        <v>7.3118547043802176E-2</v>
      </c>
      <c r="W83" s="81">
        <f>-W82/W69</f>
        <v>6.3401427220014017E-2</v>
      </c>
      <c r="X83" s="81">
        <f t="shared" ref="X83:Y83" si="56">-X82/X69</f>
        <v>9.9551717047090274E-2</v>
      </c>
      <c r="Y83" s="81">
        <f t="shared" si="56"/>
        <v>9.3713974131320252E-2</v>
      </c>
      <c r="AA83" s="123">
        <v>0.09</v>
      </c>
      <c r="AB83" s="123">
        <v>0.09</v>
      </c>
      <c r="AC83" s="123">
        <v>0.09</v>
      </c>
      <c r="AD83" s="123">
        <v>0.09</v>
      </c>
      <c r="AE83" s="123">
        <v>0.09</v>
      </c>
    </row>
    <row r="84" spans="2:31" s="13" customFormat="1" ht="12" x14ac:dyDescent="0.2">
      <c r="B84" s="4" t="s">
        <v>86</v>
      </c>
      <c r="C84" s="18">
        <f>C78+C82</f>
        <v>-4816</v>
      </c>
      <c r="D84" s="18">
        <f>D78+D82</f>
        <v>-13150</v>
      </c>
      <c r="E84" s="18">
        <f t="shared" ref="E84" si="57">E78+E82</f>
        <v>-11095</v>
      </c>
      <c r="F84" s="18">
        <f t="shared" ref="F84:Q84" si="58">F78+F82</f>
        <v>46752</v>
      </c>
      <c r="G84" s="18">
        <f t="shared" si="58"/>
        <v>-6497</v>
      </c>
      <c r="H84" s="18">
        <f t="shared" si="58"/>
        <v>9802</v>
      </c>
      <c r="I84" s="18">
        <f t="shared" si="58"/>
        <v>-6047</v>
      </c>
      <c r="J84" s="18">
        <f t="shared" si="58"/>
        <v>6758</v>
      </c>
      <c r="K84" s="18">
        <f t="shared" si="58"/>
        <v>14128</v>
      </c>
      <c r="L84" s="18">
        <f t="shared" si="58"/>
        <v>14310</v>
      </c>
      <c r="M84" s="18">
        <f t="shared" si="58"/>
        <v>9816</v>
      </c>
      <c r="N84" s="18">
        <f t="shared" si="58"/>
        <v>27513</v>
      </c>
      <c r="O84" s="18">
        <f t="shared" si="58"/>
        <v>23643</v>
      </c>
      <c r="P84" s="18">
        <f t="shared" si="58"/>
        <v>28486</v>
      </c>
      <c r="Q84" s="18">
        <f t="shared" si="58"/>
        <v>13190</v>
      </c>
      <c r="R84" s="107">
        <f t="shared" ref="R84" si="59">R78+R82</f>
        <v>92832</v>
      </c>
      <c r="T84" s="18">
        <f>T78+T82</f>
        <v>-25755</v>
      </c>
      <c r="U84" s="18">
        <f>U78+U82</f>
        <v>17691.653225357411</v>
      </c>
      <c r="V84" s="18">
        <f>V78+V82</f>
        <v>4015.9726015860215</v>
      </c>
      <c r="W84" s="18">
        <f>W78+W82</f>
        <v>65767.175798285287</v>
      </c>
      <c r="X84" s="18">
        <f t="shared" ref="X84:AE84" si="60">X78+X82</f>
        <v>39963</v>
      </c>
      <c r="Y84" s="18">
        <f t="shared" si="60"/>
        <v>68815.150766428676</v>
      </c>
      <c r="AA84" s="18">
        <f t="shared" si="60"/>
        <v>98825.4</v>
      </c>
      <c r="AB84" s="18">
        <f t="shared" si="60"/>
        <v>71883.600000000006</v>
      </c>
      <c r="AC84" s="18">
        <f t="shared" si="60"/>
        <v>95414.200000000012</v>
      </c>
      <c r="AD84" s="18">
        <f t="shared" si="60"/>
        <v>122200.80000000002</v>
      </c>
      <c r="AE84" s="18">
        <f t="shared" si="60"/>
        <v>183750.05000000002</v>
      </c>
    </row>
    <row r="85" spans="2:31" ht="12" x14ac:dyDescent="0.2">
      <c r="B85" s="6" t="s">
        <v>15</v>
      </c>
      <c r="C85" s="40">
        <f t="shared" ref="C85:Q85" si="61">C84/C$69</f>
        <v>-1.9795550111596592E-2</v>
      </c>
      <c r="D85" s="40">
        <f t="shared" si="61"/>
        <v>-3.9192427367341832E-2</v>
      </c>
      <c r="E85" s="40">
        <f t="shared" si="61"/>
        <v>-3.2272702151610433E-2</v>
      </c>
      <c r="F85" s="40">
        <f t="shared" si="61"/>
        <v>0.12189792821496921</v>
      </c>
      <c r="G85" s="40">
        <f t="shared" si="61"/>
        <v>-1.8400720508434252E-2</v>
      </c>
      <c r="H85" s="40">
        <f t="shared" si="61"/>
        <v>3.183956135336001E-2</v>
      </c>
      <c r="I85" s="40">
        <f t="shared" si="61"/>
        <v>-2.0107002370810763E-2</v>
      </c>
      <c r="J85" s="40">
        <f t="shared" si="61"/>
        <v>2.1894144822737771E-2</v>
      </c>
      <c r="K85" s="40">
        <f t="shared" si="61"/>
        <v>3.979337190240935E-2</v>
      </c>
      <c r="L85" s="40">
        <f t="shared" si="61"/>
        <v>3.9257643718365501E-2</v>
      </c>
      <c r="M85" s="40">
        <f t="shared" si="61"/>
        <v>4.6961563854522492E-2</v>
      </c>
      <c r="N85" s="40">
        <f t="shared" si="61"/>
        <v>4.8686785748413564E-2</v>
      </c>
      <c r="O85" s="40">
        <f>O84/O$69</f>
        <v>5.783965476749648E-2</v>
      </c>
      <c r="P85" s="40">
        <f t="shared" si="61"/>
        <v>6.9162935697844943E-2</v>
      </c>
      <c r="Q85" s="40">
        <f t="shared" si="61"/>
        <v>5.3109460248434701E-2</v>
      </c>
      <c r="R85" s="52">
        <f t="shared" ref="R85" si="62">R84/R$69</f>
        <v>5.6809496154747618E-2</v>
      </c>
      <c r="T85" s="150">
        <f>T84/T$69</f>
        <v>-3.259912005792024E-2</v>
      </c>
      <c r="U85" s="150">
        <f>U84/U$69</f>
        <v>1.3545052211608772E-2</v>
      </c>
      <c r="V85" s="150">
        <f>V84/V$69</f>
        <v>3.1613169002399511E-3</v>
      </c>
      <c r="W85" s="150">
        <f>W84/W$69</f>
        <v>4.4030504533646445E-2</v>
      </c>
      <c r="X85" s="150">
        <f t="shared" ref="X85:Y85" si="63">X84/X$69</f>
        <v>4.6958667489204194E-2</v>
      </c>
      <c r="Y85" s="150">
        <f t="shared" si="63"/>
        <v>7.026750992915437E-2</v>
      </c>
    </row>
    <row r="86" spans="2:31" ht="12" x14ac:dyDescent="0.2">
      <c r="B86" s="2" t="s">
        <v>87</v>
      </c>
      <c r="C86" s="1">
        <v>482</v>
      </c>
      <c r="D86" s="8">
        <f>1215-C86</f>
        <v>733</v>
      </c>
      <c r="E86" s="1">
        <v>5165</v>
      </c>
      <c r="F86" s="5">
        <f>U86-E86-D86-C86</f>
        <v>1610</v>
      </c>
      <c r="G86" s="1">
        <v>2057</v>
      </c>
      <c r="H86" s="1">
        <v>2685</v>
      </c>
      <c r="I86" s="1">
        <v>2547</v>
      </c>
      <c r="J86" s="5">
        <f>V86-I86-H86-G86</f>
        <v>3154</v>
      </c>
      <c r="K86" s="1">
        <v>1696</v>
      </c>
      <c r="L86" s="1">
        <v>2782</v>
      </c>
      <c r="M86" s="1">
        <v>4107</v>
      </c>
      <c r="N86" s="5">
        <f>W86-M86-L86-K86</f>
        <v>-1376</v>
      </c>
      <c r="O86" s="1">
        <v>1091</v>
      </c>
      <c r="P86" s="1">
        <v>1407</v>
      </c>
      <c r="Q86" s="1">
        <v>1400</v>
      </c>
      <c r="R86" s="8">
        <f>Q86+P86+O86+N86</f>
        <v>2522</v>
      </c>
      <c r="T86" s="1">
        <v>1518</v>
      </c>
      <c r="U86" s="1">
        <v>7990</v>
      </c>
      <c r="V86" s="1">
        <v>10443</v>
      </c>
      <c r="W86" s="1">
        <v>7209</v>
      </c>
      <c r="X86" s="1">
        <v>8326</v>
      </c>
      <c r="Y86" s="1">
        <v>5329</v>
      </c>
    </row>
    <row r="87" spans="2:31" ht="12" x14ac:dyDescent="0.2">
      <c r="B87" s="2" t="s">
        <v>88</v>
      </c>
      <c r="C87" s="1">
        <v>-5008</v>
      </c>
      <c r="D87" s="8">
        <f>-12304-C87</f>
        <v>-7296</v>
      </c>
      <c r="E87" s="1">
        <v>-12865</v>
      </c>
      <c r="F87" s="5">
        <f>U87-E87-D87-C87</f>
        <v>-7826</v>
      </c>
      <c r="G87" s="1">
        <v>-9744</v>
      </c>
      <c r="H87" s="1">
        <v>-11403</v>
      </c>
      <c r="I87" s="1">
        <v>-11033</v>
      </c>
      <c r="J87" s="5">
        <f>V87-I87-H87-G87</f>
        <v>-14866</v>
      </c>
      <c r="K87" s="1">
        <v>-11195</v>
      </c>
      <c r="L87" s="1">
        <v>-11731</v>
      </c>
      <c r="M87" s="1">
        <v>-7314</v>
      </c>
      <c r="N87" s="5">
        <f>W87-M87-L87-K87</f>
        <v>-14806</v>
      </c>
      <c r="O87" s="1">
        <v>-9243</v>
      </c>
      <c r="P87" s="1">
        <v>-9594</v>
      </c>
      <c r="Q87" s="1">
        <v>-7252</v>
      </c>
      <c r="R87" s="8">
        <f>Q87+P87+O87+N87</f>
        <v>-40895</v>
      </c>
      <c r="T87" s="1">
        <v>-18423</v>
      </c>
      <c r="U87" s="1">
        <v>-32995</v>
      </c>
      <c r="V87" s="1">
        <v>-47046</v>
      </c>
      <c r="W87" s="1">
        <v>-45046</v>
      </c>
      <c r="X87" s="1">
        <v>-31560</v>
      </c>
      <c r="Y87" s="1">
        <v>-21663</v>
      </c>
    </row>
    <row r="88" spans="2:31" ht="12" x14ac:dyDescent="0.2">
      <c r="B88" s="6" t="s">
        <v>283</v>
      </c>
      <c r="C88" s="1"/>
      <c r="D88" s="8"/>
      <c r="E88" s="1"/>
      <c r="F88" s="5"/>
      <c r="G88" s="1"/>
      <c r="H88" s="1"/>
      <c r="I88" s="1"/>
      <c r="J88" s="40">
        <f t="shared" ref="J88" si="64">J87/F87-1</f>
        <v>0.89956555072834132</v>
      </c>
      <c r="K88" s="40">
        <f t="shared" ref="K88" si="65">K87/G87-1</f>
        <v>0.14891215106732347</v>
      </c>
      <c r="L88" s="40">
        <f t="shared" ref="L88" si="66">L87/H87-1</f>
        <v>2.8764360256072985E-2</v>
      </c>
      <c r="M88" s="40">
        <f t="shared" ref="M88" si="67">M87/I87-1</f>
        <v>-0.33707967008066708</v>
      </c>
      <c r="N88" s="40">
        <f t="shared" ref="N88" si="68">N87/J87-1</f>
        <v>-4.0360554284945005E-3</v>
      </c>
      <c r="O88" s="40">
        <f t="shared" ref="O88" si="69">O87/K87-1</f>
        <v>-0.17436355515855295</v>
      </c>
      <c r="P88" s="40">
        <f t="shared" ref="P88" si="70">P87/L87-1</f>
        <v>-0.18216690819197001</v>
      </c>
      <c r="Q88" s="40">
        <f t="shared" ref="Q88" si="71">Q87/M87-1</f>
        <v>-8.4768936286573338E-3</v>
      </c>
      <c r="T88" s="1"/>
      <c r="U88" s="40">
        <f>U87/T87-1</f>
        <v>0.79096781197416277</v>
      </c>
      <c r="V88" s="40">
        <f t="shared" ref="V88" si="72">V87/U87-1</f>
        <v>0.42585240187907258</v>
      </c>
      <c r="W88" s="40">
        <f t="shared" ref="W88:Y88" si="73">W87/V87-1</f>
        <v>-4.2511584406750846E-2</v>
      </c>
      <c r="X88" s="40"/>
      <c r="Y88" s="40">
        <f t="shared" si="73"/>
        <v>-0.31359315589353609</v>
      </c>
    </row>
    <row r="89" spans="2:31" ht="12" x14ac:dyDescent="0.2">
      <c r="B89" s="2" t="s">
        <v>89</v>
      </c>
      <c r="C89" s="1">
        <v>3961</v>
      </c>
      <c r="D89" s="8">
        <f>11031-C89</f>
        <v>7070</v>
      </c>
      <c r="E89" s="1">
        <v>2731</v>
      </c>
      <c r="F89" s="5">
        <f>U89-E89-D89-C89</f>
        <v>-8062</v>
      </c>
      <c r="G89" s="1">
        <v>764</v>
      </c>
      <c r="H89" s="1">
        <v>405</v>
      </c>
      <c r="I89" s="1">
        <v>-439</v>
      </c>
      <c r="J89" s="5">
        <f>V89-I89-H89-G89</f>
        <v>499</v>
      </c>
      <c r="K89" s="1">
        <v>2998</v>
      </c>
      <c r="L89" s="1">
        <v>4238</v>
      </c>
      <c r="M89" s="1">
        <v>-6093</v>
      </c>
      <c r="N89" s="5">
        <f>W89-M89-L89-K89</f>
        <v>20130</v>
      </c>
      <c r="O89" s="1">
        <v>1687</v>
      </c>
      <c r="P89" s="1">
        <v>2187</v>
      </c>
      <c r="Q89" s="1">
        <v>2106</v>
      </c>
      <c r="R89" s="8">
        <f>Q89+P89+O89+N89</f>
        <v>26110</v>
      </c>
      <c r="T89" s="1">
        <v>5671</v>
      </c>
      <c r="U89" s="1">
        <v>5700</v>
      </c>
      <c r="V89" s="1">
        <v>1229</v>
      </c>
      <c r="W89" s="1">
        <v>21273</v>
      </c>
      <c r="X89" s="1">
        <v>18106</v>
      </c>
      <c r="Y89" s="1">
        <v>6596</v>
      </c>
    </row>
    <row r="90" spans="2:31" ht="14.25" x14ac:dyDescent="0.35">
      <c r="B90" s="2" t="s">
        <v>90</v>
      </c>
      <c r="C90" s="3">
        <v>-1001</v>
      </c>
      <c r="D90" s="48">
        <f>-7451-C90</f>
        <v>-6450</v>
      </c>
      <c r="E90" s="3">
        <v>-7031</v>
      </c>
      <c r="F90" s="17">
        <f>U90-E90-D90-C90</f>
        <v>-12594</v>
      </c>
      <c r="G90" s="3">
        <v>-4965</v>
      </c>
      <c r="H90" s="3">
        <v>-6733</v>
      </c>
      <c r="I90" s="3">
        <v>-2784</v>
      </c>
      <c r="J90" s="17">
        <f>V90-I90-H90-G90</f>
        <v>-14038</v>
      </c>
      <c r="K90" s="3">
        <v>-3222</v>
      </c>
      <c r="L90" s="3">
        <v>-2953</v>
      </c>
      <c r="M90" s="3">
        <v>-2165</v>
      </c>
      <c r="N90" s="17">
        <f>W90-M90-L90-K90</f>
        <v>-8640</v>
      </c>
      <c r="O90" s="3">
        <v>-11305</v>
      </c>
      <c r="P90" s="3">
        <v>-23646</v>
      </c>
      <c r="Q90" s="3">
        <v>-2439</v>
      </c>
      <c r="R90" s="48">
        <f>Q90+P90+O90+N90</f>
        <v>-46030</v>
      </c>
      <c r="T90" s="3">
        <v>-6468</v>
      </c>
      <c r="U90" s="3">
        <v>-27076</v>
      </c>
      <c r="V90" s="3">
        <v>-28520</v>
      </c>
      <c r="W90" s="3">
        <v>-16980</v>
      </c>
      <c r="X90" s="3">
        <v>-4930</v>
      </c>
      <c r="Y90" s="14">
        <v>-40266</v>
      </c>
    </row>
    <row r="91" spans="2:31" ht="12" x14ac:dyDescent="0.2">
      <c r="B91" s="4" t="s">
        <v>91</v>
      </c>
      <c r="C91" s="8">
        <f>SUM(C86:C90)</f>
        <v>-1566</v>
      </c>
      <c r="D91" s="8">
        <f>SUM(D86:D90)</f>
        <v>-5943</v>
      </c>
      <c r="E91" s="8">
        <f>SUM(E86:E90)</f>
        <v>-12000</v>
      </c>
      <c r="F91" s="8">
        <f t="shared" ref="F91" si="74">SUM(F86:F90)</f>
        <v>-26872</v>
      </c>
      <c r="G91" s="8">
        <f t="shared" ref="G91:M91" si="75">SUM(G86:G90)</f>
        <v>-11888</v>
      </c>
      <c r="H91" s="8">
        <f t="shared" si="75"/>
        <v>-15046</v>
      </c>
      <c r="I91" s="8">
        <f t="shared" si="75"/>
        <v>-11709</v>
      </c>
      <c r="J91" s="8">
        <f t="shared" si="75"/>
        <v>-25250.100434449272</v>
      </c>
      <c r="K91" s="8">
        <f t="shared" si="75"/>
        <v>-9722.8510878489324</v>
      </c>
      <c r="L91" s="8">
        <f t="shared" si="75"/>
        <v>-7663.9712356397431</v>
      </c>
      <c r="M91" s="8">
        <f t="shared" si="75"/>
        <v>-11465.33707967008</v>
      </c>
      <c r="N91" s="8">
        <f t="shared" ref="N91" si="76">SUM(N86:N90)</f>
        <v>-4692.0040360554285</v>
      </c>
      <c r="O91" s="8">
        <f t="shared" ref="O91" si="77">SUM(O86:O90)</f>
        <v>-17770.174363555157</v>
      </c>
      <c r="P91" s="8">
        <f>SUM(P86:P90)</f>
        <v>-29646.182166908191</v>
      </c>
      <c r="Q91" s="8">
        <f>SUM(Q86:Q90)</f>
        <v>-6185.0084768936285</v>
      </c>
      <c r="R91" s="8">
        <f>SUM(R86:R90)</f>
        <v>-58293</v>
      </c>
      <c r="T91" s="8">
        <f>T86+T87+T89+T90</f>
        <v>-17702</v>
      </c>
      <c r="U91" s="8">
        <f t="shared" ref="U91:Y91" si="78">U86+U87+U89+U90</f>
        <v>-46381</v>
      </c>
      <c r="V91" s="8">
        <f t="shared" si="78"/>
        <v>-63894</v>
      </c>
      <c r="W91" s="8">
        <f t="shared" si="78"/>
        <v>-33544</v>
      </c>
      <c r="X91" s="8">
        <f t="shared" si="78"/>
        <v>-10058</v>
      </c>
      <c r="Y91" s="8">
        <f t="shared" si="78"/>
        <v>-50004</v>
      </c>
    </row>
    <row r="92" spans="2:31" ht="14.25" x14ac:dyDescent="0.35">
      <c r="B92" s="2" t="s">
        <v>167</v>
      </c>
      <c r="C92" s="3">
        <v>0</v>
      </c>
      <c r="D92" s="48">
        <f>0</f>
        <v>0</v>
      </c>
      <c r="E92" s="3">
        <v>0</v>
      </c>
      <c r="F92" s="17">
        <f>U92-E92-D92-C92</f>
        <v>0</v>
      </c>
      <c r="G92" s="3">
        <v>0</v>
      </c>
      <c r="H92" s="3">
        <v>-83</v>
      </c>
      <c r="I92" s="3">
        <v>-850</v>
      </c>
      <c r="J92" s="17">
        <f>V92-I92-H92-G92</f>
        <v>2353</v>
      </c>
      <c r="K92" s="3">
        <v>-213</v>
      </c>
      <c r="L92" s="3">
        <v>596</v>
      </c>
      <c r="M92" s="3">
        <v>-3100</v>
      </c>
      <c r="N92" s="17">
        <f>W92-M92-L92-K92</f>
        <v>0</v>
      </c>
      <c r="O92" s="3">
        <v>0</v>
      </c>
      <c r="P92" s="3">
        <v>0</v>
      </c>
      <c r="Q92" s="3">
        <v>0</v>
      </c>
      <c r="R92" s="48">
        <v>0</v>
      </c>
      <c r="T92" s="3">
        <v>0</v>
      </c>
      <c r="U92" s="3">
        <v>0</v>
      </c>
      <c r="V92" s="3">
        <v>1420</v>
      </c>
      <c r="W92" s="3">
        <v>-2717</v>
      </c>
      <c r="X92" s="3">
        <v>-2717</v>
      </c>
      <c r="Y92" s="3">
        <v>1125</v>
      </c>
    </row>
    <row r="93" spans="2:31" ht="12" x14ac:dyDescent="0.2">
      <c r="B93" s="4" t="s">
        <v>168</v>
      </c>
      <c r="C93" s="5">
        <f>C84+C91+C92</f>
        <v>-6382</v>
      </c>
      <c r="D93" s="5">
        <f>D84+D91+D92</f>
        <v>-19093</v>
      </c>
      <c r="E93" s="5">
        <f>E84+E91+E92</f>
        <v>-23095</v>
      </c>
      <c r="F93" s="5">
        <f t="shared" ref="F93" si="79">F84+F91+F92</f>
        <v>19880</v>
      </c>
      <c r="G93" s="5">
        <f t="shared" ref="G93:M93" si="80">G84+G91+G92</f>
        <v>-18385</v>
      </c>
      <c r="H93" s="5">
        <f t="shared" si="80"/>
        <v>-5327</v>
      </c>
      <c r="I93" s="5">
        <f t="shared" si="80"/>
        <v>-18606</v>
      </c>
      <c r="J93" s="5">
        <f t="shared" si="80"/>
        <v>-16139.100434449272</v>
      </c>
      <c r="K93" s="5">
        <f t="shared" si="80"/>
        <v>4192.1489121510676</v>
      </c>
      <c r="L93" s="5">
        <f t="shared" si="80"/>
        <v>7242.0287643602569</v>
      </c>
      <c r="M93" s="5">
        <f t="shared" si="80"/>
        <v>-4749.3370796700801</v>
      </c>
      <c r="N93" s="5">
        <f t="shared" ref="N93" si="81">N84+N91+N92</f>
        <v>22820.995963944573</v>
      </c>
      <c r="O93" s="5">
        <f t="shared" ref="O93" si="82">O84+O91+O92</f>
        <v>5872.8256364448425</v>
      </c>
      <c r="P93" s="5">
        <f>P84+P91+P92</f>
        <v>-1160.182166908191</v>
      </c>
      <c r="Q93" s="5">
        <f>Q84+Q91+Q92</f>
        <v>7004.9915231063715</v>
      </c>
      <c r="R93" s="53">
        <f>R84+R91+R92</f>
        <v>34539</v>
      </c>
      <c r="T93" s="5">
        <f>T84+T91+T92</f>
        <v>-43457</v>
      </c>
      <c r="U93" s="5">
        <f t="shared" ref="U93" si="83">U84+U91+U92</f>
        <v>-28689.346774642589</v>
      </c>
      <c r="V93" s="5">
        <f>V84+V91+V92</f>
        <v>-58458.027398413979</v>
      </c>
      <c r="W93" s="5">
        <f>W84+W91+W92</f>
        <v>29506.175798285287</v>
      </c>
      <c r="X93" s="5">
        <f>X84+X91+X92</f>
        <v>27188</v>
      </c>
      <c r="Y93" s="5">
        <f>Y84+Y91+Y92</f>
        <v>19936.150766428676</v>
      </c>
    </row>
    <row r="94" spans="2:31" ht="12" x14ac:dyDescent="0.2">
      <c r="B94" s="6" t="s">
        <v>165</v>
      </c>
      <c r="C94" s="40">
        <f t="shared" ref="C94:H94" si="84">C93/C69</f>
        <v>-2.6232392195226214E-2</v>
      </c>
      <c r="D94" s="40">
        <f t="shared" si="84"/>
        <v>-5.6905020207198294E-2</v>
      </c>
      <c r="E94" s="40">
        <f t="shared" si="84"/>
        <v>-6.7177832914956562E-2</v>
      </c>
      <c r="F94" s="40">
        <f t="shared" si="84"/>
        <v>5.1833735731382356E-2</v>
      </c>
      <c r="G94" s="40">
        <f t="shared" si="84"/>
        <v>-5.2069762436134176E-2</v>
      </c>
      <c r="H94" s="40">
        <f t="shared" si="84"/>
        <v>-1.7303544514318384E-2</v>
      </c>
      <c r="I94" s="5"/>
      <c r="J94" s="40">
        <f t="shared" ref="J94:R94" si="85">J93/J69</f>
        <v>-5.2286446022572132E-2</v>
      </c>
      <c r="K94" s="40">
        <f t="shared" si="85"/>
        <v>1.1807739293000297E-2</v>
      </c>
      <c r="L94" s="40">
        <f t="shared" si="85"/>
        <v>1.9867574076129258E-2</v>
      </c>
      <c r="M94" s="40">
        <f t="shared" si="85"/>
        <v>-2.272170910081274E-2</v>
      </c>
      <c r="N94" s="40">
        <f t="shared" si="85"/>
        <v>4.0383852762765966E-2</v>
      </c>
      <c r="O94" s="40">
        <f t="shared" si="85"/>
        <v>1.436713645991086E-2</v>
      </c>
      <c r="P94" s="40">
        <f t="shared" si="85"/>
        <v>-2.8168786283668335E-3</v>
      </c>
      <c r="Q94" s="40">
        <f t="shared" si="85"/>
        <v>2.8205558668463977E-2</v>
      </c>
      <c r="R94" s="52">
        <f t="shared" si="85"/>
        <v>2.1136495903231946E-2</v>
      </c>
      <c r="T94" s="40">
        <f t="shared" ref="T94:Y94" si="86">T93/T69</f>
        <v>-5.50052401614071E-2</v>
      </c>
      <c r="U94" s="40">
        <f t="shared" si="86"/>
        <v>-2.196508687059872E-2</v>
      </c>
      <c r="V94" s="40">
        <f t="shared" si="86"/>
        <v>-4.6017333359373948E-2</v>
      </c>
      <c r="W94" s="40">
        <f t="shared" si="86"/>
        <v>1.9754106687531532E-2</v>
      </c>
      <c r="X94" s="40">
        <f t="shared" si="86"/>
        <v>3.1947357598190416E-2</v>
      </c>
      <c r="Y94" s="40">
        <f t="shared" si="86"/>
        <v>2.0356907691504382E-2</v>
      </c>
    </row>
    <row r="95" spans="2:31" ht="12" x14ac:dyDescent="0.2">
      <c r="B95" s="2" t="s">
        <v>17</v>
      </c>
      <c r="C95" s="1">
        <v>-805</v>
      </c>
      <c r="D95" s="8">
        <f>-1010-C95</f>
        <v>-205</v>
      </c>
      <c r="E95" s="1">
        <v>-5056</v>
      </c>
      <c r="F95" s="5">
        <f>U95-E95-D95-C95</f>
        <v>-2019</v>
      </c>
      <c r="G95" s="1">
        <v>875</v>
      </c>
      <c r="H95" s="1">
        <v>162</v>
      </c>
      <c r="I95" s="1">
        <v>1984</v>
      </c>
      <c r="J95" s="5">
        <f>V95-I95-H95-G95</f>
        <v>10471</v>
      </c>
      <c r="K95" s="1">
        <v>-466</v>
      </c>
      <c r="L95" s="1">
        <v>-1773</v>
      </c>
      <c r="M95" s="1">
        <v>-7</v>
      </c>
      <c r="N95" s="5">
        <f>W95-M95-L95-K95</f>
        <v>-1091</v>
      </c>
      <c r="O95" s="1">
        <v>-601</v>
      </c>
      <c r="P95" s="1">
        <v>2306</v>
      </c>
      <c r="Q95" s="1">
        <v>-937</v>
      </c>
      <c r="R95" s="8">
        <f>Q95+P95+O95+N95</f>
        <v>-323</v>
      </c>
      <c r="T95" s="1">
        <v>-5923</v>
      </c>
      <c r="U95" s="1">
        <v>-8085</v>
      </c>
      <c r="V95" s="1">
        <v>13492</v>
      </c>
      <c r="W95" s="1">
        <v>-3337</v>
      </c>
      <c r="X95" s="1">
        <v>-9102</v>
      </c>
      <c r="Y95" s="1">
        <v>-8506</v>
      </c>
    </row>
    <row r="96" spans="2:31" ht="12" x14ac:dyDescent="0.2">
      <c r="B96" s="6" t="s">
        <v>269</v>
      </c>
      <c r="C96" s="81">
        <f t="shared" ref="C96:R96" si="87">IF(C95&lt;0,C95/C93,"N/A")</f>
        <v>0.12613600752115325</v>
      </c>
      <c r="D96" s="81">
        <f t="shared" si="87"/>
        <v>1.073691928979207E-2</v>
      </c>
      <c r="E96" s="81">
        <f t="shared" si="87"/>
        <v>0.2189218445550985</v>
      </c>
      <c r="F96" s="81">
        <f t="shared" si="87"/>
        <v>-0.10155935613682092</v>
      </c>
      <c r="G96" s="81" t="str">
        <f t="shared" si="87"/>
        <v>N/A</v>
      </c>
      <c r="H96" s="81" t="str">
        <f t="shared" si="87"/>
        <v>N/A</v>
      </c>
      <c r="I96" s="81" t="str">
        <f t="shared" si="87"/>
        <v>N/A</v>
      </c>
      <c r="J96" s="81" t="str">
        <f t="shared" si="87"/>
        <v>N/A</v>
      </c>
      <c r="K96" s="81">
        <f t="shared" si="87"/>
        <v>-0.11116017340159011</v>
      </c>
      <c r="L96" s="81">
        <f t="shared" si="87"/>
        <v>-0.24482090001152079</v>
      </c>
      <c r="M96" s="81">
        <f t="shared" si="87"/>
        <v>1.4738899098074264E-3</v>
      </c>
      <c r="N96" s="81">
        <f t="shared" si="87"/>
        <v>-4.7806853027961463E-2</v>
      </c>
      <c r="O96" s="81">
        <f t="shared" si="87"/>
        <v>-0.10233574725433525</v>
      </c>
      <c r="P96" s="81" t="str">
        <f t="shared" si="87"/>
        <v>N/A</v>
      </c>
      <c r="Q96" s="81">
        <f t="shared" si="87"/>
        <v>-0.13376176072579832</v>
      </c>
      <c r="R96" s="81">
        <f t="shared" si="87"/>
        <v>-9.3517473001534495E-3</v>
      </c>
      <c r="T96" s="81">
        <f>T95/T93</f>
        <v>0.13629564857215179</v>
      </c>
      <c r="U96" s="81">
        <f t="shared" ref="U96:W96" si="88">U95/U93</f>
        <v>0.28181192355156798</v>
      </c>
      <c r="V96" s="81">
        <f t="shared" si="88"/>
        <v>-0.23079807171813757</v>
      </c>
      <c r="W96" s="81">
        <f t="shared" si="88"/>
        <v>-0.11309496773871744</v>
      </c>
      <c r="X96" s="81">
        <f>-X95/X93</f>
        <v>0.33478005002206856</v>
      </c>
      <c r="Y96" s="81">
        <f>-Y95/Y93</f>
        <v>0.42666210241164565</v>
      </c>
    </row>
    <row r="97" spans="1:26" ht="12" x14ac:dyDescent="0.2">
      <c r="B97" s="4" t="s">
        <v>93</v>
      </c>
      <c r="C97" s="5">
        <f>C93+C95</f>
        <v>-7187</v>
      </c>
      <c r="D97" s="5">
        <f>D93+D95</f>
        <v>-19298</v>
      </c>
      <c r="E97" s="5">
        <f>E93+E95</f>
        <v>-28151</v>
      </c>
      <c r="F97" s="5">
        <f t="shared" ref="F97" si="89">F93+F95</f>
        <v>17861</v>
      </c>
      <c r="G97" s="5">
        <f t="shared" ref="G97:M97" si="90">G93+G95</f>
        <v>-17510</v>
      </c>
      <c r="H97" s="5">
        <f t="shared" si="90"/>
        <v>-5165</v>
      </c>
      <c r="I97" s="5">
        <f t="shared" si="90"/>
        <v>-16622</v>
      </c>
      <c r="J97" s="5">
        <f t="shared" si="90"/>
        <v>-5668.1004344492721</v>
      </c>
      <c r="K97" s="5">
        <f t="shared" si="90"/>
        <v>3726.1489121510676</v>
      </c>
      <c r="L97" s="5">
        <f t="shared" si="90"/>
        <v>5469.0287643602569</v>
      </c>
      <c r="M97" s="5">
        <f t="shared" si="90"/>
        <v>-4756.3370796700801</v>
      </c>
      <c r="N97" s="5">
        <f t="shared" ref="N97" si="91">N93+N95</f>
        <v>21729.995963944573</v>
      </c>
      <c r="O97" s="5">
        <f t="shared" ref="O97" si="92">O93+O95</f>
        <v>5271.8256364448425</v>
      </c>
      <c r="P97" s="5">
        <f>P93+P95</f>
        <v>1145.817833091809</v>
      </c>
      <c r="Q97" s="5">
        <f>Q93+Q95</f>
        <v>6067.9915231063715</v>
      </c>
      <c r="R97" s="53">
        <f>R93+R95</f>
        <v>34216</v>
      </c>
      <c r="T97" s="5">
        <f>T93+T95</f>
        <v>-49380</v>
      </c>
      <c r="U97" s="5">
        <f t="shared" ref="U97" si="93">U93+U95</f>
        <v>-36774.346774642589</v>
      </c>
      <c r="V97" s="5">
        <f>V93+V95</f>
        <v>-44966.027398413979</v>
      </c>
      <c r="W97" s="5">
        <f>W93+W95</f>
        <v>26169.175798285287</v>
      </c>
      <c r="X97" s="5">
        <f>X93+X95</f>
        <v>18086</v>
      </c>
      <c r="Y97" s="5">
        <f>Y93+Y95</f>
        <v>11430.150766428676</v>
      </c>
    </row>
    <row r="98" spans="1:26" ht="12" x14ac:dyDescent="0.2">
      <c r="B98" s="6" t="s">
        <v>15</v>
      </c>
      <c r="C98" s="40">
        <f t="shared" ref="C98:R98" si="94">C97/C69</f>
        <v>-2.9541241414461111E-2</v>
      </c>
      <c r="D98" s="40">
        <f t="shared" si="94"/>
        <v>-5.7516004816346965E-2</v>
      </c>
      <c r="E98" s="40">
        <f t="shared" si="94"/>
        <v>-8.1884528009913055E-2</v>
      </c>
      <c r="F98" s="40">
        <f t="shared" si="94"/>
        <v>4.6569534904337032E-2</v>
      </c>
      <c r="G98" s="40">
        <f t="shared" si="94"/>
        <v>-4.9591598599766626E-2</v>
      </c>
      <c r="H98" s="40">
        <f t="shared" si="94"/>
        <v>-1.6777324463385479E-2</v>
      </c>
      <c r="I98" s="40">
        <f t="shared" si="94"/>
        <v>-5.5270149397654462E-2</v>
      </c>
      <c r="J98" s="40">
        <f t="shared" si="94"/>
        <v>-1.8363156522884765E-2</v>
      </c>
      <c r="K98" s="40">
        <f t="shared" si="94"/>
        <v>1.0495188945709616E-2</v>
      </c>
      <c r="L98" s="40">
        <f t="shared" si="94"/>
        <v>1.5003576709765735E-2</v>
      </c>
      <c r="M98" s="40">
        <f t="shared" si="94"/>
        <v>-2.2755198398590006E-2</v>
      </c>
      <c r="N98" s="40">
        <f t="shared" si="94"/>
        <v>3.8453227849033579E-2</v>
      </c>
      <c r="O98" s="40">
        <f t="shared" si="94"/>
        <v>1.2896864814380878E-2</v>
      </c>
      <c r="P98" s="40">
        <f t="shared" si="94"/>
        <v>2.78200256657912E-3</v>
      </c>
      <c r="Q98" s="40">
        <f t="shared" si="94"/>
        <v>2.4432733478715433E-2</v>
      </c>
      <c r="R98" s="52">
        <f t="shared" si="94"/>
        <v>2.0938832734734191E-2</v>
      </c>
      <c r="T98" s="40">
        <f t="shared" ref="T98:Y98" si="95">T97/T69</f>
        <v>-6.2502215044073051E-2</v>
      </c>
      <c r="U98" s="40">
        <f t="shared" si="95"/>
        <v>-2.8155110252579437E-2</v>
      </c>
      <c r="V98" s="40">
        <f t="shared" si="95"/>
        <v>-3.5396621554419715E-2</v>
      </c>
      <c r="W98" s="40">
        <f t="shared" si="95"/>
        <v>1.7520016628997971E-2</v>
      </c>
      <c r="X98" s="40">
        <f t="shared" si="95"/>
        <v>2.1252019623395318E-2</v>
      </c>
      <c r="Y98" s="40">
        <f t="shared" si="95"/>
        <v>1.1671386657247321E-2</v>
      </c>
    </row>
    <row r="99" spans="1:26" ht="14.25" x14ac:dyDescent="0.35">
      <c r="B99" s="2" t="s">
        <v>92</v>
      </c>
      <c r="C99" s="15">
        <v>0</v>
      </c>
      <c r="D99" s="15">
        <v>0</v>
      </c>
      <c r="E99" s="15">
        <v>0</v>
      </c>
      <c r="F99" s="17">
        <f>U99-E99-D99-C99</f>
        <v>0</v>
      </c>
      <c r="G99" s="15">
        <v>0</v>
      </c>
      <c r="H99" s="15">
        <v>-419</v>
      </c>
      <c r="I99" s="15">
        <v>11335</v>
      </c>
      <c r="J99" s="17">
        <f>V99-I99-H99-G99</f>
        <v>-4358</v>
      </c>
      <c r="K99" s="15">
        <v>-991</v>
      </c>
      <c r="L99" s="14">
        <v>-25630</v>
      </c>
      <c r="M99" s="15">
        <v>-6234</v>
      </c>
      <c r="N99" s="17">
        <f>W99-M99-L99-K99</f>
        <v>42473</v>
      </c>
      <c r="O99" s="15">
        <v>0</v>
      </c>
      <c r="P99" s="15">
        <v>0</v>
      </c>
      <c r="Q99" s="15">
        <v>-23524</v>
      </c>
      <c r="R99" s="48">
        <f>Q99+P99+O99+N99</f>
        <v>18949</v>
      </c>
      <c r="T99" s="15">
        <v>0</v>
      </c>
      <c r="U99" s="15">
        <v>0</v>
      </c>
      <c r="V99" s="15">
        <v>6558</v>
      </c>
      <c r="W99" s="15">
        <v>9618</v>
      </c>
      <c r="X99" s="15">
        <v>17701</v>
      </c>
      <c r="Y99" s="15">
        <v>-14463</v>
      </c>
    </row>
    <row r="100" spans="1:26" ht="12" x14ac:dyDescent="0.2">
      <c r="B100" s="4" t="s">
        <v>18</v>
      </c>
      <c r="C100" s="5">
        <f>C97+C99</f>
        <v>-7187</v>
      </c>
      <c r="D100" s="5">
        <f>D97+D99</f>
        <v>-19298</v>
      </c>
      <c r="E100" s="5">
        <f>E97+E99</f>
        <v>-28151</v>
      </c>
      <c r="F100" s="5">
        <f t="shared" ref="F100" si="96">F97+F99</f>
        <v>17861</v>
      </c>
      <c r="G100" s="5">
        <f t="shared" ref="G100:M100" si="97">G97+G99</f>
        <v>-17510</v>
      </c>
      <c r="H100" s="5">
        <f t="shared" si="97"/>
        <v>-5584</v>
      </c>
      <c r="I100" s="5">
        <f t="shared" si="97"/>
        <v>-5287</v>
      </c>
      <c r="J100" s="5">
        <f t="shared" si="97"/>
        <v>-10026.100434449272</v>
      </c>
      <c r="K100" s="5">
        <f t="shared" si="97"/>
        <v>2735.1489121510676</v>
      </c>
      <c r="L100" s="5">
        <f t="shared" si="97"/>
        <v>-20160.971235639743</v>
      </c>
      <c r="M100" s="5">
        <f t="shared" si="97"/>
        <v>-10990.33707967008</v>
      </c>
      <c r="N100" s="5">
        <f t="shared" ref="N100" si="98">N97+N99</f>
        <v>64202.995963944573</v>
      </c>
      <c r="O100" s="5">
        <f t="shared" ref="O100" si="99">O97+O99</f>
        <v>5271.8256364448425</v>
      </c>
      <c r="P100" s="5">
        <f>P97+P99</f>
        <v>1145.817833091809</v>
      </c>
      <c r="Q100" s="5">
        <f>Q97+Q99</f>
        <v>-17456.008476893629</v>
      </c>
      <c r="R100" s="53">
        <f>R97+R99</f>
        <v>53165</v>
      </c>
      <c r="T100" s="5">
        <f>T97+T99</f>
        <v>-49380</v>
      </c>
      <c r="U100" s="5">
        <f t="shared" ref="U100" si="100">U97+U99</f>
        <v>-36774.346774642589</v>
      </c>
      <c r="V100" s="5">
        <f>V97+V99</f>
        <v>-38408.027398413979</v>
      </c>
      <c r="W100" s="5">
        <f>W97+W99</f>
        <v>35787.175798285287</v>
      </c>
      <c r="X100" s="5">
        <f>X97+X99</f>
        <v>35787</v>
      </c>
      <c r="Y100" s="5">
        <f>Y97+Y99</f>
        <v>-3032.8492335713236</v>
      </c>
      <c r="Z100" s="24">
        <f>((W100/T100)^(1/(2024-2021)))-1</f>
        <v>-1.8982394265682943</v>
      </c>
    </row>
    <row r="101" spans="1:26" ht="12" x14ac:dyDescent="0.2">
      <c r="B101" s="9" t="s">
        <v>19</v>
      </c>
      <c r="C101" s="1">
        <v>-7108</v>
      </c>
      <c r="D101" s="8">
        <f>-26167-C101</f>
        <v>-19059</v>
      </c>
      <c r="E101" s="1">
        <v>-27866</v>
      </c>
      <c r="F101" s="1">
        <v>0</v>
      </c>
      <c r="G101" s="1">
        <v>-17418</v>
      </c>
      <c r="H101" s="1">
        <v>-5470</v>
      </c>
      <c r="I101" s="1">
        <v>-5182</v>
      </c>
      <c r="K101" s="1">
        <v>1116</v>
      </c>
      <c r="L101" s="1">
        <v>-20269</v>
      </c>
      <c r="M101" s="1">
        <v>-10990</v>
      </c>
      <c r="N101" s="5">
        <f>W101-M101-L101-K101</f>
        <v>66232</v>
      </c>
      <c r="O101" s="1">
        <v>1116</v>
      </c>
      <c r="P101" s="1">
        <v>1116</v>
      </c>
      <c r="Q101" s="1">
        <v>-17461</v>
      </c>
      <c r="R101" s="8">
        <f>Q101+P101+O101+N101</f>
        <v>51003</v>
      </c>
      <c r="T101" s="1">
        <v>-49009</v>
      </c>
      <c r="U101" s="1">
        <v>-36110</v>
      </c>
      <c r="V101" s="1">
        <v>-37951</v>
      </c>
      <c r="W101" s="1">
        <v>36089</v>
      </c>
      <c r="X101" s="1">
        <v>36089</v>
      </c>
      <c r="Y101" s="1">
        <v>-3071</v>
      </c>
    </row>
    <row r="102" spans="1:26" ht="12" x14ac:dyDescent="0.2">
      <c r="B102" s="9" t="s">
        <v>20</v>
      </c>
      <c r="C102" s="5">
        <f>C100-C101</f>
        <v>-79</v>
      </c>
      <c r="D102" s="5">
        <f>D100-D101</f>
        <v>-239</v>
      </c>
      <c r="E102" s="5">
        <f t="shared" ref="E102" si="101">E100-E101</f>
        <v>-285</v>
      </c>
      <c r="F102" s="5">
        <f>F100-F101</f>
        <v>17861</v>
      </c>
      <c r="G102" s="5">
        <f t="shared" ref="G102" si="102">G100-G101</f>
        <v>-92</v>
      </c>
      <c r="H102" s="5">
        <f t="shared" ref="H102" si="103">H100-H101</f>
        <v>-114</v>
      </c>
      <c r="I102" s="5">
        <f>I100-I101</f>
        <v>-105</v>
      </c>
      <c r="K102" s="5">
        <f>K100-K101</f>
        <v>1619.1489121510676</v>
      </c>
      <c r="L102" s="5">
        <f t="shared" ref="L102" si="104">L100-L101</f>
        <v>108.0287643602569</v>
      </c>
      <c r="M102" s="5">
        <f>M100-M101</f>
        <v>-0.33707967008012929</v>
      </c>
      <c r="N102" s="5">
        <f>N97-N101</f>
        <v>-44502.004036055427</v>
      </c>
      <c r="O102" s="5">
        <f t="shared" ref="O102" si="105">O97-O101</f>
        <v>4155.8256364448425</v>
      </c>
      <c r="P102" s="5">
        <f>P97-P101</f>
        <v>29.817833091809007</v>
      </c>
      <c r="Q102" s="5">
        <f>Q97-Q101</f>
        <v>23528.991523106371</v>
      </c>
      <c r="R102" s="53">
        <f>R97-R101</f>
        <v>-16787</v>
      </c>
      <c r="T102" s="5">
        <f>T97-T101</f>
        <v>-371</v>
      </c>
      <c r="U102" s="5">
        <f t="shared" ref="U102" si="106">U97-U101</f>
        <v>-664.34677464258857</v>
      </c>
      <c r="V102" s="5">
        <f>V97-V101</f>
        <v>-7015.0273984139785</v>
      </c>
      <c r="W102" s="5">
        <f>W97-W101</f>
        <v>-9919.8242017147131</v>
      </c>
      <c r="X102" s="5">
        <v>-302</v>
      </c>
      <c r="Y102" s="5">
        <v>38</v>
      </c>
    </row>
    <row r="103" spans="1:26" x14ac:dyDescent="0.25">
      <c r="B103" s="9"/>
      <c r="F103" s="5"/>
      <c r="G103" s="5"/>
      <c r="H103" s="5"/>
      <c r="I103" s="5"/>
      <c r="K103" s="5"/>
      <c r="M103" s="5"/>
      <c r="N103" s="5"/>
      <c r="O103" s="5"/>
      <c r="P103" s="5"/>
      <c r="Q103" s="5"/>
      <c r="R103" s="53"/>
      <c r="V103" s="5"/>
      <c r="W103" s="5"/>
      <c r="X103" s="5"/>
      <c r="Y103" s="5"/>
    </row>
    <row r="104" spans="1:26" ht="12" x14ac:dyDescent="0.2">
      <c r="B104" s="9" t="s">
        <v>289</v>
      </c>
      <c r="C104" s="1">
        <v>57553.997000000003</v>
      </c>
      <c r="D104" s="1">
        <v>59610.650999999998</v>
      </c>
      <c r="E104" s="1">
        <v>60410.999000000003</v>
      </c>
      <c r="F104" s="1"/>
      <c r="G104" s="1">
        <v>61985.597000000002</v>
      </c>
      <c r="H104" s="1">
        <v>61985.597000000002</v>
      </c>
      <c r="I104" s="1">
        <v>61985.597000000002</v>
      </c>
      <c r="K104" s="1">
        <v>62060.855000000003</v>
      </c>
      <c r="L104" s="1">
        <v>61985.597000000002</v>
      </c>
      <c r="M104" s="1">
        <v>61992.533000000003</v>
      </c>
      <c r="N104" s="1">
        <v>62006.254000000001</v>
      </c>
      <c r="O104" s="1">
        <v>62060.855000000003</v>
      </c>
      <c r="P104" s="1">
        <v>62060.855000000003</v>
      </c>
      <c r="Q104" s="1">
        <v>62460</v>
      </c>
      <c r="R104" s="8">
        <f>AVERAGE(Q104,P104,O104,N104)</f>
        <v>62146.991000000009</v>
      </c>
      <c r="T104" s="1">
        <v>41768.682999999997</v>
      </c>
      <c r="U104" s="1">
        <v>60807.883999999998</v>
      </c>
      <c r="V104" s="1">
        <v>61985.597000000002</v>
      </c>
      <c r="W104" s="1">
        <v>62006.254000000001</v>
      </c>
      <c r="X104" s="1"/>
      <c r="Y104" s="1">
        <v>62526.631999999998</v>
      </c>
      <c r="Z104" s="24">
        <f>((Y104/T104)^(1/(2025-2021)))-1</f>
        <v>0.10612335833335074</v>
      </c>
    </row>
    <row r="105" spans="1:26" ht="12" x14ac:dyDescent="0.2">
      <c r="B105" s="9" t="s">
        <v>94</v>
      </c>
      <c r="C105" s="10">
        <f>C101/C104</f>
        <v>-0.12350141381145083</v>
      </c>
      <c r="D105" s="10">
        <f>D101/D104</f>
        <v>-0.3197247418083054</v>
      </c>
      <c r="E105" s="10">
        <f>E101/E104</f>
        <v>-0.46127361674651329</v>
      </c>
      <c r="F105" s="10"/>
      <c r="G105" s="10">
        <f>G101/G104</f>
        <v>-0.28100076216092584</v>
      </c>
      <c r="H105" s="10">
        <f>H101/H104</f>
        <v>-8.8246306637975919E-2</v>
      </c>
      <c r="I105" s="16">
        <f>I101/I104</f>
        <v>-8.3600065995976455E-2</v>
      </c>
      <c r="K105" s="16">
        <v>0.02</v>
      </c>
      <c r="L105" s="16">
        <v>0.08</v>
      </c>
      <c r="M105" s="103">
        <f>M101/M104</f>
        <v>-0.17727941524828481</v>
      </c>
      <c r="N105" s="103">
        <f>N101/N104</f>
        <v>1.0681503191597415</v>
      </c>
      <c r="O105" s="16">
        <v>0.08</v>
      </c>
      <c r="P105" s="16">
        <v>0.02</v>
      </c>
      <c r="Q105" s="10">
        <f>Q101/Q104</f>
        <v>-0.27955491514569325</v>
      </c>
      <c r="R105" s="103">
        <f>R101/R104</f>
        <v>0.82068333766955814</v>
      </c>
      <c r="T105" s="10">
        <f>T101/T104</f>
        <v>-1.1733431959058898</v>
      </c>
      <c r="U105" s="10">
        <f t="shared" ref="U105" si="107">U101/U104</f>
        <v>-0.5938374701543635</v>
      </c>
      <c r="V105" s="10">
        <f>V101/V104</f>
        <v>-0.61225513404347787</v>
      </c>
      <c r="W105" s="10">
        <f>W101/W104</f>
        <v>0.58202193604535435</v>
      </c>
      <c r="X105" s="10"/>
      <c r="Y105" s="10">
        <f>Y101/Y104</f>
        <v>-4.9115071478662085E-2</v>
      </c>
      <c r="Z105" s="24">
        <f>((W105/T105)^(1/(2024-2021)))-1</f>
        <v>-1.7915981392386233</v>
      </c>
    </row>
    <row r="106" spans="1:26" ht="12" x14ac:dyDescent="0.2">
      <c r="D106" s="2"/>
      <c r="E106" s="2"/>
      <c r="R106" s="108">
        <f>R105/W105-1</f>
        <v>0.41005568148484017</v>
      </c>
    </row>
    <row r="107" spans="1:26" ht="12" x14ac:dyDescent="0.2">
      <c r="B107" s="100" t="s">
        <v>287</v>
      </c>
      <c r="C107" s="101"/>
      <c r="D107" s="101"/>
      <c r="E107" s="101"/>
      <c r="F107" s="101"/>
      <c r="G107" s="101"/>
      <c r="H107" s="101"/>
      <c r="I107" s="101"/>
      <c r="J107" s="101"/>
      <c r="K107" s="101"/>
      <c r="L107" s="101"/>
      <c r="M107" s="101"/>
      <c r="N107" s="101"/>
      <c r="O107" s="101"/>
      <c r="P107" s="101"/>
      <c r="Q107" s="101"/>
      <c r="R107" s="101"/>
      <c r="S107" s="102"/>
      <c r="T107" s="101"/>
      <c r="U107" s="101"/>
      <c r="V107" s="101"/>
      <c r="W107" s="101"/>
      <c r="X107" s="101"/>
      <c r="Y107" s="101"/>
      <c r="Z107" s="102"/>
    </row>
    <row r="108" spans="1:26" ht="12" x14ac:dyDescent="0.2">
      <c r="A108" s="2" t="s">
        <v>21</v>
      </c>
      <c r="B108" s="2" t="s">
        <v>118</v>
      </c>
      <c r="C108" s="38">
        <v>312633</v>
      </c>
      <c r="D108" s="38">
        <v>315543</v>
      </c>
      <c r="E108" s="38">
        <v>334910</v>
      </c>
      <c r="F108" s="38">
        <v>0</v>
      </c>
      <c r="G108" s="38">
        <v>301025</v>
      </c>
      <c r="H108" s="1">
        <v>297172</v>
      </c>
      <c r="I108" s="1">
        <v>295573</v>
      </c>
      <c r="J108" s="1">
        <v>0</v>
      </c>
      <c r="K108" s="38">
        <v>288297</v>
      </c>
      <c r="L108" s="38">
        <v>283526</v>
      </c>
      <c r="M108" s="1">
        <v>304272</v>
      </c>
      <c r="N108" s="1">
        <v>0</v>
      </c>
      <c r="O108" s="1">
        <v>302429</v>
      </c>
      <c r="P108" s="1">
        <v>292164</v>
      </c>
      <c r="Q108" s="1">
        <v>283200</v>
      </c>
      <c r="R108" s="1"/>
      <c r="T108" s="38">
        <v>193504</v>
      </c>
      <c r="U108" s="38">
        <v>305752</v>
      </c>
      <c r="V108" s="1">
        <v>290369</v>
      </c>
      <c r="W108" s="1">
        <v>309780</v>
      </c>
      <c r="X108" s="1"/>
      <c r="Y108" s="1">
        <v>280940</v>
      </c>
    </row>
    <row r="109" spans="1:26" ht="12" x14ac:dyDescent="0.2">
      <c r="B109" s="2" t="s">
        <v>22</v>
      </c>
      <c r="C109" s="38">
        <v>749442</v>
      </c>
      <c r="D109" s="38">
        <v>764269</v>
      </c>
      <c r="E109" s="38">
        <v>776297</v>
      </c>
      <c r="F109" s="38">
        <v>0</v>
      </c>
      <c r="G109" s="38">
        <v>733419</v>
      </c>
      <c r="H109" s="38">
        <v>730040</v>
      </c>
      <c r="I109" s="1">
        <v>727660</v>
      </c>
      <c r="J109" s="1">
        <v>0</v>
      </c>
      <c r="K109" s="38">
        <v>721260</v>
      </c>
      <c r="L109" s="38">
        <v>632421</v>
      </c>
      <c r="M109" s="1">
        <v>642165</v>
      </c>
      <c r="N109" s="1">
        <v>0</v>
      </c>
      <c r="O109" s="1">
        <v>669010</v>
      </c>
      <c r="P109" s="1">
        <v>650763</v>
      </c>
      <c r="Q109" s="1">
        <v>548245</v>
      </c>
      <c r="R109" s="1"/>
      <c r="T109" s="38">
        <v>603843</v>
      </c>
      <c r="U109" s="38">
        <v>744997</v>
      </c>
      <c r="V109" s="1">
        <v>722988</v>
      </c>
      <c r="W109" s="1">
        <v>669922</v>
      </c>
      <c r="X109" s="1"/>
      <c r="Y109" s="1">
        <v>547609</v>
      </c>
    </row>
    <row r="110" spans="1:26" ht="12" x14ac:dyDescent="0.2">
      <c r="B110" s="2" t="s">
        <v>116</v>
      </c>
      <c r="C110" s="38">
        <v>5296</v>
      </c>
      <c r="D110" s="38">
        <v>5459</v>
      </c>
      <c r="E110" s="38">
        <v>5687</v>
      </c>
      <c r="F110" s="38">
        <v>0</v>
      </c>
      <c r="G110" s="38">
        <v>5454</v>
      </c>
      <c r="H110" s="38">
        <v>5555</v>
      </c>
      <c r="I110" s="1">
        <v>5623</v>
      </c>
      <c r="J110" s="1"/>
      <c r="K110" s="38">
        <v>6653</v>
      </c>
      <c r="L110" s="38">
        <v>0</v>
      </c>
      <c r="M110" s="1"/>
      <c r="N110" s="1"/>
      <c r="O110" s="1"/>
      <c r="P110" s="1"/>
      <c r="Q110" s="1"/>
      <c r="R110" s="1"/>
      <c r="T110" s="38">
        <v>5263</v>
      </c>
      <c r="U110" s="38">
        <v>5521</v>
      </c>
      <c r="V110" s="1">
        <v>7016</v>
      </c>
      <c r="W110" s="1">
        <v>0</v>
      </c>
      <c r="X110" s="1"/>
      <c r="Y110" s="1"/>
    </row>
    <row r="111" spans="1:26" ht="12" x14ac:dyDescent="0.2">
      <c r="B111" s="2" t="s">
        <v>23</v>
      </c>
      <c r="C111" s="38">
        <v>0</v>
      </c>
      <c r="D111" s="38">
        <v>0</v>
      </c>
      <c r="E111" s="38">
        <v>0</v>
      </c>
      <c r="F111" s="38">
        <v>0</v>
      </c>
      <c r="G111" s="38">
        <v>31125</v>
      </c>
      <c r="H111" s="38">
        <v>31442</v>
      </c>
      <c r="I111" s="1">
        <v>33275</v>
      </c>
      <c r="J111" s="1">
        <v>0</v>
      </c>
      <c r="K111" s="38">
        <v>34270</v>
      </c>
      <c r="L111" s="38">
        <v>34720</v>
      </c>
      <c r="M111" s="1">
        <v>5211</v>
      </c>
      <c r="N111" s="1">
        <v>0</v>
      </c>
      <c r="O111" s="1">
        <v>5211</v>
      </c>
      <c r="P111" s="1">
        <v>5211</v>
      </c>
      <c r="Q111" s="1">
        <v>5211</v>
      </c>
      <c r="R111" s="1"/>
      <c r="T111" s="38">
        <v>0</v>
      </c>
      <c r="U111" s="38">
        <v>30125</v>
      </c>
      <c r="V111" s="1">
        <v>34542</v>
      </c>
      <c r="W111" s="1">
        <v>5211</v>
      </c>
      <c r="X111" s="1"/>
      <c r="Y111" s="1">
        <v>6336</v>
      </c>
    </row>
    <row r="112" spans="1:26" ht="12" x14ac:dyDescent="0.2">
      <c r="B112" s="2" t="s">
        <v>117</v>
      </c>
      <c r="C112" s="38">
        <v>0</v>
      </c>
      <c r="D112" s="38">
        <v>0</v>
      </c>
      <c r="E112" s="38">
        <v>0</v>
      </c>
      <c r="F112" s="38">
        <v>0</v>
      </c>
      <c r="G112" s="38">
        <v>20404</v>
      </c>
      <c r="H112" s="38">
        <v>20580</v>
      </c>
      <c r="I112" s="1">
        <v>37258</v>
      </c>
      <c r="J112" s="1"/>
      <c r="K112" s="38">
        <v>38087</v>
      </c>
      <c r="L112" s="38">
        <v>38520</v>
      </c>
      <c r="M112" s="1"/>
      <c r="N112" s="1"/>
      <c r="O112" s="1"/>
      <c r="P112" s="1"/>
      <c r="Q112" s="1">
        <v>108656</v>
      </c>
      <c r="R112" s="1"/>
      <c r="T112" s="38">
        <v>0</v>
      </c>
      <c r="U112" s="38">
        <v>10870</v>
      </c>
      <c r="V112" s="1">
        <v>35643</v>
      </c>
      <c r="W112" s="1">
        <v>0</v>
      </c>
      <c r="X112" s="1"/>
      <c r="Y112" s="1">
        <v>108785</v>
      </c>
    </row>
    <row r="113" spans="2:26" ht="12" x14ac:dyDescent="0.2">
      <c r="B113" s="2" t="s">
        <v>24</v>
      </c>
      <c r="C113" s="38">
        <v>267</v>
      </c>
      <c r="D113" s="38">
        <v>1761</v>
      </c>
      <c r="E113" s="38">
        <v>4762</v>
      </c>
      <c r="F113" s="38">
        <v>0</v>
      </c>
      <c r="G113" s="38">
        <v>3011</v>
      </c>
      <c r="H113" s="38">
        <v>3011</v>
      </c>
      <c r="I113" s="1">
        <v>3011</v>
      </c>
      <c r="J113" s="1">
        <v>0</v>
      </c>
      <c r="K113" s="38">
        <v>2011</v>
      </c>
      <c r="L113" s="38">
        <v>2008</v>
      </c>
      <c r="M113" s="1">
        <v>2265</v>
      </c>
      <c r="N113" s="1">
        <v>0</v>
      </c>
      <c r="O113" s="1">
        <v>2265</v>
      </c>
      <c r="P113" s="1">
        <v>2215</v>
      </c>
      <c r="Q113" s="1">
        <v>2214</v>
      </c>
      <c r="R113" s="1"/>
      <c r="T113" s="38">
        <v>271</v>
      </c>
      <c r="U113" s="38">
        <v>3011</v>
      </c>
      <c r="V113" s="1">
        <v>3013</v>
      </c>
      <c r="W113" s="1">
        <v>2265</v>
      </c>
      <c r="X113" s="1"/>
      <c r="Y113" s="1">
        <v>2214</v>
      </c>
    </row>
    <row r="114" spans="2:26" ht="12" x14ac:dyDescent="0.2">
      <c r="B114" s="2" t="s">
        <v>25</v>
      </c>
      <c r="C114" s="38">
        <v>44380</v>
      </c>
      <c r="D114" s="38">
        <v>45531</v>
      </c>
      <c r="E114" s="38">
        <v>51428</v>
      </c>
      <c r="F114" s="38">
        <v>0</v>
      </c>
      <c r="G114" s="38">
        <v>60329</v>
      </c>
      <c r="H114" s="38">
        <v>62222</v>
      </c>
      <c r="I114" s="1">
        <v>57917</v>
      </c>
      <c r="J114" s="1">
        <v>0</v>
      </c>
      <c r="K114" s="38">
        <v>54421</v>
      </c>
      <c r="L114" s="38">
        <v>34403</v>
      </c>
      <c r="M114" s="1">
        <v>37895</v>
      </c>
      <c r="N114" s="1">
        <v>0</v>
      </c>
      <c r="O114" s="1">
        <v>39219</v>
      </c>
      <c r="P114" s="1">
        <v>40893</v>
      </c>
      <c r="Q114" s="1">
        <v>70294</v>
      </c>
      <c r="R114" s="1"/>
      <c r="T114" s="38">
        <v>42387</v>
      </c>
      <c r="U114" s="38">
        <v>60458</v>
      </c>
      <c r="V114" s="1">
        <v>47964</v>
      </c>
      <c r="W114" s="1">
        <v>37155</v>
      </c>
      <c r="X114" s="1"/>
      <c r="Y114" s="1">
        <v>66931</v>
      </c>
    </row>
    <row r="115" spans="2:26" ht="14.25" x14ac:dyDescent="0.35">
      <c r="B115" s="2" t="s">
        <v>26</v>
      </c>
      <c r="C115" s="15">
        <v>8918</v>
      </c>
      <c r="D115" s="15">
        <v>11465</v>
      </c>
      <c r="E115" s="15">
        <v>14895</v>
      </c>
      <c r="F115" s="15">
        <v>0</v>
      </c>
      <c r="G115" s="15">
        <v>7154</v>
      </c>
      <c r="H115" s="15">
        <v>6523</v>
      </c>
      <c r="I115" s="3">
        <v>9409</v>
      </c>
      <c r="J115" s="3">
        <v>0</v>
      </c>
      <c r="K115" s="15">
        <v>6717</v>
      </c>
      <c r="L115" s="15">
        <v>7119</v>
      </c>
      <c r="M115" s="3">
        <v>9780</v>
      </c>
      <c r="N115" s="3">
        <v>0</v>
      </c>
      <c r="O115" s="3">
        <v>13208</v>
      </c>
      <c r="P115" s="3">
        <v>13603</v>
      </c>
      <c r="Q115" s="3">
        <v>873</v>
      </c>
      <c r="R115" s="3"/>
      <c r="T115" s="15">
        <v>8565</v>
      </c>
      <c r="U115" s="15">
        <v>6916</v>
      </c>
      <c r="V115" s="3">
        <v>6589</v>
      </c>
      <c r="W115" s="3">
        <v>13286</v>
      </c>
      <c r="X115" s="3"/>
      <c r="Y115" s="3">
        <v>1268</v>
      </c>
    </row>
    <row r="116" spans="2:26" ht="12" x14ac:dyDescent="0.2">
      <c r="B116" s="4" t="s">
        <v>318</v>
      </c>
      <c r="C116" s="5">
        <f>SUM(C108:C115)</f>
        <v>1120936</v>
      </c>
      <c r="D116" s="5">
        <f>SUM(D108:D115)</f>
        <v>1144028</v>
      </c>
      <c r="E116" s="5">
        <f t="shared" ref="E116" si="108">SUM(E108:E115)</f>
        <v>1187979</v>
      </c>
      <c r="F116" s="5">
        <f t="shared" ref="F116:M116" si="109">SUM(F108:F115)</f>
        <v>0</v>
      </c>
      <c r="G116" s="5">
        <f t="shared" si="109"/>
        <v>1161921</v>
      </c>
      <c r="H116" s="5">
        <f t="shared" si="109"/>
        <v>1156545</v>
      </c>
      <c r="I116" s="5">
        <f t="shared" si="109"/>
        <v>1169726</v>
      </c>
      <c r="J116" s="5">
        <f t="shared" si="109"/>
        <v>0</v>
      </c>
      <c r="K116" s="5">
        <f t="shared" si="109"/>
        <v>1151716</v>
      </c>
      <c r="L116" s="5">
        <f t="shared" si="109"/>
        <v>1032717</v>
      </c>
      <c r="M116" s="5">
        <f t="shared" si="109"/>
        <v>1001588</v>
      </c>
      <c r="N116" s="5">
        <f t="shared" ref="N116" si="110">SUM(N108:N115)</f>
        <v>0</v>
      </c>
      <c r="O116" s="5">
        <f>SUM(O108:O115)</f>
        <v>1031342</v>
      </c>
      <c r="P116" s="5">
        <f>SUM(P108:P115)</f>
        <v>1004849</v>
      </c>
      <c r="Q116" s="5">
        <f>SUM(Q108:Q115)</f>
        <v>1018693</v>
      </c>
      <c r="R116" s="5"/>
      <c r="T116" s="5">
        <f>SUM(T108:T115)</f>
        <v>853833</v>
      </c>
      <c r="U116" s="5">
        <f t="shared" ref="U116" si="111">SUM(U108:U115)</f>
        <v>1167650</v>
      </c>
      <c r="V116" s="5">
        <f>SUM(V108:V115)</f>
        <v>1148124</v>
      </c>
      <c r="W116" s="5">
        <f>SUM(W108:W115)</f>
        <v>1037619</v>
      </c>
      <c r="X116" s="5"/>
      <c r="Y116" s="5">
        <f>SUM(Y108:Y115)</f>
        <v>1014083</v>
      </c>
    </row>
    <row r="117" spans="2:26" ht="12" x14ac:dyDescent="0.2">
      <c r="B117" s="2" t="s">
        <v>27</v>
      </c>
      <c r="C117" s="38">
        <v>342974</v>
      </c>
      <c r="D117" s="38">
        <v>364131</v>
      </c>
      <c r="E117" s="38">
        <v>392895</v>
      </c>
      <c r="F117" s="38">
        <v>0</v>
      </c>
      <c r="G117" s="38">
        <v>337090</v>
      </c>
      <c r="H117" s="38">
        <v>333215</v>
      </c>
      <c r="I117" s="1">
        <v>346150</v>
      </c>
      <c r="J117" s="1">
        <v>0</v>
      </c>
      <c r="K117" s="38">
        <v>346242</v>
      </c>
      <c r="L117" s="38">
        <v>342922</v>
      </c>
      <c r="M117" s="1">
        <v>377747</v>
      </c>
      <c r="N117" s="1">
        <v>0</v>
      </c>
      <c r="O117" s="1">
        <v>386957</v>
      </c>
      <c r="P117" s="1">
        <v>371973</v>
      </c>
      <c r="Q117" s="1">
        <v>288896</v>
      </c>
      <c r="R117" s="1"/>
      <c r="T117" s="38">
        <v>245429</v>
      </c>
      <c r="U117" s="38">
        <v>323980</v>
      </c>
      <c r="V117" s="38">
        <v>334440</v>
      </c>
      <c r="W117" s="1">
        <v>389394</v>
      </c>
      <c r="X117" s="1"/>
      <c r="Y117" s="1">
        <v>270203</v>
      </c>
    </row>
    <row r="118" spans="2:26" ht="12" x14ac:dyDescent="0.2">
      <c r="B118" s="2" t="s">
        <v>28</v>
      </c>
      <c r="C118" s="38">
        <v>14045</v>
      </c>
      <c r="D118" s="38">
        <v>29281</v>
      </c>
      <c r="E118" s="38">
        <v>29594</v>
      </c>
      <c r="F118" s="38">
        <v>0</v>
      </c>
      <c r="G118" s="38">
        <v>23898</v>
      </c>
      <c r="H118" s="38">
        <v>25911</v>
      </c>
      <c r="I118" s="1">
        <v>27818</v>
      </c>
      <c r="J118" s="1">
        <v>0</v>
      </c>
      <c r="K118" s="38">
        <v>31159</v>
      </c>
      <c r="L118" s="38">
        <v>25215</v>
      </c>
      <c r="M118" s="1">
        <v>27896</v>
      </c>
      <c r="N118" s="1">
        <v>0</v>
      </c>
      <c r="O118" s="1">
        <v>20903</v>
      </c>
      <c r="P118" s="1">
        <v>18172</v>
      </c>
      <c r="Q118" s="1">
        <v>20984</v>
      </c>
      <c r="R118" s="1"/>
      <c r="T118" s="38">
        <v>13469</v>
      </c>
      <c r="U118" s="38">
        <v>23969</v>
      </c>
      <c r="V118" s="38">
        <v>27972</v>
      </c>
      <c r="W118" s="1">
        <v>25257</v>
      </c>
      <c r="X118" s="1"/>
      <c r="Y118" s="1">
        <v>26335</v>
      </c>
    </row>
    <row r="119" spans="2:26" ht="12" x14ac:dyDescent="0.2">
      <c r="B119" s="2" t="s">
        <v>29</v>
      </c>
      <c r="C119" s="38">
        <v>228513</v>
      </c>
      <c r="D119" s="38">
        <v>244089</v>
      </c>
      <c r="E119" s="38">
        <v>264434</v>
      </c>
      <c r="F119" s="38">
        <v>0</v>
      </c>
      <c r="G119" s="38">
        <v>196372</v>
      </c>
      <c r="H119" s="38">
        <v>193632</v>
      </c>
      <c r="I119" s="1">
        <v>184030</v>
      </c>
      <c r="J119" s="1">
        <v>0</v>
      </c>
      <c r="K119" s="38">
        <v>176227</v>
      </c>
      <c r="L119" s="38">
        <v>170033</v>
      </c>
      <c r="M119" s="1">
        <v>178759</v>
      </c>
      <c r="N119" s="1">
        <v>0</v>
      </c>
      <c r="O119" s="1">
        <v>180993</v>
      </c>
      <c r="P119" s="1">
        <v>182281</v>
      </c>
      <c r="Q119" s="1">
        <v>122913</v>
      </c>
      <c r="R119" s="1"/>
      <c r="T119" s="38">
        <v>129130</v>
      </c>
      <c r="U119" s="38">
        <v>171413</v>
      </c>
      <c r="V119" s="38">
        <v>159260</v>
      </c>
      <c r="W119" s="1">
        <v>181778</v>
      </c>
      <c r="X119" s="1"/>
      <c r="Y119" s="1">
        <v>119280</v>
      </c>
    </row>
    <row r="120" spans="2:26" ht="12" x14ac:dyDescent="0.2">
      <c r="B120" s="2" t="s">
        <v>30</v>
      </c>
      <c r="C120" s="38">
        <v>3694</v>
      </c>
      <c r="D120" s="38">
        <v>4012</v>
      </c>
      <c r="E120" s="38">
        <v>3776</v>
      </c>
      <c r="F120" s="38">
        <v>0</v>
      </c>
      <c r="G120" s="38">
        <v>5554</v>
      </c>
      <c r="H120" s="38">
        <v>5725</v>
      </c>
      <c r="I120" s="1">
        <v>4027</v>
      </c>
      <c r="J120" s="1">
        <v>0</v>
      </c>
      <c r="K120" s="38">
        <v>2167</v>
      </c>
      <c r="L120" s="38">
        <v>2448</v>
      </c>
      <c r="M120" s="1">
        <v>2422</v>
      </c>
      <c r="N120" s="1">
        <v>0</v>
      </c>
      <c r="O120" s="1">
        <v>620</v>
      </c>
      <c r="P120" s="1">
        <v>362</v>
      </c>
      <c r="Q120" s="1">
        <v>148</v>
      </c>
      <c r="R120" s="1"/>
      <c r="T120" s="38">
        <v>3630</v>
      </c>
      <c r="U120" s="38">
        <v>6140</v>
      </c>
      <c r="V120" s="38">
        <v>2134</v>
      </c>
      <c r="W120" s="1">
        <v>500</v>
      </c>
      <c r="X120" s="1"/>
      <c r="Y120" s="1">
        <v>3113</v>
      </c>
    </row>
    <row r="121" spans="2:26" ht="12" x14ac:dyDescent="0.2">
      <c r="B121" s="2" t="s">
        <v>31</v>
      </c>
      <c r="C121" s="38">
        <v>1632</v>
      </c>
      <c r="D121" s="38">
        <v>1553</v>
      </c>
      <c r="E121" s="38">
        <v>1851</v>
      </c>
      <c r="F121" s="38">
        <v>0</v>
      </c>
      <c r="G121" s="38">
        <v>1484</v>
      </c>
      <c r="H121" s="38">
        <v>1589</v>
      </c>
      <c r="I121" s="1">
        <v>1737</v>
      </c>
      <c r="J121" s="1">
        <v>0</v>
      </c>
      <c r="K121" s="38">
        <v>1456</v>
      </c>
      <c r="L121" s="38">
        <v>1779</v>
      </c>
      <c r="M121" s="1">
        <v>1889</v>
      </c>
      <c r="N121" s="1">
        <v>0</v>
      </c>
      <c r="O121" s="1">
        <v>965</v>
      </c>
      <c r="P121" s="1">
        <v>1818</v>
      </c>
      <c r="Q121" s="1">
        <v>1017</v>
      </c>
      <c r="R121" s="1"/>
      <c r="T121" s="38">
        <v>2271</v>
      </c>
      <c r="U121" s="38">
        <v>1525</v>
      </c>
      <c r="V121" s="38">
        <v>1569</v>
      </c>
      <c r="W121" s="1">
        <v>2130</v>
      </c>
      <c r="X121" s="1"/>
      <c r="Y121" s="1">
        <v>1035</v>
      </c>
    </row>
    <row r="122" spans="2:26" ht="12" x14ac:dyDescent="0.2">
      <c r="B122" s="2" t="s">
        <v>117</v>
      </c>
      <c r="C122" s="38">
        <v>0</v>
      </c>
      <c r="D122" s="38">
        <v>0</v>
      </c>
      <c r="E122" s="38">
        <v>0</v>
      </c>
      <c r="F122" s="38">
        <v>0</v>
      </c>
      <c r="G122" s="38">
        <v>3060</v>
      </c>
      <c r="H122" s="38">
        <v>3062</v>
      </c>
      <c r="I122" s="1">
        <v>3064</v>
      </c>
      <c r="J122" s="1"/>
      <c r="K122" s="38">
        <v>3068</v>
      </c>
      <c r="L122" s="38">
        <v>3070</v>
      </c>
      <c r="M122" s="1"/>
      <c r="N122" s="1"/>
      <c r="O122" s="1"/>
      <c r="P122" s="1"/>
      <c r="Q122" s="1"/>
      <c r="R122" s="1"/>
      <c r="T122" s="38">
        <v>0</v>
      </c>
      <c r="U122" s="38">
        <v>3058</v>
      </c>
      <c r="V122" s="38">
        <v>3066</v>
      </c>
      <c r="W122" s="1"/>
      <c r="X122" s="1"/>
      <c r="Y122" s="1"/>
    </row>
    <row r="123" spans="2:26" ht="12" x14ac:dyDescent="0.2">
      <c r="B123" s="2" t="s">
        <v>25</v>
      </c>
      <c r="C123" s="38">
        <v>53429</v>
      </c>
      <c r="D123" s="38">
        <v>58472</v>
      </c>
      <c r="E123" s="38">
        <v>87775</v>
      </c>
      <c r="F123" s="38">
        <v>0</v>
      </c>
      <c r="G123" s="38">
        <v>96129</v>
      </c>
      <c r="H123" s="38">
        <v>113152</v>
      </c>
      <c r="I123" s="1">
        <v>86506</v>
      </c>
      <c r="J123" s="1">
        <v>0</v>
      </c>
      <c r="K123" s="38">
        <v>71411</v>
      </c>
      <c r="L123" s="38">
        <v>73675</v>
      </c>
      <c r="M123" s="1">
        <v>78312</v>
      </c>
      <c r="N123" s="1">
        <v>0</v>
      </c>
      <c r="O123" s="1">
        <v>77160</v>
      </c>
      <c r="P123" s="1">
        <v>85595</v>
      </c>
      <c r="Q123" s="1">
        <v>52781</v>
      </c>
      <c r="R123" s="1"/>
      <c r="T123" s="38">
        <v>35559</v>
      </c>
      <c r="U123" s="38">
        <v>96697</v>
      </c>
      <c r="V123" s="38">
        <v>83642</v>
      </c>
      <c r="W123" s="1">
        <v>60524</v>
      </c>
      <c r="X123" s="1"/>
      <c r="Y123" s="1">
        <v>50763</v>
      </c>
    </row>
    <row r="124" spans="2:26" ht="12" x14ac:dyDescent="0.2">
      <c r="B124" s="2" t="s">
        <v>109</v>
      </c>
      <c r="C124" s="38"/>
      <c r="D124" s="38"/>
      <c r="E124" s="38"/>
      <c r="F124" s="38"/>
      <c r="G124" s="38"/>
      <c r="H124" s="38"/>
      <c r="I124" s="1"/>
      <c r="J124" s="1"/>
      <c r="K124" s="38"/>
      <c r="L124" s="38">
        <v>139786</v>
      </c>
      <c r="M124" s="1">
        <v>140043</v>
      </c>
      <c r="N124" s="1"/>
      <c r="O124" s="1"/>
      <c r="P124" s="1"/>
      <c r="Q124" s="1">
        <v>0</v>
      </c>
      <c r="R124" s="1"/>
      <c r="T124" s="38"/>
      <c r="U124" s="38"/>
      <c r="V124" s="38">
        <v>0</v>
      </c>
      <c r="W124" s="1"/>
      <c r="X124" s="1"/>
      <c r="Y124" s="1"/>
    </row>
    <row r="125" spans="2:26" ht="14.25" x14ac:dyDescent="0.35">
      <c r="B125" s="2" t="s">
        <v>32</v>
      </c>
      <c r="C125" s="15">
        <v>390546</v>
      </c>
      <c r="D125" s="15">
        <v>364529</v>
      </c>
      <c r="E125" s="15">
        <v>316798</v>
      </c>
      <c r="F125" s="15">
        <v>0</v>
      </c>
      <c r="G125" s="15">
        <v>294846</v>
      </c>
      <c r="H125" s="15">
        <v>304875</v>
      </c>
      <c r="I125" s="3">
        <v>310736</v>
      </c>
      <c r="J125" s="3">
        <v>0</v>
      </c>
      <c r="K125" s="15">
        <v>126959</v>
      </c>
      <c r="L125" s="15">
        <v>108893</v>
      </c>
      <c r="M125" s="3">
        <v>116543</v>
      </c>
      <c r="N125" s="3">
        <v>0</v>
      </c>
      <c r="O125" s="3">
        <v>122780</v>
      </c>
      <c r="P125" s="3">
        <v>127202</v>
      </c>
      <c r="Q125" s="3">
        <v>87907</v>
      </c>
      <c r="R125" s="3"/>
      <c r="T125" s="15">
        <v>509059</v>
      </c>
      <c r="U125" s="15">
        <v>426215</v>
      </c>
      <c r="V125" s="15">
        <v>175252</v>
      </c>
      <c r="W125" s="3">
        <v>133529</v>
      </c>
      <c r="X125" s="3"/>
      <c r="Y125" s="3">
        <v>112759</v>
      </c>
    </row>
    <row r="126" spans="2:26" ht="12" x14ac:dyDescent="0.2">
      <c r="B126" s="4" t="s">
        <v>33</v>
      </c>
      <c r="C126" s="5">
        <f>SUM(C117:C125)</f>
        <v>1034833</v>
      </c>
      <c r="D126" s="5">
        <f>SUM(D117:D125)</f>
        <v>1066067</v>
      </c>
      <c r="E126" s="5">
        <f t="shared" ref="E126" si="112">SUM(E117:E125)</f>
        <v>1097123</v>
      </c>
      <c r="F126" s="5">
        <f t="shared" ref="F126:N126" si="113">SUM(F117:F125)</f>
        <v>0</v>
      </c>
      <c r="G126" s="5">
        <f t="shared" si="113"/>
        <v>958433</v>
      </c>
      <c r="H126" s="5">
        <f t="shared" si="113"/>
        <v>981161</v>
      </c>
      <c r="I126" s="5">
        <f t="shared" si="113"/>
        <v>964068</v>
      </c>
      <c r="J126" s="5">
        <f t="shared" si="113"/>
        <v>0</v>
      </c>
      <c r="K126" s="5">
        <f t="shared" si="113"/>
        <v>758689</v>
      </c>
      <c r="L126" s="5">
        <f t="shared" si="113"/>
        <v>867821</v>
      </c>
      <c r="M126" s="5">
        <f t="shared" si="113"/>
        <v>923611</v>
      </c>
      <c r="N126" s="5">
        <f t="shared" si="113"/>
        <v>0</v>
      </c>
      <c r="O126" s="5">
        <f>SUM(O117:O125)</f>
        <v>790378</v>
      </c>
      <c r="P126" s="5">
        <f t="shared" ref="P126:Q126" si="114">SUM(P117:P125)</f>
        <v>787403</v>
      </c>
      <c r="Q126" s="5">
        <f t="shared" si="114"/>
        <v>574646</v>
      </c>
      <c r="R126" s="5"/>
      <c r="T126" s="5">
        <f>SUM(T117:T125)</f>
        <v>938547</v>
      </c>
      <c r="U126" s="5">
        <f t="shared" ref="U126" si="115">SUM(U117:U125)</f>
        <v>1052997</v>
      </c>
      <c r="V126" s="5">
        <f>SUM(V117:V125)</f>
        <v>787335</v>
      </c>
      <c r="W126" s="5">
        <f>SUM(W117:W125)</f>
        <v>793112</v>
      </c>
      <c r="X126" s="5"/>
      <c r="Y126" s="5">
        <f>SUM(Y117:Y125)</f>
        <v>583488</v>
      </c>
    </row>
    <row r="127" spans="2:26" ht="12" x14ac:dyDescent="0.2">
      <c r="B127" s="4" t="s">
        <v>39</v>
      </c>
      <c r="C127" s="18">
        <f>C126+C116</f>
        <v>2155769</v>
      </c>
      <c r="D127" s="18">
        <f>D126+D116</f>
        <v>2210095</v>
      </c>
      <c r="E127" s="18">
        <f t="shared" ref="E127" si="116">E126+E116</f>
        <v>2285102</v>
      </c>
      <c r="F127" s="18">
        <f t="shared" ref="F127:N127" si="117">F126+F116</f>
        <v>0</v>
      </c>
      <c r="G127" s="18">
        <f t="shared" si="117"/>
        <v>2120354</v>
      </c>
      <c r="H127" s="18">
        <f t="shared" si="117"/>
        <v>2137706</v>
      </c>
      <c r="I127" s="18">
        <f t="shared" si="117"/>
        <v>2133794</v>
      </c>
      <c r="J127" s="18">
        <f t="shared" si="117"/>
        <v>0</v>
      </c>
      <c r="K127" s="18">
        <f t="shared" si="117"/>
        <v>1910405</v>
      </c>
      <c r="L127" s="18">
        <f t="shared" si="117"/>
        <v>1900538</v>
      </c>
      <c r="M127" s="18">
        <f t="shared" si="117"/>
        <v>1925199</v>
      </c>
      <c r="N127" s="18">
        <f t="shared" si="117"/>
        <v>0</v>
      </c>
      <c r="O127" s="18">
        <f>O126+O116</f>
        <v>1821720</v>
      </c>
      <c r="P127" s="18">
        <f t="shared" ref="P127:Q127" si="118">P126+P116</f>
        <v>1792252</v>
      </c>
      <c r="Q127" s="18">
        <f t="shared" si="118"/>
        <v>1593339</v>
      </c>
      <c r="R127" s="18"/>
      <c r="T127" s="18">
        <f>T126+T116</f>
        <v>1792380</v>
      </c>
      <c r="U127" s="18">
        <f t="shared" ref="U127" si="119">U126+U116</f>
        <v>2220647</v>
      </c>
      <c r="V127" s="18">
        <f>V126+V116</f>
        <v>1935459</v>
      </c>
      <c r="W127" s="18">
        <f>W126+W116</f>
        <v>1830731</v>
      </c>
      <c r="X127" s="18"/>
      <c r="Y127" s="18">
        <f>Y126+Y116</f>
        <v>1597571</v>
      </c>
      <c r="Z127" s="24">
        <f>((W127/T127)^(1/(2024-2021)))-1</f>
        <v>7.0819576243958959E-3</v>
      </c>
    </row>
    <row r="128" spans="2:26" ht="12" x14ac:dyDescent="0.2">
      <c r="B128" s="2" t="s">
        <v>34</v>
      </c>
      <c r="C128" s="38">
        <v>52164</v>
      </c>
      <c r="D128" s="38">
        <v>56480</v>
      </c>
      <c r="E128" s="38">
        <v>56480</v>
      </c>
      <c r="F128" s="38">
        <v>0</v>
      </c>
      <c r="G128" s="38">
        <v>56480</v>
      </c>
      <c r="H128" s="38">
        <v>56480</v>
      </c>
      <c r="I128" s="1">
        <v>56480</v>
      </c>
      <c r="J128" s="1">
        <v>0</v>
      </c>
      <c r="K128" s="38">
        <v>56480</v>
      </c>
      <c r="L128" s="38">
        <v>56488</v>
      </c>
      <c r="M128" s="1">
        <v>56501</v>
      </c>
      <c r="N128" s="1">
        <v>0</v>
      </c>
      <c r="O128" s="1">
        <v>56501</v>
      </c>
      <c r="P128" s="1">
        <v>56617</v>
      </c>
      <c r="Q128" s="1">
        <v>56985</v>
      </c>
      <c r="R128" s="1"/>
      <c r="T128" s="38">
        <v>52164</v>
      </c>
      <c r="U128" s="38">
        <v>56480</v>
      </c>
      <c r="V128" s="38">
        <v>56480</v>
      </c>
      <c r="W128" s="1">
        <v>56501</v>
      </c>
      <c r="X128" s="1"/>
      <c r="Y128" s="1">
        <v>57057</v>
      </c>
    </row>
    <row r="129" spans="2:26" ht="12" x14ac:dyDescent="0.2">
      <c r="B129" s="2" t="s">
        <v>35</v>
      </c>
      <c r="C129" s="38">
        <v>850306</v>
      </c>
      <c r="D129" s="38">
        <v>916594</v>
      </c>
      <c r="E129" s="38">
        <v>917697</v>
      </c>
      <c r="F129" s="38">
        <v>0</v>
      </c>
      <c r="G129" s="38">
        <v>918787</v>
      </c>
      <c r="H129" s="38">
        <v>919336</v>
      </c>
      <c r="I129" s="1">
        <v>919895</v>
      </c>
      <c r="J129" s="1">
        <v>0</v>
      </c>
      <c r="K129" s="38">
        <v>921452</v>
      </c>
      <c r="L129" s="38">
        <v>921875</v>
      </c>
      <c r="M129" s="1">
        <v>922388</v>
      </c>
      <c r="N129" s="1">
        <v>0</v>
      </c>
      <c r="O129" s="1">
        <v>922495</v>
      </c>
      <c r="P129" s="1">
        <v>924693</v>
      </c>
      <c r="Q129" s="1">
        <v>931107</v>
      </c>
      <c r="R129" s="1"/>
      <c r="T129" s="38">
        <v>849076</v>
      </c>
      <c r="U129" s="38">
        <v>918245</v>
      </c>
      <c r="V129" s="38">
        <v>921061</v>
      </c>
      <c r="W129" s="1">
        <v>922326</v>
      </c>
      <c r="X129" s="1"/>
      <c r="Y129" s="1">
        <v>808422</v>
      </c>
    </row>
    <row r="130" spans="2:26" ht="12" x14ac:dyDescent="0.2">
      <c r="B130" s="2" t="s">
        <v>256</v>
      </c>
      <c r="C130" s="38">
        <v>15195</v>
      </c>
      <c r="D130" s="38">
        <v>15195</v>
      </c>
      <c r="E130" s="38">
        <v>15195</v>
      </c>
      <c r="F130" s="38"/>
      <c r="G130" s="38"/>
      <c r="H130" s="38"/>
      <c r="I130" s="1"/>
      <c r="J130" s="1"/>
      <c r="K130" s="38"/>
      <c r="L130" s="38"/>
      <c r="M130" s="1"/>
      <c r="N130" s="1"/>
      <c r="O130" s="1"/>
      <c r="P130" s="1"/>
      <c r="Q130" s="1"/>
      <c r="R130" s="1"/>
      <c r="T130" s="38">
        <v>15195</v>
      </c>
      <c r="U130" s="38"/>
      <c r="V130" s="38"/>
      <c r="W130" s="1"/>
      <c r="X130" s="1"/>
      <c r="Y130" s="1"/>
    </row>
    <row r="131" spans="2:26" ht="14.25" x14ac:dyDescent="0.35">
      <c r="B131" s="2" t="s">
        <v>36</v>
      </c>
      <c r="C131" s="15">
        <v>-8351</v>
      </c>
      <c r="D131" s="15">
        <v>-16276</v>
      </c>
      <c r="E131" s="15">
        <v>-34940</v>
      </c>
      <c r="F131" s="15">
        <v>0</v>
      </c>
      <c r="G131" s="15">
        <v>-36587</v>
      </c>
      <c r="H131" s="15">
        <v>-33089</v>
      </c>
      <c r="I131" s="3">
        <v>-34341</v>
      </c>
      <c r="J131" s="3">
        <v>0</v>
      </c>
      <c r="K131" s="15">
        <v>-42229</v>
      </c>
      <c r="L131" s="15">
        <v>-63468</v>
      </c>
      <c r="M131" s="3">
        <v>-81721</v>
      </c>
      <c r="N131" s="3">
        <v>0</v>
      </c>
      <c r="O131" s="3">
        <v>-46254</v>
      </c>
      <c r="P131" s="3">
        <v>-55588</v>
      </c>
      <c r="Q131" s="3">
        <v>-67344</v>
      </c>
      <c r="R131" s="3"/>
      <c r="T131" s="15">
        <v>-10880</v>
      </c>
      <c r="U131" s="15">
        <v>-15689</v>
      </c>
      <c r="V131" s="15">
        <v>-41380</v>
      </c>
      <c r="W131" s="3">
        <v>-47207</v>
      </c>
      <c r="X131" s="3"/>
      <c r="Y131" s="3">
        <v>116757</v>
      </c>
    </row>
    <row r="132" spans="2:26" ht="12" x14ac:dyDescent="0.2">
      <c r="B132" s="4" t="s">
        <v>37</v>
      </c>
      <c r="C132" s="5">
        <f>SUM(C128:C131)</f>
        <v>909314</v>
      </c>
      <c r="D132" s="5">
        <f>SUM(D128:D131)</f>
        <v>971993</v>
      </c>
      <c r="E132" s="5">
        <f t="shared" ref="E132" si="120">SUM(E128:E131)</f>
        <v>954432</v>
      </c>
      <c r="F132" s="5">
        <f t="shared" ref="F132:Q132" si="121">SUM(F128:F131)</f>
        <v>0</v>
      </c>
      <c r="G132" s="5">
        <f t="shared" si="121"/>
        <v>938680</v>
      </c>
      <c r="H132" s="5">
        <f t="shared" si="121"/>
        <v>942727</v>
      </c>
      <c r="I132" s="5">
        <f t="shared" si="121"/>
        <v>942034</v>
      </c>
      <c r="J132" s="5">
        <f t="shared" si="121"/>
        <v>0</v>
      </c>
      <c r="K132" s="5">
        <f t="shared" si="121"/>
        <v>935703</v>
      </c>
      <c r="L132" s="5">
        <f t="shared" si="121"/>
        <v>914895</v>
      </c>
      <c r="M132" s="5">
        <f t="shared" si="121"/>
        <v>897168</v>
      </c>
      <c r="N132" s="5">
        <f t="shared" si="121"/>
        <v>0</v>
      </c>
      <c r="O132" s="5">
        <f>SUM(O128:O131)</f>
        <v>932742</v>
      </c>
      <c r="P132" s="5">
        <f t="shared" si="121"/>
        <v>925722</v>
      </c>
      <c r="Q132" s="5">
        <f t="shared" si="121"/>
        <v>920748</v>
      </c>
      <c r="R132" s="5"/>
      <c r="T132" s="5">
        <f>SUM(T128:T131)</f>
        <v>905555</v>
      </c>
      <c r="U132" s="5">
        <f>SUM(U128:U131)</f>
        <v>959036</v>
      </c>
      <c r="V132" s="5">
        <f>SUM(V128:V131)</f>
        <v>936161</v>
      </c>
      <c r="W132" s="5">
        <f>SUM(W128:W131)</f>
        <v>931620</v>
      </c>
      <c r="X132" s="5"/>
      <c r="Y132" s="5">
        <f>SUM(Y128:Y131)</f>
        <v>982236</v>
      </c>
    </row>
    <row r="133" spans="2:26" ht="14.25" x14ac:dyDescent="0.35">
      <c r="B133" s="2" t="s">
        <v>38</v>
      </c>
      <c r="C133" s="15">
        <v>-798</v>
      </c>
      <c r="D133" s="15">
        <v>-1103</v>
      </c>
      <c r="E133" s="15">
        <v>-1476</v>
      </c>
      <c r="F133" s="15">
        <v>0</v>
      </c>
      <c r="G133" s="15">
        <v>-1468</v>
      </c>
      <c r="H133" s="15">
        <v>-1584</v>
      </c>
      <c r="I133" s="3">
        <v>-1732</v>
      </c>
      <c r="J133" s="3">
        <v>0</v>
      </c>
      <c r="K133" s="15">
        <v>-1918</v>
      </c>
      <c r="L133" s="15">
        <v>-2029</v>
      </c>
      <c r="M133" s="3">
        <v>-2001</v>
      </c>
      <c r="N133" s="3">
        <v>0</v>
      </c>
      <c r="O133" s="3">
        <v>-2141</v>
      </c>
      <c r="P133" s="3">
        <v>-1949</v>
      </c>
      <c r="Q133" s="3">
        <v>0</v>
      </c>
      <c r="R133" s="3"/>
      <c r="T133" s="15">
        <v>-704</v>
      </c>
      <c r="U133" s="15">
        <v>-1405</v>
      </c>
      <c r="V133" s="15">
        <v>-1803</v>
      </c>
      <c r="W133" s="3">
        <v>-2232</v>
      </c>
      <c r="X133" s="3"/>
      <c r="Y133" s="3">
        <v>15598</v>
      </c>
    </row>
    <row r="134" spans="2:26" ht="12" x14ac:dyDescent="0.2">
      <c r="B134" s="4" t="s">
        <v>40</v>
      </c>
      <c r="C134" s="5">
        <f>C132+C133</f>
        <v>908516</v>
      </c>
      <c r="D134" s="5">
        <f>D132+D133</f>
        <v>970890</v>
      </c>
      <c r="E134" s="5">
        <f t="shared" ref="E134" si="122">E132+E133</f>
        <v>952956</v>
      </c>
      <c r="F134" s="5">
        <f t="shared" ref="F134:M134" si="123">F132+F133</f>
        <v>0</v>
      </c>
      <c r="G134" s="5">
        <f t="shared" si="123"/>
        <v>937212</v>
      </c>
      <c r="H134" s="5">
        <f t="shared" si="123"/>
        <v>941143</v>
      </c>
      <c r="I134" s="5">
        <f t="shared" si="123"/>
        <v>940302</v>
      </c>
      <c r="J134" s="5">
        <f t="shared" si="123"/>
        <v>0</v>
      </c>
      <c r="K134" s="5">
        <f t="shared" si="123"/>
        <v>933785</v>
      </c>
      <c r="L134" s="5">
        <f t="shared" si="123"/>
        <v>912866</v>
      </c>
      <c r="M134" s="5">
        <f t="shared" si="123"/>
        <v>895167</v>
      </c>
      <c r="N134" s="5">
        <f t="shared" ref="N134" si="124">N132+N133</f>
        <v>0</v>
      </c>
      <c r="O134" s="5">
        <f>O132+O133</f>
        <v>930601</v>
      </c>
      <c r="P134" s="5">
        <f>P132+P133</f>
        <v>923773</v>
      </c>
      <c r="Q134" s="5">
        <f>Q132+Q133</f>
        <v>920748</v>
      </c>
      <c r="R134" s="5"/>
      <c r="T134" s="5">
        <f>T132+T133</f>
        <v>904851</v>
      </c>
      <c r="U134" s="5">
        <f t="shared" ref="U134" si="125">U132+U133</f>
        <v>957631</v>
      </c>
      <c r="V134" s="5">
        <f>V132+V133</f>
        <v>934358</v>
      </c>
      <c r="W134" s="5">
        <f>W132+W133</f>
        <v>929388</v>
      </c>
      <c r="X134" s="5"/>
      <c r="Y134" s="5">
        <f>Y132+Y133</f>
        <v>997834</v>
      </c>
    </row>
    <row r="135" spans="2:26" ht="12" x14ac:dyDescent="0.2">
      <c r="B135" s="99" t="s">
        <v>41</v>
      </c>
      <c r="C135" s="97">
        <v>85047</v>
      </c>
      <c r="D135" s="97">
        <v>141635</v>
      </c>
      <c r="E135" s="97">
        <v>86565</v>
      </c>
      <c r="F135" s="97">
        <v>0</v>
      </c>
      <c r="G135" s="97">
        <v>473306</v>
      </c>
      <c r="H135" s="97">
        <v>296739</v>
      </c>
      <c r="I135" s="97">
        <v>295521</v>
      </c>
      <c r="J135" s="97">
        <v>0</v>
      </c>
      <c r="K135" s="97">
        <v>281113</v>
      </c>
      <c r="L135" s="97">
        <v>297018</v>
      </c>
      <c r="M135" s="97">
        <v>296742</v>
      </c>
      <c r="N135" s="97">
        <v>0</v>
      </c>
      <c r="O135" s="97">
        <v>218843</v>
      </c>
      <c r="P135" s="97">
        <v>210778</v>
      </c>
      <c r="Q135" s="97">
        <v>228433</v>
      </c>
      <c r="R135" s="1"/>
      <c r="T135" s="69">
        <v>448722</v>
      </c>
      <c r="U135" s="69">
        <v>466436</v>
      </c>
      <c r="V135" s="69">
        <v>258928</v>
      </c>
      <c r="W135" s="68">
        <v>217798</v>
      </c>
      <c r="X135" s="68"/>
      <c r="Y135" s="68">
        <v>188302</v>
      </c>
    </row>
    <row r="136" spans="2:26" ht="12" x14ac:dyDescent="0.2">
      <c r="B136" s="11" t="s">
        <v>42</v>
      </c>
      <c r="C136" s="38">
        <v>550139</v>
      </c>
      <c r="D136" s="38">
        <v>489313</v>
      </c>
      <c r="E136" s="38">
        <v>600369</v>
      </c>
      <c r="F136" s="38">
        <v>0</v>
      </c>
      <c r="G136" s="38">
        <v>103025</v>
      </c>
      <c r="H136" s="38">
        <v>102598</v>
      </c>
      <c r="I136" s="1">
        <v>102555</v>
      </c>
      <c r="J136" s="1">
        <v>0</v>
      </c>
      <c r="K136" s="38">
        <v>94690</v>
      </c>
      <c r="L136" s="38">
        <v>90667</v>
      </c>
      <c r="M136" s="1">
        <v>99462</v>
      </c>
      <c r="N136" s="1">
        <v>0</v>
      </c>
      <c r="O136" s="1">
        <v>114989</v>
      </c>
      <c r="P136" s="1">
        <v>114318</v>
      </c>
      <c r="Q136" s="1">
        <v>112392</v>
      </c>
      <c r="R136" s="1"/>
      <c r="T136" s="38">
        <v>32162</v>
      </c>
      <c r="U136" s="38">
        <v>104641</v>
      </c>
      <c r="V136" s="38">
        <v>95094</v>
      </c>
      <c r="W136" s="1">
        <v>101831</v>
      </c>
      <c r="X136" s="1"/>
      <c r="Y136" s="1">
        <v>45451</v>
      </c>
    </row>
    <row r="137" spans="2:26" ht="12" x14ac:dyDescent="0.2">
      <c r="B137" s="2" t="s">
        <v>43</v>
      </c>
      <c r="C137" s="38">
        <v>32585</v>
      </c>
      <c r="D137" s="38">
        <v>44689</v>
      </c>
      <c r="E137" s="38">
        <v>47721</v>
      </c>
      <c r="F137" s="38">
        <v>0</v>
      </c>
      <c r="G137" s="38">
        <v>61394</v>
      </c>
      <c r="H137" s="38">
        <v>60554</v>
      </c>
      <c r="I137" s="1">
        <v>61262</v>
      </c>
      <c r="J137" s="1">
        <v>0</v>
      </c>
      <c r="K137" s="38">
        <v>44273</v>
      </c>
      <c r="L137" s="38">
        <v>40445</v>
      </c>
      <c r="M137" s="1">
        <v>39311</v>
      </c>
      <c r="N137" s="1">
        <v>0</v>
      </c>
      <c r="O137" s="1">
        <v>38722</v>
      </c>
      <c r="P137" s="1">
        <v>33485</v>
      </c>
      <c r="Q137" s="1">
        <v>31358</v>
      </c>
      <c r="R137" s="1"/>
      <c r="T137" s="38">
        <v>21270</v>
      </c>
      <c r="U137" s="38">
        <v>62823</v>
      </c>
      <c r="V137" s="38">
        <v>46274</v>
      </c>
      <c r="W137" s="1">
        <v>40009</v>
      </c>
      <c r="X137" s="1"/>
      <c r="Y137" s="1">
        <v>40189</v>
      </c>
    </row>
    <row r="138" spans="2:26" ht="12" x14ac:dyDescent="0.2">
      <c r="B138" s="11" t="s">
        <v>44</v>
      </c>
      <c r="C138" s="38">
        <v>18541</v>
      </c>
      <c r="D138" s="38">
        <v>15601</v>
      </c>
      <c r="E138" s="38">
        <v>44515</v>
      </c>
      <c r="F138" s="38">
        <v>0</v>
      </c>
      <c r="G138" s="38">
        <v>39672</v>
      </c>
      <c r="H138" s="38">
        <v>39563</v>
      </c>
      <c r="I138" s="1">
        <v>39472</v>
      </c>
      <c r="J138" s="1">
        <v>0</v>
      </c>
      <c r="K138" s="38">
        <v>38847</v>
      </c>
      <c r="L138" s="38">
        <v>36573</v>
      </c>
      <c r="M138" s="1">
        <v>35965</v>
      </c>
      <c r="N138" s="1">
        <v>0</v>
      </c>
      <c r="O138" s="1">
        <v>39804</v>
      </c>
      <c r="P138" s="1">
        <v>39613</v>
      </c>
      <c r="Q138" s="1">
        <v>22803</v>
      </c>
      <c r="R138" s="1"/>
      <c r="T138" s="38">
        <v>8377</v>
      </c>
      <c r="U138" s="38">
        <v>39548</v>
      </c>
      <c r="V138" s="38">
        <v>39250</v>
      </c>
      <c r="W138" s="1">
        <v>39335</v>
      </c>
      <c r="X138" s="1"/>
      <c r="Y138" s="1">
        <v>20616</v>
      </c>
    </row>
    <row r="139" spans="2:26" ht="12" x14ac:dyDescent="0.2">
      <c r="B139" s="2" t="s">
        <v>45</v>
      </c>
      <c r="C139" s="38">
        <v>22812</v>
      </c>
      <c r="D139" s="38">
        <v>24313</v>
      </c>
      <c r="E139" s="38">
        <v>25549</v>
      </c>
      <c r="F139" s="38">
        <v>0</v>
      </c>
      <c r="G139" s="38">
        <v>16229</v>
      </c>
      <c r="H139" s="38">
        <v>16235</v>
      </c>
      <c r="I139" s="1">
        <v>16407</v>
      </c>
      <c r="J139" s="1">
        <v>0</v>
      </c>
      <c r="K139" s="38">
        <v>16403</v>
      </c>
      <c r="L139" s="38">
        <v>12993</v>
      </c>
      <c r="M139" s="1">
        <v>16349</v>
      </c>
      <c r="N139" s="1">
        <v>0</v>
      </c>
      <c r="O139" s="1">
        <v>17301</v>
      </c>
      <c r="P139" s="1">
        <v>17191</v>
      </c>
      <c r="Q139" s="1">
        <v>13516</v>
      </c>
      <c r="R139" s="1"/>
      <c r="T139" s="38">
        <v>21712</v>
      </c>
      <c r="U139" s="38">
        <v>16809</v>
      </c>
      <c r="V139" s="38">
        <v>17270</v>
      </c>
      <c r="W139" s="1">
        <v>18130</v>
      </c>
      <c r="X139" s="1"/>
      <c r="Y139" s="1">
        <v>12595</v>
      </c>
    </row>
    <row r="140" spans="2:26" ht="12" x14ac:dyDescent="0.2">
      <c r="B140" s="98" t="s">
        <v>46</v>
      </c>
      <c r="C140" s="38">
        <v>0</v>
      </c>
      <c r="D140" s="38">
        <v>5091</v>
      </c>
      <c r="E140" s="38">
        <v>6488</v>
      </c>
      <c r="F140" s="38">
        <v>0</v>
      </c>
      <c r="G140" s="38">
        <v>5944</v>
      </c>
      <c r="H140" s="38">
        <v>6422</v>
      </c>
      <c r="I140" s="1">
        <v>6955</v>
      </c>
      <c r="J140" s="1">
        <v>0</v>
      </c>
      <c r="K140" s="38">
        <v>7039</v>
      </c>
      <c r="L140" s="38">
        <v>7064</v>
      </c>
      <c r="M140" s="1">
        <v>7388</v>
      </c>
      <c r="N140" s="1">
        <v>0</v>
      </c>
      <c r="O140" s="97">
        <v>9272</v>
      </c>
      <c r="P140" s="1">
        <v>9447</v>
      </c>
      <c r="Q140" s="1">
        <v>11237</v>
      </c>
      <c r="R140" s="1"/>
      <c r="T140" s="97">
        <v>0</v>
      </c>
      <c r="U140" s="97">
        <v>5944</v>
      </c>
      <c r="V140" s="97">
        <v>7014</v>
      </c>
      <c r="W140" s="97">
        <v>8821</v>
      </c>
      <c r="X140" s="97"/>
      <c r="Y140" s="97">
        <v>12902</v>
      </c>
      <c r="Z140" s="24" t="e">
        <f>((W140/T140)^(1/(2024-2021)))-1</f>
        <v>#DIV/0!</v>
      </c>
    </row>
    <row r="141" spans="2:26" ht="14.25" x14ac:dyDescent="0.35">
      <c r="B141" s="2" t="s">
        <v>47</v>
      </c>
      <c r="C141" s="45">
        <f>294+56217</f>
        <v>56511</v>
      </c>
      <c r="D141" s="45">
        <f>379+79096</f>
        <v>79475</v>
      </c>
      <c r="E141" s="45">
        <f>540+96417</f>
        <v>96957</v>
      </c>
      <c r="F141" s="15">
        <v>0</v>
      </c>
      <c r="G141" s="15">
        <v>92617</v>
      </c>
      <c r="H141" s="15">
        <v>91954</v>
      </c>
      <c r="I141" s="48">
        <v>96051</v>
      </c>
      <c r="J141" s="3">
        <v>0</v>
      </c>
      <c r="K141" s="15">
        <v>88041</v>
      </c>
      <c r="L141" s="15">
        <v>49787</v>
      </c>
      <c r="M141" s="3">
        <v>48933</v>
      </c>
      <c r="N141" s="3">
        <v>0</v>
      </c>
      <c r="O141" s="3">
        <v>47935</v>
      </c>
      <c r="P141" s="3">
        <v>47271</v>
      </c>
      <c r="Q141" s="3">
        <v>40961</v>
      </c>
      <c r="R141" s="3"/>
      <c r="T141" s="15">
        <v>58439</v>
      </c>
      <c r="U141" s="15">
        <v>93794</v>
      </c>
      <c r="V141" s="15">
        <v>85113</v>
      </c>
      <c r="W141" s="3">
        <v>48902</v>
      </c>
      <c r="X141" s="3"/>
      <c r="Y141" s="3">
        <v>37956</v>
      </c>
    </row>
    <row r="142" spans="2:26" ht="12" x14ac:dyDescent="0.2">
      <c r="B142" s="4" t="s">
        <v>319</v>
      </c>
      <c r="C142" s="5">
        <f>SUM(C135:C141)</f>
        <v>765635</v>
      </c>
      <c r="D142" s="5">
        <f>SUM(D135:D141)</f>
        <v>800117</v>
      </c>
      <c r="E142" s="5">
        <f t="shared" ref="E142" si="126">SUM(E135:E141)</f>
        <v>908164</v>
      </c>
      <c r="F142" s="5">
        <f t="shared" ref="F142:M142" si="127">SUM(F135:F141)</f>
        <v>0</v>
      </c>
      <c r="G142" s="5">
        <f t="shared" si="127"/>
        <v>792187</v>
      </c>
      <c r="H142" s="5">
        <f t="shared" si="127"/>
        <v>614065</v>
      </c>
      <c r="I142" s="5">
        <f t="shared" si="127"/>
        <v>618223</v>
      </c>
      <c r="J142" s="5">
        <f t="shared" si="127"/>
        <v>0</v>
      </c>
      <c r="K142" s="5">
        <f t="shared" si="127"/>
        <v>570406</v>
      </c>
      <c r="L142" s="5">
        <f t="shared" si="127"/>
        <v>534547</v>
      </c>
      <c r="M142" s="5">
        <f t="shared" si="127"/>
        <v>544150</v>
      </c>
      <c r="N142" s="5">
        <f t="shared" ref="N142" si="128">SUM(N135:N141)</f>
        <v>0</v>
      </c>
      <c r="O142" s="5">
        <f>SUM(O135:O141)</f>
        <v>486866</v>
      </c>
      <c r="P142" s="5">
        <f>SUM(P135:P141)</f>
        <v>472103</v>
      </c>
      <c r="Q142" s="5">
        <f>SUM(Q135:Q141)</f>
        <v>460700</v>
      </c>
      <c r="R142" s="5"/>
      <c r="T142" s="5">
        <f>SUM(T135:T141)</f>
        <v>590682</v>
      </c>
      <c r="U142" s="5">
        <f t="shared" ref="U142" si="129">SUM(U135:U141)</f>
        <v>789995</v>
      </c>
      <c r="V142" s="5">
        <f t="shared" ref="V142" si="130">SUM(V135:V141)</f>
        <v>548943</v>
      </c>
      <c r="W142" s="5">
        <f>SUM(W135:W141)</f>
        <v>474826</v>
      </c>
      <c r="X142" s="5"/>
      <c r="Y142" s="5">
        <f>SUM(Y135:Y141)</f>
        <v>358011</v>
      </c>
    </row>
    <row r="143" spans="2:26" ht="12" x14ac:dyDescent="0.2">
      <c r="B143" s="2" t="s">
        <v>41</v>
      </c>
      <c r="C143" s="38">
        <v>72739</v>
      </c>
      <c r="D143" s="38">
        <v>85968</v>
      </c>
      <c r="E143" s="38">
        <v>68804</v>
      </c>
      <c r="F143" s="38">
        <v>0</v>
      </c>
      <c r="G143" s="38">
        <v>102491</v>
      </c>
      <c r="H143" s="38">
        <v>272847</v>
      </c>
      <c r="I143" s="1">
        <v>263315</v>
      </c>
      <c r="J143" s="1">
        <v>0</v>
      </c>
      <c r="K143" s="38">
        <v>60638</v>
      </c>
      <c r="L143" s="38">
        <v>61418</v>
      </c>
      <c r="M143" s="1">
        <v>64965</v>
      </c>
      <c r="N143" s="1">
        <v>0</v>
      </c>
      <c r="O143" s="1">
        <v>36427</v>
      </c>
      <c r="P143" s="1">
        <v>35145</v>
      </c>
      <c r="Q143" s="1">
        <v>2000</v>
      </c>
      <c r="R143" s="1"/>
      <c r="T143" s="69">
        <v>107481</v>
      </c>
      <c r="U143" s="69">
        <v>122913</v>
      </c>
      <c r="V143" s="69">
        <v>82276</v>
      </c>
      <c r="W143" s="68">
        <v>18450</v>
      </c>
      <c r="X143" s="68"/>
      <c r="Y143" s="68">
        <v>417</v>
      </c>
    </row>
    <row r="144" spans="2:26" ht="12" x14ac:dyDescent="0.2">
      <c r="B144" s="99" t="s">
        <v>42</v>
      </c>
      <c r="C144" s="97">
        <v>125062</v>
      </c>
      <c r="D144" s="97">
        <v>56033</v>
      </c>
      <c r="E144" s="97">
        <v>29860</v>
      </c>
      <c r="F144" s="97">
        <v>0</v>
      </c>
      <c r="G144" s="97">
        <v>7804</v>
      </c>
      <c r="H144" s="97">
        <v>9104</v>
      </c>
      <c r="I144" s="97">
        <v>8067</v>
      </c>
      <c r="J144" s="97">
        <v>0</v>
      </c>
      <c r="K144" s="97">
        <v>13006</v>
      </c>
      <c r="L144" s="97">
        <v>2162</v>
      </c>
      <c r="M144" s="97">
        <v>1623</v>
      </c>
      <c r="N144" s="97">
        <v>0</v>
      </c>
      <c r="O144" s="97">
        <v>5052</v>
      </c>
      <c r="P144" s="97">
        <v>4584</v>
      </c>
      <c r="Q144" s="97">
        <v>3650</v>
      </c>
      <c r="R144" s="1"/>
      <c r="T144" s="38">
        <v>2448</v>
      </c>
      <c r="U144" s="38">
        <v>11593</v>
      </c>
      <c r="V144" s="38">
        <v>14744</v>
      </c>
      <c r="W144" s="1">
        <v>6315</v>
      </c>
      <c r="X144" s="1"/>
      <c r="Y144" s="1">
        <v>6709</v>
      </c>
    </row>
    <row r="145" spans="1:26" ht="12" x14ac:dyDescent="0.2">
      <c r="B145" s="2" t="s">
        <v>48</v>
      </c>
      <c r="C145" s="38">
        <v>1139</v>
      </c>
      <c r="D145" s="38">
        <v>1328</v>
      </c>
      <c r="E145" s="38">
        <v>5775</v>
      </c>
      <c r="F145" s="38">
        <v>0</v>
      </c>
      <c r="G145" s="38">
        <v>909</v>
      </c>
      <c r="H145" s="38">
        <v>965</v>
      </c>
      <c r="I145" s="1">
        <v>1016</v>
      </c>
      <c r="J145" s="1">
        <v>0</v>
      </c>
      <c r="K145" s="38">
        <v>3207</v>
      </c>
      <c r="L145" s="38">
        <v>3771</v>
      </c>
      <c r="M145" s="1">
        <v>6165</v>
      </c>
      <c r="N145" s="1">
        <v>0</v>
      </c>
      <c r="O145" s="1">
        <v>8841</v>
      </c>
      <c r="P145" s="1">
        <v>7633</v>
      </c>
      <c r="Q145" s="1">
        <v>6528</v>
      </c>
      <c r="R145" s="1"/>
      <c r="T145" s="38">
        <v>708</v>
      </c>
      <c r="U145" s="38">
        <v>718</v>
      </c>
      <c r="V145" s="38">
        <v>987</v>
      </c>
      <c r="W145" s="1">
        <v>6802</v>
      </c>
      <c r="X145" s="1"/>
      <c r="Y145" s="1">
        <v>9196</v>
      </c>
    </row>
    <row r="146" spans="1:26" ht="12" x14ac:dyDescent="0.2">
      <c r="B146" s="2" t="s">
        <v>44</v>
      </c>
      <c r="C146" s="38">
        <v>8280</v>
      </c>
      <c r="D146" s="38">
        <v>5018</v>
      </c>
      <c r="E146" s="38">
        <v>6653</v>
      </c>
      <c r="F146" s="38">
        <v>0</v>
      </c>
      <c r="G146" s="38">
        <v>8536</v>
      </c>
      <c r="H146" s="38">
        <v>8310</v>
      </c>
      <c r="I146" s="1">
        <v>8031</v>
      </c>
      <c r="J146" s="1">
        <v>0</v>
      </c>
      <c r="K146" s="38">
        <v>12055</v>
      </c>
      <c r="L146" s="38">
        <v>10994</v>
      </c>
      <c r="M146" s="1">
        <v>12808</v>
      </c>
      <c r="N146" s="1">
        <v>0</v>
      </c>
      <c r="O146" s="1">
        <v>8704</v>
      </c>
      <c r="P146" s="1">
        <v>7177</v>
      </c>
      <c r="Q146" s="1">
        <v>4959</v>
      </c>
      <c r="R146" s="1"/>
      <c r="T146" s="38">
        <v>4625</v>
      </c>
      <c r="U146" s="38">
        <v>7781</v>
      </c>
      <c r="V146" s="38">
        <v>10347</v>
      </c>
      <c r="W146" s="1">
        <v>10050</v>
      </c>
      <c r="X146" s="1"/>
      <c r="Y146" s="1">
        <v>6015</v>
      </c>
    </row>
    <row r="147" spans="1:26" ht="12" x14ac:dyDescent="0.2">
      <c r="B147" s="2" t="s">
        <v>45</v>
      </c>
      <c r="C147" s="38">
        <v>18519</v>
      </c>
      <c r="D147" s="38">
        <v>25639</v>
      </c>
      <c r="E147" s="38">
        <v>28491</v>
      </c>
      <c r="F147" s="38">
        <v>0</v>
      </c>
      <c r="G147" s="38">
        <v>24950</v>
      </c>
      <c r="H147" s="38">
        <v>23329</v>
      </c>
      <c r="I147" s="1">
        <v>26344</v>
      </c>
      <c r="J147" s="1">
        <v>0</v>
      </c>
      <c r="K147" s="38">
        <v>30843</v>
      </c>
      <c r="L147" s="38">
        <v>27311</v>
      </c>
      <c r="M147" s="1">
        <v>33907</v>
      </c>
      <c r="N147" s="1">
        <v>0</v>
      </c>
      <c r="O147" s="1">
        <v>36235</v>
      </c>
      <c r="P147" s="1">
        <v>32940</v>
      </c>
      <c r="Q147" s="1">
        <v>26354</v>
      </c>
      <c r="R147" s="1"/>
      <c r="T147" s="38">
        <v>15128</v>
      </c>
      <c r="U147" s="38">
        <v>21544</v>
      </c>
      <c r="V147" s="38">
        <v>23629</v>
      </c>
      <c r="W147" s="1">
        <v>30089</v>
      </c>
      <c r="X147" s="1"/>
      <c r="Y147" s="1">
        <v>25927</v>
      </c>
    </row>
    <row r="148" spans="1:26" ht="12" x14ac:dyDescent="0.2">
      <c r="B148" s="2" t="s">
        <v>49</v>
      </c>
      <c r="C148" s="38">
        <v>157202</v>
      </c>
      <c r="D148" s="38">
        <v>167872</v>
      </c>
      <c r="E148" s="38">
        <v>170928</v>
      </c>
      <c r="F148" s="38">
        <v>0</v>
      </c>
      <c r="G148" s="38">
        <v>172161</v>
      </c>
      <c r="H148" s="38">
        <v>187933</v>
      </c>
      <c r="I148" s="1">
        <v>183381</v>
      </c>
      <c r="J148" s="1">
        <v>0</v>
      </c>
      <c r="K148" s="38">
        <v>214722</v>
      </c>
      <c r="L148" s="38">
        <v>218686</v>
      </c>
      <c r="M148" s="1">
        <v>232001</v>
      </c>
      <c r="N148" s="1">
        <v>0</v>
      </c>
      <c r="O148" s="1">
        <v>186838</v>
      </c>
      <c r="P148" s="1">
        <v>180255</v>
      </c>
      <c r="Q148" s="2">
        <v>92060</v>
      </c>
      <c r="R148" s="1"/>
      <c r="T148" s="38">
        <v>110789</v>
      </c>
      <c r="U148" s="38">
        <v>224141</v>
      </c>
      <c r="V148" s="38">
        <v>230361</v>
      </c>
      <c r="W148" s="1">
        <v>235193</v>
      </c>
      <c r="X148" s="1"/>
      <c r="Y148" s="1">
        <v>119462</v>
      </c>
    </row>
    <row r="149" spans="1:26" ht="12" x14ac:dyDescent="0.2">
      <c r="B149" s="99" t="s">
        <v>46</v>
      </c>
      <c r="C149" s="38">
        <v>24350</v>
      </c>
      <c r="D149" s="38">
        <v>19769</v>
      </c>
      <c r="E149" s="38">
        <v>24856</v>
      </c>
      <c r="F149" s="38">
        <v>0</v>
      </c>
      <c r="G149" s="38">
        <v>3043</v>
      </c>
      <c r="H149" s="38">
        <v>3153</v>
      </c>
      <c r="I149" s="1">
        <v>3029</v>
      </c>
      <c r="J149" s="1">
        <v>0</v>
      </c>
      <c r="K149" s="38">
        <v>2067</v>
      </c>
      <c r="L149" s="38">
        <v>9283</v>
      </c>
      <c r="M149" s="1">
        <v>21303</v>
      </c>
      <c r="N149" s="1">
        <v>0</v>
      </c>
      <c r="O149" s="97">
        <v>25298</v>
      </c>
      <c r="P149" s="1">
        <v>26780</v>
      </c>
      <c r="Q149" s="1">
        <v>14331</v>
      </c>
      <c r="R149" s="1"/>
      <c r="T149" s="97">
        <v>19626</v>
      </c>
      <c r="U149" s="97">
        <v>3698</v>
      </c>
      <c r="V149" s="97">
        <v>8670</v>
      </c>
      <c r="W149" s="97">
        <v>19006</v>
      </c>
      <c r="X149" s="97"/>
      <c r="Y149" s="97">
        <v>8732</v>
      </c>
    </row>
    <row r="150" spans="1:26" ht="12" x14ac:dyDescent="0.2">
      <c r="B150" s="2" t="s">
        <v>50</v>
      </c>
      <c r="C150" s="38">
        <v>1350</v>
      </c>
      <c r="D150" s="38">
        <v>1264</v>
      </c>
      <c r="E150" s="38">
        <v>1987</v>
      </c>
      <c r="F150" s="38">
        <v>0</v>
      </c>
      <c r="G150" s="38">
        <v>176</v>
      </c>
      <c r="H150" s="38">
        <v>296</v>
      </c>
      <c r="I150" s="1">
        <v>4198</v>
      </c>
      <c r="J150" s="1">
        <v>0</v>
      </c>
      <c r="K150" s="38">
        <v>4912</v>
      </c>
      <c r="L150" s="38">
        <v>133</v>
      </c>
      <c r="M150" s="1">
        <v>134</v>
      </c>
      <c r="N150" s="1">
        <v>0</v>
      </c>
      <c r="O150" s="1">
        <v>19</v>
      </c>
      <c r="P150" s="1">
        <v>6</v>
      </c>
      <c r="Q150" s="2">
        <v>0</v>
      </c>
      <c r="R150" s="1"/>
      <c r="T150" s="38">
        <v>1991</v>
      </c>
      <c r="U150" s="38">
        <v>989</v>
      </c>
      <c r="V150" s="38">
        <v>5380</v>
      </c>
      <c r="W150" s="1">
        <v>23</v>
      </c>
      <c r="X150" s="1"/>
      <c r="Y150" s="1">
        <v>15</v>
      </c>
    </row>
    <row r="151" spans="1:26" ht="12" x14ac:dyDescent="0.2">
      <c r="B151" s="2" t="s">
        <v>110</v>
      </c>
      <c r="C151" s="38">
        <v>16199</v>
      </c>
      <c r="D151" s="38">
        <v>21357</v>
      </c>
      <c r="E151" s="38">
        <v>31990</v>
      </c>
      <c r="F151" s="38"/>
      <c r="G151" s="38"/>
      <c r="H151" s="38"/>
      <c r="I151" s="1"/>
      <c r="J151" s="1"/>
      <c r="K151" s="38"/>
      <c r="L151" s="38">
        <v>54103</v>
      </c>
      <c r="M151" s="1">
        <v>67403</v>
      </c>
      <c r="N151" s="1"/>
      <c r="O151" s="1"/>
      <c r="P151" s="1"/>
      <c r="Q151" s="1">
        <v>0</v>
      </c>
      <c r="R151" s="1"/>
      <c r="U151" s="38"/>
      <c r="V151" s="38"/>
      <c r="W151" s="1"/>
      <c r="X151" s="1"/>
      <c r="Y151" s="1"/>
    </row>
    <row r="152" spans="1:26" ht="14.25" x14ac:dyDescent="0.35">
      <c r="B152" s="2" t="s">
        <v>51</v>
      </c>
      <c r="C152" s="15">
        <v>56778</v>
      </c>
      <c r="D152" s="15">
        <v>54840</v>
      </c>
      <c r="E152" s="15">
        <v>54638</v>
      </c>
      <c r="F152" s="15">
        <v>0</v>
      </c>
      <c r="G152" s="15">
        <v>70885</v>
      </c>
      <c r="H152" s="15">
        <v>76560</v>
      </c>
      <c r="I152" s="3">
        <v>77888</v>
      </c>
      <c r="J152" s="3">
        <v>0</v>
      </c>
      <c r="K152" s="15">
        <v>64764</v>
      </c>
      <c r="L152" s="15">
        <v>65264</v>
      </c>
      <c r="M152" s="3">
        <v>45573</v>
      </c>
      <c r="N152" s="3">
        <v>0</v>
      </c>
      <c r="O152" s="3">
        <v>96840</v>
      </c>
      <c r="P152" s="3">
        <v>101858</v>
      </c>
      <c r="Q152" s="3">
        <v>62011</v>
      </c>
      <c r="R152" s="3"/>
      <c r="T152" s="15">
        <v>34051</v>
      </c>
      <c r="U152" s="15">
        <v>79643</v>
      </c>
      <c r="V152" s="15">
        <v>75765</v>
      </c>
      <c r="W152" s="3">
        <v>100591</v>
      </c>
      <c r="X152" s="3"/>
      <c r="Y152" s="3">
        <v>65251</v>
      </c>
    </row>
    <row r="153" spans="1:26" ht="12" x14ac:dyDescent="0.2">
      <c r="B153" s="4" t="s">
        <v>52</v>
      </c>
      <c r="C153" s="19">
        <f t="shared" ref="C153:M153" si="131">SUM(C143:C152)</f>
        <v>481618</v>
      </c>
      <c r="D153" s="39">
        <f t="shared" si="131"/>
        <v>439088</v>
      </c>
      <c r="E153" s="39">
        <f t="shared" si="131"/>
        <v>423982</v>
      </c>
      <c r="F153" s="39">
        <f t="shared" si="131"/>
        <v>0</v>
      </c>
      <c r="G153" s="39">
        <f t="shared" si="131"/>
        <v>390955</v>
      </c>
      <c r="H153" s="39">
        <f t="shared" si="131"/>
        <v>582497</v>
      </c>
      <c r="I153" s="19">
        <f t="shared" si="131"/>
        <v>575269</v>
      </c>
      <c r="J153" s="19">
        <f t="shared" si="131"/>
        <v>0</v>
      </c>
      <c r="K153" s="39">
        <f t="shared" si="131"/>
        <v>406214</v>
      </c>
      <c r="L153" s="39">
        <f t="shared" si="131"/>
        <v>453125</v>
      </c>
      <c r="M153" s="19">
        <f t="shared" si="131"/>
        <v>485882</v>
      </c>
      <c r="N153" s="19">
        <f t="shared" ref="N153" si="132">SUM(N143:N152)</f>
        <v>0</v>
      </c>
      <c r="O153" s="19">
        <f>SUM(O143:O152)</f>
        <v>404254</v>
      </c>
      <c r="P153" s="19">
        <f>SUM(P143:P152)</f>
        <v>396378</v>
      </c>
      <c r="Q153" s="19">
        <f>SUM(Q143:Q152)</f>
        <v>211893</v>
      </c>
      <c r="R153" s="19"/>
      <c r="T153" s="39">
        <f>SUM(T143:T152)</f>
        <v>296847</v>
      </c>
      <c r="U153" s="39">
        <f t="shared" ref="U153" si="133">SUM(U143:U152)</f>
        <v>473020</v>
      </c>
      <c r="V153" s="39">
        <f t="shared" ref="V153" si="134">SUM(V143:V152)</f>
        <v>452159</v>
      </c>
      <c r="W153" s="19">
        <f>SUM(W143:W152)</f>
        <v>426519</v>
      </c>
      <c r="X153" s="19"/>
      <c r="Y153" s="19">
        <f>SUM(Y143:Y152)</f>
        <v>241724</v>
      </c>
    </row>
    <row r="154" spans="1:26" ht="12" x14ac:dyDescent="0.2">
      <c r="B154" s="4" t="s">
        <v>53</v>
      </c>
      <c r="C154" s="5">
        <f t="shared" ref="C154:M154" si="135">C153+C142</f>
        <v>1247253</v>
      </c>
      <c r="D154" s="5">
        <f t="shared" si="135"/>
        <v>1239205</v>
      </c>
      <c r="E154" s="5">
        <f t="shared" si="135"/>
        <v>1332146</v>
      </c>
      <c r="F154" s="5">
        <f t="shared" si="135"/>
        <v>0</v>
      </c>
      <c r="G154" s="5">
        <f t="shared" si="135"/>
        <v>1183142</v>
      </c>
      <c r="H154" s="5">
        <f t="shared" si="135"/>
        <v>1196562</v>
      </c>
      <c r="I154" s="5">
        <f t="shared" si="135"/>
        <v>1193492</v>
      </c>
      <c r="J154" s="5">
        <f t="shared" si="135"/>
        <v>0</v>
      </c>
      <c r="K154" s="5">
        <f t="shared" si="135"/>
        <v>976620</v>
      </c>
      <c r="L154" s="5">
        <f t="shared" si="135"/>
        <v>987672</v>
      </c>
      <c r="M154" s="5">
        <f t="shared" si="135"/>
        <v>1030032</v>
      </c>
      <c r="N154" s="5">
        <f t="shared" ref="N154" si="136">N153+N142</f>
        <v>0</v>
      </c>
      <c r="O154" s="5">
        <f>O153+O142</f>
        <v>891120</v>
      </c>
      <c r="P154" s="5">
        <f>P153+P142</f>
        <v>868481</v>
      </c>
      <c r="Q154" s="5">
        <f>Q153+Q142</f>
        <v>672593</v>
      </c>
      <c r="R154" s="5"/>
      <c r="T154" s="5">
        <f>T153+T142</f>
        <v>887529</v>
      </c>
      <c r="U154" s="5">
        <f t="shared" ref="U154" si="137">U153+U142</f>
        <v>1263015</v>
      </c>
      <c r="V154" s="5">
        <f t="shared" ref="V154" si="138">V153+V142</f>
        <v>1001102</v>
      </c>
      <c r="W154" s="5">
        <f>W153+W142</f>
        <v>901345</v>
      </c>
      <c r="X154" s="5"/>
      <c r="Y154" s="5">
        <f>Y153+Y142</f>
        <v>599735</v>
      </c>
    </row>
    <row r="155" spans="1:26" ht="7.5" customHeight="1" x14ac:dyDescent="0.2">
      <c r="B155" s="12" t="s">
        <v>54</v>
      </c>
      <c r="C155" s="5">
        <f t="shared" ref="C155:Q155" si="139">C127-C134-C154</f>
        <v>0</v>
      </c>
      <c r="D155" s="5">
        <f t="shared" si="139"/>
        <v>0</v>
      </c>
      <c r="E155" s="5">
        <f t="shared" si="139"/>
        <v>0</v>
      </c>
      <c r="F155" s="5">
        <f t="shared" si="139"/>
        <v>0</v>
      </c>
      <c r="G155" s="5">
        <f t="shared" si="139"/>
        <v>0</v>
      </c>
      <c r="H155" s="5">
        <f t="shared" si="139"/>
        <v>1</v>
      </c>
      <c r="I155" s="5">
        <f t="shared" si="139"/>
        <v>0</v>
      </c>
      <c r="J155" s="5">
        <f t="shared" si="139"/>
        <v>0</v>
      </c>
      <c r="K155" s="5">
        <f t="shared" si="139"/>
        <v>0</v>
      </c>
      <c r="L155" s="5">
        <f t="shared" si="139"/>
        <v>0</v>
      </c>
      <c r="M155" s="5">
        <f t="shared" si="139"/>
        <v>0</v>
      </c>
      <c r="N155" s="5">
        <f t="shared" si="139"/>
        <v>0</v>
      </c>
      <c r="O155" s="5">
        <f>O127-O134-O154</f>
        <v>-1</v>
      </c>
      <c r="P155" s="5">
        <f t="shared" si="139"/>
        <v>-2</v>
      </c>
      <c r="Q155" s="5">
        <f t="shared" si="139"/>
        <v>-2</v>
      </c>
      <c r="R155" s="5"/>
      <c r="T155" s="5">
        <f>T127-T134-T154</f>
        <v>0</v>
      </c>
      <c r="U155" s="5">
        <f>U127-U134-U154</f>
        <v>1</v>
      </c>
      <c r="V155" s="5">
        <f>V127-V134-V154</f>
        <v>-1</v>
      </c>
      <c r="W155" s="5">
        <f>W127-W134-W154</f>
        <v>-2</v>
      </c>
      <c r="X155" s="5"/>
      <c r="Y155" s="5">
        <f>Y127-Y134-Y154</f>
        <v>2</v>
      </c>
    </row>
    <row r="156" spans="1:26" ht="7.5" customHeight="1" x14ac:dyDescent="0.2">
      <c r="B156" s="12"/>
      <c r="C156" s="5"/>
      <c r="D156" s="5"/>
      <c r="E156" s="5"/>
      <c r="F156" s="5"/>
      <c r="G156" s="5"/>
      <c r="H156" s="5"/>
      <c r="I156" s="5"/>
      <c r="J156" s="5"/>
      <c r="K156" s="5"/>
      <c r="L156" s="5"/>
      <c r="M156" s="5"/>
      <c r="N156" s="5"/>
      <c r="O156" s="5"/>
      <c r="P156" s="5"/>
      <c r="Q156" s="5"/>
      <c r="R156" s="5"/>
      <c r="T156" s="5"/>
      <c r="U156" s="5"/>
      <c r="V156" s="5"/>
      <c r="W156" s="5"/>
      <c r="X156" s="5"/>
      <c r="Y156" s="5"/>
    </row>
    <row r="157" spans="1:26" x14ac:dyDescent="0.25">
      <c r="B157" s="2" t="s">
        <v>271</v>
      </c>
      <c r="F157" s="47"/>
      <c r="G157" s="47"/>
      <c r="K157" s="47"/>
      <c r="M157" s="89">
        <f>(M135+M144)/M132</f>
        <v>0.33256313198865767</v>
      </c>
      <c r="O157" s="89">
        <f>(O135+O144)/O132</f>
        <v>0.24003958222102145</v>
      </c>
      <c r="P157" s="89">
        <f>(P135+P144)/P132</f>
        <v>0.23264219711749315</v>
      </c>
      <c r="Q157" s="89">
        <f>(Q135+Q144)/Q132</f>
        <v>0.2520591953498677</v>
      </c>
      <c r="R157" s="89"/>
      <c r="T157" s="89">
        <f>(T135+T136+T144+T143)/T132</f>
        <v>0.65243193400732147</v>
      </c>
      <c r="U157" s="89">
        <f>(U135+U136+U144+U143)/U132</f>
        <v>0.7357210782494088</v>
      </c>
      <c r="V157" s="89">
        <f>(V135+V136+V144+V143)/V132</f>
        <v>0.48179960498247631</v>
      </c>
      <c r="W157" s="89">
        <f>(W135+W136+W144+W143)/W132</f>
        <v>0.369672183937657</v>
      </c>
      <c r="X157" s="89"/>
      <c r="Y157" s="89">
        <f>(Y135+Y136+Y144+Y143)/Y132</f>
        <v>0.24523536095195045</v>
      </c>
    </row>
    <row r="158" spans="1:26" ht="12" x14ac:dyDescent="0.2">
      <c r="B158" s="100" t="s">
        <v>306</v>
      </c>
      <c r="C158" s="101"/>
      <c r="D158" s="101"/>
      <c r="E158" s="101"/>
      <c r="F158" s="101"/>
      <c r="G158" s="101"/>
      <c r="H158" s="101"/>
      <c r="I158" s="101"/>
      <c r="J158" s="101"/>
      <c r="K158" s="101"/>
      <c r="L158" s="101"/>
      <c r="M158" s="101"/>
      <c r="N158" s="101"/>
      <c r="O158" s="101"/>
      <c r="P158" s="101"/>
      <c r="Q158" s="101"/>
      <c r="R158" s="101"/>
      <c r="S158" s="102"/>
      <c r="T158" s="101"/>
      <c r="U158" s="101"/>
      <c r="V158" s="101"/>
      <c r="W158" s="101"/>
      <c r="X158" s="101"/>
      <c r="Y158" s="101"/>
      <c r="Z158" s="102"/>
    </row>
    <row r="159" spans="1:26" ht="12" x14ac:dyDescent="0.2">
      <c r="A159" s="2" t="s">
        <v>55</v>
      </c>
      <c r="B159" s="13" t="s">
        <v>56</v>
      </c>
      <c r="C159" s="1">
        <v>-6382</v>
      </c>
      <c r="D159" s="1">
        <v>-25475</v>
      </c>
      <c r="E159" s="1">
        <v>-48570</v>
      </c>
      <c r="F159" s="1">
        <v>0</v>
      </c>
      <c r="G159" s="1">
        <v>-18385</v>
      </c>
      <c r="H159" s="1">
        <v>-24098</v>
      </c>
      <c r="I159" s="38">
        <v>-31356</v>
      </c>
      <c r="K159" s="1">
        <v>3444</v>
      </c>
      <c r="L159" s="38">
        <v>-14709</v>
      </c>
      <c r="M159" s="38">
        <v>-23277</v>
      </c>
      <c r="O159" s="1">
        <v>5873</v>
      </c>
      <c r="P159" s="1">
        <v>4713</v>
      </c>
      <c r="Q159" s="1">
        <v>-6450</v>
      </c>
      <c r="R159" s="1"/>
      <c r="T159" s="20">
        <v>-43457</v>
      </c>
      <c r="U159" s="20">
        <v>-28690</v>
      </c>
      <c r="V159" s="20">
        <v>-51799</v>
      </c>
      <c r="W159" s="20">
        <v>40039</v>
      </c>
      <c r="X159" s="20"/>
      <c r="Y159" s="20">
        <v>14471</v>
      </c>
    </row>
    <row r="160" spans="1:26" ht="12" x14ac:dyDescent="0.2">
      <c r="B160" s="2" t="s">
        <v>57</v>
      </c>
      <c r="C160" s="1">
        <v>4526</v>
      </c>
      <c r="D160" s="1">
        <v>11089</v>
      </c>
      <c r="E160" s="1">
        <v>18789</v>
      </c>
      <c r="F160" s="1">
        <v>0</v>
      </c>
      <c r="G160" s="1">
        <v>7687</v>
      </c>
      <c r="H160" s="1">
        <v>16614</v>
      </c>
      <c r="I160" s="38">
        <v>25293</v>
      </c>
      <c r="K160" s="1">
        <v>9869</v>
      </c>
      <c r="L160" s="38">
        <v>18953</v>
      </c>
      <c r="M160" s="38">
        <v>28836</v>
      </c>
      <c r="O160" s="1">
        <v>8152</v>
      </c>
      <c r="P160" s="1">
        <v>16339</v>
      </c>
      <c r="Q160" s="1">
        <v>24593</v>
      </c>
      <c r="R160" s="1"/>
      <c r="T160" s="20">
        <v>16905</v>
      </c>
      <c r="U160" s="20">
        <v>25005</v>
      </c>
      <c r="V160" s="20">
        <v>39190</v>
      </c>
      <c r="W160" s="20">
        <v>38982</v>
      </c>
      <c r="X160" s="20"/>
      <c r="Y160" s="20">
        <v>26245</v>
      </c>
    </row>
    <row r="161" spans="2:26" ht="12" x14ac:dyDescent="0.2">
      <c r="B161" s="2" t="s">
        <v>58</v>
      </c>
      <c r="C161" s="1">
        <v>0</v>
      </c>
      <c r="D161" s="1">
        <v>0</v>
      </c>
      <c r="E161" s="1">
        <v>0</v>
      </c>
      <c r="F161" s="1">
        <v>0</v>
      </c>
      <c r="G161" s="1">
        <v>0</v>
      </c>
      <c r="H161" s="1">
        <v>83</v>
      </c>
      <c r="I161" s="38">
        <v>933</v>
      </c>
      <c r="K161" s="1">
        <v>213</v>
      </c>
      <c r="L161" s="38">
        <v>-383</v>
      </c>
      <c r="M161" s="38">
        <v>2717</v>
      </c>
      <c r="O161" s="1">
        <v>0</v>
      </c>
      <c r="P161" s="1">
        <v>0</v>
      </c>
      <c r="Q161" s="1">
        <v>0</v>
      </c>
      <c r="R161" s="1"/>
      <c r="T161" s="20">
        <v>0</v>
      </c>
      <c r="U161" s="20">
        <v>0</v>
      </c>
      <c r="V161" s="20">
        <v>-1420</v>
      </c>
      <c r="W161" s="20">
        <v>2717</v>
      </c>
      <c r="X161" s="20"/>
      <c r="Y161" s="20">
        <v>-1125</v>
      </c>
    </row>
    <row r="162" spans="2:26" ht="12" x14ac:dyDescent="0.2">
      <c r="B162" s="2" t="s">
        <v>59</v>
      </c>
      <c r="C162" s="1">
        <v>19220</v>
      </c>
      <c r="D162" s="1">
        <v>46599</v>
      </c>
      <c r="E162" s="1">
        <v>75816</v>
      </c>
      <c r="F162" s="1">
        <v>0</v>
      </c>
      <c r="G162" s="1">
        <v>27856</v>
      </c>
      <c r="H162" s="1">
        <v>52096</v>
      </c>
      <c r="I162" s="38">
        <v>79408</v>
      </c>
      <c r="K162" s="1">
        <v>24972</v>
      </c>
      <c r="L162" s="38">
        <v>73796</v>
      </c>
      <c r="M162" s="38">
        <v>99900</v>
      </c>
      <c r="O162" s="1">
        <v>24896</v>
      </c>
      <c r="P162" s="1">
        <v>49314</v>
      </c>
      <c r="Q162" s="1">
        <v>90154</v>
      </c>
      <c r="R162" s="1"/>
      <c r="T162" s="20">
        <v>71808</v>
      </c>
      <c r="U162" s="20">
        <v>109233</v>
      </c>
      <c r="V162" s="20">
        <v>102997</v>
      </c>
      <c r="W162" s="20">
        <v>124864</v>
      </c>
      <c r="X162" s="20"/>
      <c r="Y162" s="20">
        <v>112960</v>
      </c>
    </row>
    <row r="163" spans="2:26" ht="12" x14ac:dyDescent="0.2">
      <c r="B163" s="2" t="s">
        <v>112</v>
      </c>
      <c r="C163" s="1"/>
      <c r="D163" s="1"/>
      <c r="E163" s="1"/>
      <c r="F163" s="1"/>
      <c r="G163" s="1"/>
      <c r="H163" s="1"/>
      <c r="I163" s="38">
        <v>0</v>
      </c>
      <c r="K163" s="1">
        <v>0</v>
      </c>
      <c r="L163" s="38"/>
      <c r="M163" s="38"/>
      <c r="O163" s="1"/>
      <c r="P163" s="1"/>
      <c r="Q163" s="1"/>
      <c r="R163" s="1"/>
      <c r="T163" s="20">
        <v>-705</v>
      </c>
      <c r="U163" s="20">
        <v>0</v>
      </c>
      <c r="V163" s="20">
        <v>-1091</v>
      </c>
      <c r="W163" s="20">
        <v>0</v>
      </c>
      <c r="X163" s="20"/>
      <c r="Y163" s="20">
        <v>0</v>
      </c>
    </row>
    <row r="164" spans="2:26" ht="12" x14ac:dyDescent="0.2">
      <c r="B164" s="2" t="s">
        <v>113</v>
      </c>
      <c r="C164" s="1"/>
      <c r="D164" s="1"/>
      <c r="E164" s="1"/>
      <c r="F164" s="1"/>
      <c r="G164" s="1"/>
      <c r="H164" s="1"/>
      <c r="I164" s="38">
        <v>0</v>
      </c>
      <c r="K164" s="1"/>
      <c r="L164" s="38"/>
      <c r="M164" s="38">
        <v>1346</v>
      </c>
      <c r="O164" s="1"/>
      <c r="P164" s="1"/>
      <c r="Q164" s="1"/>
      <c r="R164" s="1"/>
      <c r="T164" s="20">
        <v>-445</v>
      </c>
      <c r="U164" s="20">
        <v>0</v>
      </c>
      <c r="V164" s="20">
        <v>0</v>
      </c>
      <c r="W164" s="20">
        <v>1346</v>
      </c>
      <c r="X164" s="20"/>
      <c r="Y164" s="20">
        <v>649</v>
      </c>
    </row>
    <row r="165" spans="2:26" ht="12" x14ac:dyDescent="0.2">
      <c r="B165" s="2" t="s">
        <v>60</v>
      </c>
      <c r="C165" s="1">
        <v>337</v>
      </c>
      <c r="D165" s="1">
        <v>413</v>
      </c>
      <c r="E165" s="1">
        <v>392</v>
      </c>
      <c r="F165" s="1">
        <v>0</v>
      </c>
      <c r="G165" s="1">
        <v>136</v>
      </c>
      <c r="H165" s="1">
        <v>470</v>
      </c>
      <c r="I165" s="38">
        <v>481</v>
      </c>
      <c r="K165" s="1">
        <v>-57</v>
      </c>
      <c r="L165" s="38">
        <v>-53</v>
      </c>
      <c r="M165" s="38">
        <v>-68</v>
      </c>
      <c r="O165" s="1">
        <v>8</v>
      </c>
      <c r="P165" s="1">
        <v>467</v>
      </c>
      <c r="Q165" s="1">
        <v>601</v>
      </c>
      <c r="R165" s="1"/>
      <c r="T165" s="20">
        <v>259</v>
      </c>
      <c r="U165" s="20">
        <v>-8667</v>
      </c>
      <c r="V165" s="20">
        <v>447</v>
      </c>
      <c r="W165" s="20">
        <v>306</v>
      </c>
      <c r="X165" s="20"/>
      <c r="Y165" s="20">
        <v>-30</v>
      </c>
    </row>
    <row r="166" spans="2:26" ht="14.25" x14ac:dyDescent="0.35">
      <c r="B166" s="2" t="s">
        <v>61</v>
      </c>
      <c r="C166" s="3">
        <v>-511</v>
      </c>
      <c r="D166" s="3">
        <v>-12665</v>
      </c>
      <c r="E166" s="3">
        <v>-14848</v>
      </c>
      <c r="F166" s="3">
        <v>0</v>
      </c>
      <c r="G166" s="3">
        <v>-1245</v>
      </c>
      <c r="H166" s="3">
        <v>2672</v>
      </c>
      <c r="I166" s="45">
        <v>3437</v>
      </c>
      <c r="K166" s="3">
        <v>-3454</v>
      </c>
      <c r="L166" s="15">
        <v>-1312</v>
      </c>
      <c r="M166" s="45">
        <f>-103+5375</f>
        <v>5272</v>
      </c>
      <c r="O166" s="3">
        <v>5666</v>
      </c>
      <c r="P166" s="3">
        <v>27079</v>
      </c>
      <c r="Q166" s="3">
        <f>-30+33928</f>
        <v>33898</v>
      </c>
      <c r="R166" s="3"/>
      <c r="T166" s="21">
        <f>-3440+4231</f>
        <v>791</v>
      </c>
      <c r="U166" s="70">
        <f>-10203-16850+10107</f>
        <v>-16946</v>
      </c>
      <c r="V166" s="21">
        <v>12140</v>
      </c>
      <c r="W166" s="22">
        <f>-103-44633</f>
        <v>-44736</v>
      </c>
      <c r="X166" s="22"/>
      <c r="Y166" s="21">
        <v>34190</v>
      </c>
    </row>
    <row r="167" spans="2:26" ht="12" x14ac:dyDescent="0.2">
      <c r="B167" s="6" t="s">
        <v>62</v>
      </c>
      <c r="C167" s="5">
        <f>SUM(C159:C166)</f>
        <v>17190</v>
      </c>
      <c r="D167" s="5">
        <f>SUM(D159:D166)</f>
        <v>19961</v>
      </c>
      <c r="E167" s="5">
        <f t="shared" ref="E167" si="140">SUM(E159:E166)</f>
        <v>31579</v>
      </c>
      <c r="F167" s="5">
        <f>SUM(F159:F166)</f>
        <v>0</v>
      </c>
      <c r="G167" s="5">
        <f>SUM(G159:G166)</f>
        <v>16049</v>
      </c>
      <c r="H167" s="5">
        <f>SUM(H159:H166)</f>
        <v>47837</v>
      </c>
      <c r="I167" s="5">
        <f>SUM(I159:I166)</f>
        <v>78196</v>
      </c>
      <c r="K167" s="5">
        <f>SUM(K159:K166)</f>
        <v>34987</v>
      </c>
      <c r="L167" s="5">
        <f>SUM(L159:L166)</f>
        <v>76292</v>
      </c>
      <c r="M167" s="5">
        <f>SUM(M159:M166)</f>
        <v>114726</v>
      </c>
      <c r="O167" s="5">
        <f>SUM(O159:O166)</f>
        <v>44595</v>
      </c>
      <c r="P167" s="41">
        <f>SUM(P159:P166)</f>
        <v>97912</v>
      </c>
      <c r="Q167" s="41">
        <f>SUM(Q159:Q166)</f>
        <v>142796</v>
      </c>
      <c r="R167" s="41"/>
      <c r="T167" s="5">
        <f>SUM(T159:T166)</f>
        <v>45156</v>
      </c>
      <c r="U167" s="5">
        <f t="shared" ref="U167" si="141">SUM(U159:U166)</f>
        <v>79935</v>
      </c>
      <c r="V167" s="5">
        <f>SUM(V159:V166)</f>
        <v>100464</v>
      </c>
      <c r="W167" s="5">
        <f>SUM(W159:W166)</f>
        <v>163518</v>
      </c>
      <c r="X167" s="5"/>
      <c r="Y167" s="5">
        <f>SUM(Y159:Y166)</f>
        <v>187360</v>
      </c>
    </row>
    <row r="168" spans="2:26" ht="12" x14ac:dyDescent="0.2">
      <c r="B168" s="2" t="s">
        <v>27</v>
      </c>
      <c r="C168" s="1">
        <v>-34330</v>
      </c>
      <c r="D168" s="1">
        <v>-52648</v>
      </c>
      <c r="E168" s="1">
        <v>-58353</v>
      </c>
      <c r="F168" s="1">
        <v>0</v>
      </c>
      <c r="G168" s="1">
        <v>-14223</v>
      </c>
      <c r="H168" s="1">
        <v>-8562</v>
      </c>
      <c r="I168" s="38">
        <v>-19490</v>
      </c>
      <c r="J168" s="5"/>
      <c r="K168" s="1">
        <v>-11136</v>
      </c>
      <c r="L168" s="38">
        <v>-48661</v>
      </c>
      <c r="M168" s="38">
        <v>-42728</v>
      </c>
      <c r="O168" s="1">
        <v>-426</v>
      </c>
      <c r="P168" s="1">
        <v>5449</v>
      </c>
      <c r="Q168" s="1">
        <v>21536</v>
      </c>
      <c r="R168" s="1"/>
      <c r="T168" s="20">
        <v>-49444</v>
      </c>
      <c r="U168" s="20">
        <v>-39990</v>
      </c>
      <c r="V168" s="20">
        <v>-11163</v>
      </c>
      <c r="W168" s="20">
        <v>-51561</v>
      </c>
      <c r="X168" s="20"/>
      <c r="Y168" s="20">
        <v>40486</v>
      </c>
    </row>
    <row r="169" spans="2:26" ht="12" x14ac:dyDescent="0.2">
      <c r="B169" s="2" t="s">
        <v>63</v>
      </c>
      <c r="C169" s="1">
        <v>-37860</v>
      </c>
      <c r="D169" s="1">
        <v>-70093</v>
      </c>
      <c r="E169" s="1">
        <v>-90508</v>
      </c>
      <c r="F169" s="1">
        <v>0</v>
      </c>
      <c r="G169" s="1">
        <v>-24277</v>
      </c>
      <c r="H169" s="1">
        <v>-40532</v>
      </c>
      <c r="I169" s="2">
        <v>-16478</v>
      </c>
      <c r="K169" s="1">
        <v>-15275</v>
      </c>
      <c r="L169" s="38">
        <v>-16930</v>
      </c>
      <c r="M169" s="2">
        <v>-18185</v>
      </c>
      <c r="O169" s="1">
        <v>-15622</v>
      </c>
      <c r="P169" s="1">
        <v>-33987</v>
      </c>
      <c r="Q169" s="1">
        <v>-29570</v>
      </c>
      <c r="R169" s="1"/>
      <c r="T169" s="20">
        <v>-42677</v>
      </c>
      <c r="U169" s="20">
        <v>-25169</v>
      </c>
      <c r="V169" s="20">
        <v>17732</v>
      </c>
      <c r="W169" s="20">
        <v>4468</v>
      </c>
      <c r="X169" s="20"/>
      <c r="Y169" s="20">
        <v>-21316</v>
      </c>
    </row>
    <row r="170" spans="2:26" ht="12" x14ac:dyDescent="0.2">
      <c r="B170" s="2" t="s">
        <v>247</v>
      </c>
      <c r="C170" s="1">
        <v>18713</v>
      </c>
      <c r="D170" s="1">
        <v>53649</v>
      </c>
      <c r="E170" s="1">
        <v>47529</v>
      </c>
      <c r="F170" s="1">
        <v>0</v>
      </c>
      <c r="G170" s="1">
        <v>-53774</v>
      </c>
      <c r="H170" s="1">
        <v>-33216</v>
      </c>
      <c r="I170" s="38">
        <v>-33459</v>
      </c>
      <c r="K170" s="1">
        <v>-24993</v>
      </c>
      <c r="L170" s="38">
        <v>-11286</v>
      </c>
      <c r="M170" s="38">
        <v>-15332</v>
      </c>
      <c r="O170" s="1">
        <v>-32801</v>
      </c>
      <c r="P170" s="1">
        <v>-24598</v>
      </c>
      <c r="Q170" s="1">
        <v>-39712</v>
      </c>
      <c r="R170" s="1"/>
      <c r="T170" s="20">
        <v>22970</v>
      </c>
      <c r="U170" s="20">
        <v>110955</v>
      </c>
      <c r="V170" s="20">
        <v>17562</v>
      </c>
      <c r="W170" s="20">
        <v>8019</v>
      </c>
      <c r="X170" s="20"/>
      <c r="Y170" s="20">
        <v>-27321</v>
      </c>
    </row>
    <row r="171" spans="2:26" ht="14.25" x14ac:dyDescent="0.35">
      <c r="B171" s="2" t="s">
        <v>64</v>
      </c>
      <c r="C171" s="3">
        <v>-842</v>
      </c>
      <c r="D171" s="3">
        <v>-1507</v>
      </c>
      <c r="E171" s="3">
        <v>11182</v>
      </c>
      <c r="F171" s="3">
        <v>0</v>
      </c>
      <c r="G171" s="3">
        <v>-165</v>
      </c>
      <c r="H171" s="3">
        <v>-1549</v>
      </c>
      <c r="I171" s="15">
        <v>-1799</v>
      </c>
      <c r="K171" s="3">
        <v>1001</v>
      </c>
      <c r="L171" s="15">
        <v>3</v>
      </c>
      <c r="M171" s="15">
        <v>-471</v>
      </c>
      <c r="O171" s="3">
        <v>-587</v>
      </c>
      <c r="P171" s="3">
        <v>-1621</v>
      </c>
      <c r="Q171" s="3">
        <v>-1402</v>
      </c>
      <c r="R171" s="3"/>
      <c r="T171" s="21">
        <v>-654</v>
      </c>
      <c r="U171" s="21">
        <v>12353</v>
      </c>
      <c r="V171" s="21">
        <v>-1333</v>
      </c>
      <c r="W171" s="21">
        <v>-366</v>
      </c>
      <c r="X171" s="21"/>
      <c r="Y171" s="21">
        <v>-3682</v>
      </c>
    </row>
    <row r="172" spans="2:26" ht="12" x14ac:dyDescent="0.2">
      <c r="B172" s="6" t="s">
        <v>65</v>
      </c>
      <c r="C172" s="5">
        <f>SUM(C168:C171)</f>
        <v>-54319</v>
      </c>
      <c r="D172" s="5">
        <f>SUM(D168:D171)</f>
        <v>-70599</v>
      </c>
      <c r="E172" s="5">
        <f t="shared" ref="E172" si="142">SUM(E168:E171)</f>
        <v>-90150</v>
      </c>
      <c r="F172" s="5">
        <f>SUM(F168:F171)</f>
        <v>0</v>
      </c>
      <c r="G172" s="5">
        <f>SUM(G168:G171)</f>
        <v>-92439</v>
      </c>
      <c r="H172" s="5">
        <f>SUM(H168:H171)</f>
        <v>-83859</v>
      </c>
      <c r="I172" s="5">
        <f>SUM(I168:I171)</f>
        <v>-71226</v>
      </c>
      <c r="K172" s="5">
        <f>SUM(K168:K171)</f>
        <v>-50403</v>
      </c>
      <c r="L172" s="5">
        <f>SUM(L168:L171)</f>
        <v>-76874</v>
      </c>
      <c r="M172" s="5">
        <f>SUM(M168:M171)</f>
        <v>-76716</v>
      </c>
      <c r="O172" s="5">
        <f>SUM(O168:O171)</f>
        <v>-49436</v>
      </c>
      <c r="P172" s="5">
        <f>SUM(P168:P171)</f>
        <v>-54757</v>
      </c>
      <c r="Q172" s="5">
        <v>-49147</v>
      </c>
      <c r="R172" s="5"/>
      <c r="T172" s="5">
        <f>SUM(T168:T171)</f>
        <v>-69805</v>
      </c>
      <c r="U172" s="5">
        <f t="shared" ref="U172" si="143">SUM(U168:U171)</f>
        <v>58149</v>
      </c>
      <c r="V172" s="5">
        <f>SUM(V168:V171)</f>
        <v>22798</v>
      </c>
      <c r="W172" s="5">
        <f>SUM(W168:W171)</f>
        <v>-39440</v>
      </c>
      <c r="X172" s="5"/>
      <c r="Y172" s="5">
        <f>SUM(Y168:Y171)</f>
        <v>-11833</v>
      </c>
    </row>
    <row r="173" spans="2:26" ht="14.25" x14ac:dyDescent="0.35">
      <c r="B173" s="2" t="s">
        <v>66</v>
      </c>
      <c r="C173" s="1">
        <v>-310</v>
      </c>
      <c r="D173" s="1">
        <v>-1542</v>
      </c>
      <c r="E173" s="1">
        <v>-1876</v>
      </c>
      <c r="F173" s="1">
        <v>0</v>
      </c>
      <c r="G173" s="1">
        <v>-14</v>
      </c>
      <c r="H173" s="1">
        <v>-956</v>
      </c>
      <c r="I173" s="38">
        <v>403</v>
      </c>
      <c r="K173" s="1">
        <v>-409</v>
      </c>
      <c r="L173" s="38">
        <v>-3606</v>
      </c>
      <c r="M173" s="38">
        <v>-6286</v>
      </c>
      <c r="O173" s="1">
        <v>-563</v>
      </c>
      <c r="P173" s="1">
        <v>-4632</v>
      </c>
      <c r="Q173" s="1">
        <v>-6522</v>
      </c>
      <c r="R173" s="1"/>
      <c r="T173" s="21">
        <v>-3188</v>
      </c>
      <c r="U173" s="21">
        <v>-6688</v>
      </c>
      <c r="V173" s="21">
        <v>836</v>
      </c>
      <c r="W173" s="21">
        <v>-5939</v>
      </c>
      <c r="X173" s="21"/>
      <c r="Y173" s="21">
        <v>-8001</v>
      </c>
    </row>
    <row r="174" spans="2:26" s="13" customFormat="1" ht="12" x14ac:dyDescent="0.2">
      <c r="B174" s="4" t="s">
        <v>67</v>
      </c>
      <c r="C174" s="18">
        <f>C167+C172+C173</f>
        <v>-37439</v>
      </c>
      <c r="D174" s="18">
        <f>D167+D172+D173</f>
        <v>-52180</v>
      </c>
      <c r="E174" s="18">
        <f t="shared" ref="E174" si="144">E167+E172+E173</f>
        <v>-60447</v>
      </c>
      <c r="F174" s="18">
        <f>F167+F172+F173</f>
        <v>0</v>
      </c>
      <c r="G174" s="18">
        <f>G167+G172+G173</f>
        <v>-76404</v>
      </c>
      <c r="H174" s="18">
        <f>H167+H172+H173</f>
        <v>-36978</v>
      </c>
      <c r="I174" s="18">
        <f>I167+I172+I173</f>
        <v>7373</v>
      </c>
      <c r="K174" s="18">
        <f>K167+K172+K173</f>
        <v>-15825</v>
      </c>
      <c r="L174" s="18">
        <f>L167+L172+L173</f>
        <v>-4188</v>
      </c>
      <c r="M174" s="18">
        <f>M167+M172+M173</f>
        <v>31724</v>
      </c>
      <c r="O174" s="18">
        <f>O167+O172+O173</f>
        <v>-5404</v>
      </c>
      <c r="P174" s="18">
        <f>P167+P172+P173</f>
        <v>38523</v>
      </c>
      <c r="Q174" s="18">
        <f>Q167+Q172+Q173</f>
        <v>87127</v>
      </c>
      <c r="R174" s="18"/>
      <c r="T174" s="18">
        <f>T167+T172+T173</f>
        <v>-27837</v>
      </c>
      <c r="U174" s="18">
        <f t="shared" ref="U174" si="145">U167+U172+U173</f>
        <v>131396</v>
      </c>
      <c r="V174" s="18">
        <f>V167+V172+V173</f>
        <v>124098</v>
      </c>
      <c r="W174" s="18">
        <f>W167+W172+W173</f>
        <v>118139</v>
      </c>
      <c r="X174" s="18"/>
      <c r="Y174" s="18">
        <f>Y167+Y172+Y173</f>
        <v>167526</v>
      </c>
      <c r="Z174" s="24">
        <f>((W174/T174)^(1/(2024-2021)))-1</f>
        <v>-2.6190376703502167</v>
      </c>
    </row>
    <row r="175" spans="2:26" ht="12" x14ac:dyDescent="0.2">
      <c r="B175" s="2" t="s">
        <v>68</v>
      </c>
      <c r="C175" s="1">
        <v>-62471</v>
      </c>
      <c r="D175" s="1">
        <v>-62475</v>
      </c>
      <c r="E175" s="1">
        <v>-91990</v>
      </c>
      <c r="F175" s="1">
        <v>0</v>
      </c>
      <c r="G175" s="1">
        <v>-168</v>
      </c>
      <c r="H175" s="1">
        <v>-170</v>
      </c>
      <c r="I175" s="38">
        <v>-195</v>
      </c>
      <c r="K175" s="1">
        <v>-1481</v>
      </c>
      <c r="L175" s="38">
        <v>-2260</v>
      </c>
      <c r="M175" s="38">
        <v>-824</v>
      </c>
      <c r="O175" s="1">
        <v>-1500</v>
      </c>
      <c r="P175" s="1">
        <v>-1500</v>
      </c>
      <c r="Q175" s="1">
        <v>-29782</v>
      </c>
      <c r="R175" s="1"/>
      <c r="T175" s="20">
        <v>-4321</v>
      </c>
      <c r="U175" s="20">
        <v>-91135</v>
      </c>
      <c r="V175" s="20">
        <v>-190</v>
      </c>
      <c r="W175" s="20">
        <v>-1014</v>
      </c>
      <c r="X175" s="20"/>
      <c r="Y175" s="20">
        <v>-29782</v>
      </c>
    </row>
    <row r="176" spans="2:26" ht="12" x14ac:dyDescent="0.2">
      <c r="B176" s="2" t="s">
        <v>114</v>
      </c>
      <c r="C176" s="1">
        <v>-21757</v>
      </c>
      <c r="D176" s="1">
        <v>0</v>
      </c>
      <c r="E176" s="1">
        <v>1002</v>
      </c>
      <c r="F176" s="1">
        <v>0</v>
      </c>
      <c r="G176" s="1">
        <v>0</v>
      </c>
      <c r="H176" s="1">
        <v>0</v>
      </c>
      <c r="I176" s="38">
        <v>0</v>
      </c>
      <c r="K176" s="1">
        <v>1000</v>
      </c>
      <c r="L176" s="38">
        <v>1000</v>
      </c>
      <c r="M176" s="38">
        <v>1000</v>
      </c>
      <c r="O176" s="1">
        <v>0</v>
      </c>
      <c r="P176" s="1">
        <v>0</v>
      </c>
      <c r="Q176" s="1"/>
      <c r="R176" s="1"/>
      <c r="T176" s="20">
        <v>0</v>
      </c>
      <c r="U176" s="20">
        <v>8480</v>
      </c>
      <c r="V176" s="20">
        <v>0</v>
      </c>
      <c r="W176" s="20">
        <v>1000</v>
      </c>
      <c r="X176" s="20"/>
      <c r="Y176" s="20">
        <v>0</v>
      </c>
    </row>
    <row r="177" spans="2:26" ht="12" x14ac:dyDescent="0.2">
      <c r="B177" s="2" t="s">
        <v>69</v>
      </c>
      <c r="C177" s="1">
        <v>0</v>
      </c>
      <c r="D177" s="1">
        <v>0</v>
      </c>
      <c r="E177" s="1">
        <v>0</v>
      </c>
      <c r="F177" s="1">
        <v>0</v>
      </c>
      <c r="G177" s="1">
        <v>0</v>
      </c>
      <c r="H177" s="1"/>
      <c r="I177" s="38">
        <v>0</v>
      </c>
      <c r="K177" s="1">
        <v>0</v>
      </c>
      <c r="L177" s="38">
        <v>0</v>
      </c>
      <c r="M177" s="38"/>
      <c r="O177" s="1">
        <v>760</v>
      </c>
      <c r="P177" s="1">
        <v>760</v>
      </c>
      <c r="Q177" s="1">
        <v>-50667</v>
      </c>
      <c r="R177" s="1"/>
      <c r="T177" s="20">
        <v>0</v>
      </c>
      <c r="U177" s="20"/>
      <c r="V177" s="20">
        <v>0</v>
      </c>
      <c r="W177" s="20">
        <v>88140</v>
      </c>
      <c r="X177" s="20"/>
      <c r="Y177" s="20">
        <v>-50667</v>
      </c>
    </row>
    <row r="178" spans="2:26" ht="12" x14ac:dyDescent="0.2">
      <c r="B178" s="2" t="s">
        <v>70</v>
      </c>
      <c r="C178" s="1">
        <v>0</v>
      </c>
      <c r="D178" s="1">
        <v>-38835</v>
      </c>
      <c r="E178" s="1">
        <v>-59733</v>
      </c>
      <c r="F178" s="1">
        <v>0</v>
      </c>
      <c r="G178" s="1">
        <v>-17348</v>
      </c>
      <c r="H178" s="1">
        <v>-31843</v>
      </c>
      <c r="I178" s="38">
        <v>-46931</v>
      </c>
      <c r="K178" s="1">
        <v>-17707</v>
      </c>
      <c r="L178" s="38">
        <v>-38809</v>
      </c>
      <c r="M178" s="38">
        <v>-57255</v>
      </c>
      <c r="O178" s="1">
        <v>-21718</v>
      </c>
      <c r="P178" s="1">
        <v>-41089</v>
      </c>
      <c r="Q178" s="1">
        <v>-62250</v>
      </c>
      <c r="R178" s="1"/>
      <c r="T178" s="20">
        <v>-121370</v>
      </c>
      <c r="U178" s="20">
        <v>-85956</v>
      </c>
      <c r="V178" s="20">
        <v>-69415</v>
      </c>
      <c r="W178" s="20">
        <v>-87046</v>
      </c>
      <c r="X178" s="20"/>
      <c r="Y178" s="20">
        <v>-74773</v>
      </c>
    </row>
    <row r="179" spans="2:26" ht="12" x14ac:dyDescent="0.2">
      <c r="B179" s="2" t="s">
        <v>71</v>
      </c>
      <c r="C179" s="1">
        <v>23</v>
      </c>
      <c r="D179" s="1">
        <v>25</v>
      </c>
      <c r="E179" s="1">
        <v>81</v>
      </c>
      <c r="F179" s="1">
        <v>0</v>
      </c>
      <c r="G179" s="1">
        <v>73</v>
      </c>
      <c r="H179" s="1">
        <v>82</v>
      </c>
      <c r="I179" s="38">
        <v>97</v>
      </c>
      <c r="K179" s="1">
        <v>1163</v>
      </c>
      <c r="L179" s="38">
        <v>1691</v>
      </c>
      <c r="M179" s="38">
        <v>2024</v>
      </c>
      <c r="O179" s="1">
        <v>2035</v>
      </c>
      <c r="P179" s="1">
        <v>2167</v>
      </c>
      <c r="Q179" s="1">
        <v>2203</v>
      </c>
      <c r="R179" s="1"/>
      <c r="T179" s="20">
        <v>15480</v>
      </c>
      <c r="U179" s="20">
        <v>11195</v>
      </c>
      <c r="V179" s="20">
        <v>582</v>
      </c>
      <c r="W179" s="20">
        <v>631</v>
      </c>
      <c r="X179" s="20"/>
      <c r="Y179" s="20">
        <v>2512</v>
      </c>
    </row>
    <row r="180" spans="2:26" ht="12" x14ac:dyDescent="0.2">
      <c r="B180" s="2" t="s">
        <v>72</v>
      </c>
      <c r="C180" s="1">
        <v>0</v>
      </c>
      <c r="D180" s="1">
        <v>0</v>
      </c>
      <c r="E180" s="1">
        <v>0</v>
      </c>
      <c r="F180" s="1">
        <v>0</v>
      </c>
      <c r="G180" s="1">
        <v>-9400</v>
      </c>
      <c r="H180" s="1">
        <v>-9400</v>
      </c>
      <c r="I180" s="38">
        <v>-9400</v>
      </c>
      <c r="K180" s="1">
        <v>-2000</v>
      </c>
      <c r="L180" s="38">
        <v>-2000</v>
      </c>
      <c r="M180" s="38">
        <v>-2000</v>
      </c>
      <c r="O180" s="1">
        <v>0</v>
      </c>
      <c r="P180" s="1">
        <v>0</v>
      </c>
      <c r="Q180" s="1"/>
      <c r="R180" s="1"/>
      <c r="T180" s="20">
        <v>0</v>
      </c>
      <c r="U180" s="20">
        <v>0</v>
      </c>
      <c r="V180" s="20">
        <v>-9400</v>
      </c>
      <c r="W180" s="20">
        <v>-2000</v>
      </c>
      <c r="X180" s="20"/>
      <c r="Y180" s="20">
        <v>0</v>
      </c>
    </row>
    <row r="181" spans="2:26" ht="12" x14ac:dyDescent="0.2">
      <c r="B181" s="2" t="s">
        <v>169</v>
      </c>
      <c r="C181" s="1">
        <v>4</v>
      </c>
      <c r="D181" s="1">
        <v>4</v>
      </c>
      <c r="E181" s="1">
        <v>0</v>
      </c>
      <c r="F181" s="1">
        <v>0</v>
      </c>
      <c r="G181" s="1">
        <f>-1000</f>
        <v>-1000</v>
      </c>
      <c r="H181" s="1">
        <f>-1400</f>
        <v>-1400</v>
      </c>
      <c r="I181" s="38">
        <v>0</v>
      </c>
      <c r="K181" s="1">
        <v>3</v>
      </c>
      <c r="L181" s="38">
        <v>108</v>
      </c>
      <c r="M181" s="38">
        <v>108</v>
      </c>
      <c r="O181" s="1">
        <v>0</v>
      </c>
      <c r="P181" s="1">
        <v>80</v>
      </c>
      <c r="Q181" s="1">
        <v>80</v>
      </c>
      <c r="R181" s="1"/>
      <c r="T181" s="23">
        <f>13919+8452+319</f>
        <v>22690</v>
      </c>
      <c r="U181" s="20">
        <v>-833</v>
      </c>
      <c r="V181" s="23">
        <f>-2884+2000-3</f>
        <v>-887</v>
      </c>
      <c r="W181" s="20">
        <v>108</v>
      </c>
      <c r="X181" s="20"/>
      <c r="Y181" s="20">
        <v>80</v>
      </c>
    </row>
    <row r="182" spans="2:26" ht="14.25" x14ac:dyDescent="0.35">
      <c r="B182" s="2" t="s">
        <v>73</v>
      </c>
      <c r="C182" s="3">
        <v>482</v>
      </c>
      <c r="D182" s="3">
        <v>1215</v>
      </c>
      <c r="E182" s="3">
        <v>6380</v>
      </c>
      <c r="F182" s="3">
        <v>0</v>
      </c>
      <c r="G182" s="3">
        <v>1943</v>
      </c>
      <c r="H182" s="3">
        <v>4392</v>
      </c>
      <c r="I182" s="15">
        <f>6714-2884</f>
        <v>3830</v>
      </c>
      <c r="K182" s="3">
        <v>714</v>
      </c>
      <c r="L182" s="15">
        <v>2274</v>
      </c>
      <c r="M182" s="15">
        <v>2724</v>
      </c>
      <c r="O182" s="3">
        <v>809</v>
      </c>
      <c r="P182" s="3">
        <v>2121</v>
      </c>
      <c r="Q182" s="3">
        <v>4886</v>
      </c>
      <c r="R182" s="3"/>
      <c r="T182" s="21">
        <v>1453</v>
      </c>
      <c r="U182" s="21">
        <v>7978</v>
      </c>
      <c r="V182" s="21">
        <v>7784</v>
      </c>
      <c r="W182" s="21">
        <v>3608</v>
      </c>
      <c r="X182" s="21"/>
      <c r="Y182" s="21">
        <v>6060</v>
      </c>
    </row>
    <row r="183" spans="2:26" s="13" customFormat="1" ht="12" x14ac:dyDescent="0.2">
      <c r="B183" s="4" t="s">
        <v>74</v>
      </c>
      <c r="C183" s="18">
        <f t="shared" ref="C183:I183" si="146">SUM(C175:C182)</f>
        <v>-83719</v>
      </c>
      <c r="D183" s="18">
        <f t="shared" si="146"/>
        <v>-100066</v>
      </c>
      <c r="E183" s="18">
        <f t="shared" si="146"/>
        <v>-144260</v>
      </c>
      <c r="F183" s="18">
        <f t="shared" si="146"/>
        <v>0</v>
      </c>
      <c r="G183" s="18">
        <f t="shared" si="146"/>
        <v>-25900</v>
      </c>
      <c r="H183" s="18">
        <f t="shared" si="146"/>
        <v>-38339</v>
      </c>
      <c r="I183" s="18">
        <f t="shared" si="146"/>
        <v>-52599</v>
      </c>
      <c r="K183" s="18">
        <f>SUM(K175:K182)</f>
        <v>-18308</v>
      </c>
      <c r="L183" s="18">
        <f>SUM(L175:L182)</f>
        <v>-37996</v>
      </c>
      <c r="M183" s="18">
        <f>SUM(M175:M182)</f>
        <v>-54223</v>
      </c>
      <c r="N183" s="18"/>
      <c r="O183" s="18">
        <f>SUM(O175:O182)</f>
        <v>-19614</v>
      </c>
      <c r="P183" s="18">
        <f>SUM(P175:P182)</f>
        <v>-37461</v>
      </c>
      <c r="Q183" s="18">
        <f>SUM(Q175:Q182)</f>
        <v>-135530</v>
      </c>
      <c r="R183" s="18"/>
      <c r="T183" s="18">
        <f>SUM(T175:T182)</f>
        <v>-86068</v>
      </c>
      <c r="U183" s="18">
        <f>SUM(U175:U182)</f>
        <v>-150271</v>
      </c>
      <c r="V183" s="18">
        <f>SUM(V175:V182)</f>
        <v>-71526</v>
      </c>
      <c r="W183" s="18">
        <f>SUM(W175:W182)</f>
        <v>3427</v>
      </c>
      <c r="X183" s="18"/>
      <c r="Y183" s="18">
        <f>SUM(Y175:Y182)</f>
        <v>-146570</v>
      </c>
    </row>
    <row r="184" spans="2:26" ht="12" x14ac:dyDescent="0.2">
      <c r="B184" s="9" t="s">
        <v>75</v>
      </c>
      <c r="C184" s="5">
        <f t="shared" ref="C184:H184" si="147">C174+C178</f>
        <v>-37439</v>
      </c>
      <c r="D184" s="5">
        <f t="shared" si="147"/>
        <v>-91015</v>
      </c>
      <c r="E184" s="5">
        <f t="shared" si="147"/>
        <v>-120180</v>
      </c>
      <c r="F184" s="5">
        <f t="shared" si="147"/>
        <v>0</v>
      </c>
      <c r="G184" s="5">
        <f t="shared" si="147"/>
        <v>-93752</v>
      </c>
      <c r="H184" s="5">
        <f t="shared" si="147"/>
        <v>-68821</v>
      </c>
      <c r="I184" s="5">
        <f>I174+I177</f>
        <v>7373</v>
      </c>
      <c r="K184" s="5">
        <f>K174+K178</f>
        <v>-33532</v>
      </c>
      <c r="L184" s="5">
        <f>L174+L178</f>
        <v>-42997</v>
      </c>
      <c r="M184" s="5">
        <f>M174+M178</f>
        <v>-25531</v>
      </c>
      <c r="N184" s="5">
        <f>W184-M184</f>
        <v>56624</v>
      </c>
      <c r="O184" s="5">
        <f>O174+O178</f>
        <v>-27122</v>
      </c>
      <c r="P184" s="5">
        <f>P174+P178</f>
        <v>-2566</v>
      </c>
      <c r="Q184" s="5">
        <f>Q174+Q178</f>
        <v>24877</v>
      </c>
      <c r="R184" s="8">
        <f>Q184+P184+O184+N184</f>
        <v>51813</v>
      </c>
      <c r="T184" s="5">
        <f>T174+T178</f>
        <v>-149207</v>
      </c>
      <c r="U184" s="5">
        <f>U174+U178</f>
        <v>45440</v>
      </c>
      <c r="V184" s="5">
        <f>V174+V178</f>
        <v>54683</v>
      </c>
      <c r="W184" s="5">
        <f>W174+W178</f>
        <v>31093</v>
      </c>
      <c r="X184" s="5"/>
      <c r="Y184" s="5">
        <f>Y174+Y178</f>
        <v>92753</v>
      </c>
    </row>
    <row r="185" spans="2:26" ht="12" x14ac:dyDescent="0.2">
      <c r="B185" s="9"/>
      <c r="C185" s="5"/>
      <c r="D185" s="5"/>
      <c r="E185" s="5"/>
      <c r="F185" s="5"/>
      <c r="G185" s="5"/>
      <c r="H185" s="5"/>
      <c r="I185" s="5"/>
      <c r="K185" s="5">
        <f>K184</f>
        <v>-33532</v>
      </c>
      <c r="L185" s="5">
        <f>L184-K184</f>
        <v>-9465</v>
      </c>
      <c r="M185" s="5">
        <f>M184-L184-K184</f>
        <v>50998</v>
      </c>
      <c r="N185" s="5">
        <f>N184-M184-L184-K184</f>
        <v>158684</v>
      </c>
      <c r="O185" s="5">
        <f>O184</f>
        <v>-27122</v>
      </c>
      <c r="P185" s="5">
        <f>P184-O184</f>
        <v>24556</v>
      </c>
      <c r="Q185" s="5">
        <f>Q184-P184-O184</f>
        <v>54565</v>
      </c>
      <c r="R185" s="5">
        <f>Q185+P185+O185+N185+M185</f>
        <v>261681</v>
      </c>
      <c r="T185" s="5"/>
      <c r="U185" s="5"/>
      <c r="V185" s="5"/>
      <c r="W185" s="5"/>
      <c r="X185" s="5"/>
      <c r="Y185" s="5"/>
    </row>
    <row r="186" spans="2:26" ht="12" x14ac:dyDescent="0.2">
      <c r="B186" s="9" t="s">
        <v>280</v>
      </c>
      <c r="C186" s="5"/>
      <c r="D186" s="5"/>
      <c r="E186" s="5"/>
      <c r="F186" s="5"/>
      <c r="G186" s="5"/>
      <c r="H186" s="5"/>
      <c r="I186" s="5"/>
      <c r="K186" s="5"/>
      <c r="L186" s="5"/>
      <c r="M186" s="5"/>
      <c r="O186" s="5"/>
      <c r="P186" s="5"/>
      <c r="Q186" s="5"/>
      <c r="R186" s="24">
        <f>R184/R78</f>
        <v>0.26978349839107751</v>
      </c>
      <c r="T186" s="24">
        <f>T184/T78</f>
        <v>-3.2398975093913536</v>
      </c>
      <c r="U186" s="24">
        <f>U184/U78</f>
        <v>0.35800767498903713</v>
      </c>
      <c r="V186" s="24">
        <f>V184/V78</f>
        <v>0.56431255764864574</v>
      </c>
      <c r="W186" s="24">
        <f>W184/W78</f>
        <v>0.19376427659453863</v>
      </c>
      <c r="X186" s="24"/>
      <c r="Y186" s="24">
        <f>Y184/Y78</f>
        <v>0.57756870156688722</v>
      </c>
    </row>
    <row r="187" spans="2:26" ht="12" x14ac:dyDescent="0.2">
      <c r="B187" s="9" t="s">
        <v>279</v>
      </c>
      <c r="C187" s="43" t="str">
        <f t="shared" ref="C187:I187" si="148">IF(C184&lt;0,"NA",C184/(C159-C160-C161))</f>
        <v>NA</v>
      </c>
      <c r="D187" s="43" t="str">
        <f t="shared" si="148"/>
        <v>NA</v>
      </c>
      <c r="E187" s="43" t="str">
        <f t="shared" si="148"/>
        <v>NA</v>
      </c>
      <c r="F187" s="43" t="e">
        <f t="shared" si="148"/>
        <v>#DIV/0!</v>
      </c>
      <c r="G187" s="43" t="str">
        <f t="shared" si="148"/>
        <v>NA</v>
      </c>
      <c r="H187" s="43" t="str">
        <f t="shared" si="148"/>
        <v>NA</v>
      </c>
      <c r="I187" s="44">
        <f t="shared" si="148"/>
        <v>-0.12804348581153832</v>
      </c>
      <c r="K187" s="43" t="str">
        <f>IF(K184&lt;0,"NA",K184/(K159-K160-K161))</f>
        <v>NA</v>
      </c>
      <c r="L187" s="44" t="str">
        <f>IF(L184&lt;0,"NA",L184/(L159-L160-L161))</f>
        <v>NA</v>
      </c>
      <c r="M187" s="44" t="str">
        <f>IF(M184&lt;0,"NA",M184/(M159-M160-M161))</f>
        <v>NA</v>
      </c>
      <c r="O187" s="43" t="str">
        <f>IF(O184&lt;0,"NA",O184/(O159-O160-O161))</f>
        <v>NA</v>
      </c>
      <c r="P187" s="43" t="str">
        <f>IF(P184&lt;0,"NA",P184/(P159-P160-P161))</f>
        <v>NA</v>
      </c>
      <c r="Q187" s="43"/>
      <c r="R187" s="24">
        <f>R184/R100</f>
        <v>0.97456973572839278</v>
      </c>
      <c r="T187" s="24">
        <f>T184/T100</f>
        <v>3.0216079384366141</v>
      </c>
      <c r="U187" s="24">
        <f>U184/U100</f>
        <v>-1.23564397427537</v>
      </c>
      <c r="V187" s="24">
        <f>V184/V100</f>
        <v>-1.4237388302388598</v>
      </c>
      <c r="W187" s="24">
        <f>W184/W100</f>
        <v>0.86883078383317958</v>
      </c>
      <c r="X187" s="24"/>
      <c r="Y187" s="24">
        <f>Y184/Y100</f>
        <v>-30.582792897614283</v>
      </c>
    </row>
    <row r="188" spans="2:26" ht="12" x14ac:dyDescent="0.2">
      <c r="B188" s="9" t="s">
        <v>170</v>
      </c>
      <c r="C188" s="46">
        <f t="shared" ref="C188:M188" si="149">C174+C183</f>
        <v>-121158</v>
      </c>
      <c r="D188" s="46">
        <f t="shared" si="149"/>
        <v>-152246</v>
      </c>
      <c r="E188" s="46">
        <f t="shared" si="149"/>
        <v>-204707</v>
      </c>
      <c r="F188" s="46">
        <f t="shared" si="149"/>
        <v>0</v>
      </c>
      <c r="G188" s="46">
        <f t="shared" si="149"/>
        <v>-102304</v>
      </c>
      <c r="H188" s="46">
        <f t="shared" si="149"/>
        <v>-75317</v>
      </c>
      <c r="I188" s="46">
        <f t="shared" si="149"/>
        <v>-45226</v>
      </c>
      <c r="J188" s="46">
        <f t="shared" si="149"/>
        <v>0</v>
      </c>
      <c r="K188" s="46">
        <f t="shared" si="149"/>
        <v>-34133</v>
      </c>
      <c r="L188" s="46">
        <f t="shared" si="149"/>
        <v>-42184</v>
      </c>
      <c r="M188" s="46">
        <f t="shared" si="149"/>
        <v>-22499</v>
      </c>
      <c r="O188" s="46">
        <f>O174+O183</f>
        <v>-25018</v>
      </c>
      <c r="P188" s="46">
        <f>P174+P183</f>
        <v>1062</v>
      </c>
      <c r="Q188" s="46">
        <f>Q174+Q183</f>
        <v>-48403</v>
      </c>
      <c r="R188" s="46"/>
      <c r="T188" s="46">
        <f>T174+T183</f>
        <v>-113905</v>
      </c>
      <c r="U188" s="46">
        <f>U174+U183</f>
        <v>-18875</v>
      </c>
      <c r="V188" s="46">
        <f>V174+V183</f>
        <v>52572</v>
      </c>
      <c r="W188" s="46">
        <f>W174+W183</f>
        <v>121566</v>
      </c>
      <c r="X188" s="46"/>
      <c r="Y188" s="151">
        <v>0</v>
      </c>
    </row>
    <row r="189" spans="2:26" ht="12" x14ac:dyDescent="0.2">
      <c r="B189" s="2" t="s">
        <v>76</v>
      </c>
      <c r="C189" s="20">
        <v>0</v>
      </c>
      <c r="D189" s="20">
        <v>0</v>
      </c>
      <c r="E189" s="20">
        <v>0</v>
      </c>
      <c r="F189" s="1"/>
      <c r="G189" s="1"/>
      <c r="H189" s="1">
        <v>0</v>
      </c>
      <c r="I189" s="38">
        <v>0</v>
      </c>
      <c r="K189" s="1">
        <v>0</v>
      </c>
      <c r="L189" s="38">
        <v>140</v>
      </c>
      <c r="M189" s="38">
        <v>386</v>
      </c>
      <c r="O189" s="1">
        <v>0</v>
      </c>
      <c r="P189" s="1">
        <v>2077</v>
      </c>
      <c r="Q189" s="1">
        <v>8701</v>
      </c>
      <c r="R189" s="1"/>
      <c r="T189" s="20">
        <v>136999</v>
      </c>
      <c r="U189" s="20">
        <v>0</v>
      </c>
      <c r="V189" s="20">
        <v>0</v>
      </c>
      <c r="W189" s="20">
        <v>386</v>
      </c>
      <c r="X189" s="20"/>
      <c r="Y189" s="20">
        <v>10048</v>
      </c>
    </row>
    <row r="190" spans="2:26" ht="12" x14ac:dyDescent="0.2">
      <c r="B190" s="2" t="s">
        <v>249</v>
      </c>
      <c r="C190" s="20">
        <v>0</v>
      </c>
      <c r="D190" s="20">
        <v>0</v>
      </c>
      <c r="E190" s="20">
        <v>0</v>
      </c>
      <c r="F190" s="1"/>
      <c r="G190" s="1"/>
      <c r="H190" s="1"/>
      <c r="I190" s="38"/>
      <c r="K190" s="1"/>
      <c r="L190" s="38"/>
      <c r="M190" s="38"/>
      <c r="O190" s="1"/>
      <c r="P190" s="1"/>
      <c r="Q190" s="1"/>
      <c r="R190" s="1"/>
      <c r="T190" s="20">
        <v>421397</v>
      </c>
      <c r="U190" s="20"/>
      <c r="V190" s="20"/>
      <c r="W190" s="20"/>
      <c r="X190" s="20"/>
      <c r="Y190" s="20">
        <v>-127</v>
      </c>
    </row>
    <row r="191" spans="2:26" ht="12" x14ac:dyDescent="0.2">
      <c r="B191" s="2" t="s">
        <v>250</v>
      </c>
      <c r="C191" s="20">
        <v>0</v>
      </c>
      <c r="D191" s="20">
        <v>0</v>
      </c>
      <c r="E191" s="20">
        <v>0</v>
      </c>
      <c r="F191" s="1"/>
      <c r="G191" s="1"/>
      <c r="H191" s="1"/>
      <c r="I191" s="38"/>
      <c r="K191" s="1"/>
      <c r="L191" s="38"/>
      <c r="M191" s="38"/>
      <c r="O191" s="1"/>
      <c r="P191" s="1"/>
      <c r="Q191" s="1"/>
      <c r="R191" s="1"/>
      <c r="T191" s="20">
        <v>-29147</v>
      </c>
      <c r="U191" s="20"/>
      <c r="V191" s="20"/>
      <c r="W191" s="20"/>
      <c r="X191" s="20"/>
      <c r="Z191" s="24"/>
    </row>
    <row r="192" spans="2:26" ht="12" x14ac:dyDescent="0.2">
      <c r="B192" s="2" t="s">
        <v>331</v>
      </c>
      <c r="C192" s="20">
        <v>26518</v>
      </c>
      <c r="D192" s="20">
        <v>51824</v>
      </c>
      <c r="E192" s="20">
        <v>146193</v>
      </c>
      <c r="F192" s="1"/>
      <c r="G192" s="1">
        <v>21745</v>
      </c>
      <c r="H192" s="1">
        <v>31660</v>
      </c>
      <c r="I192" s="38">
        <v>39744</v>
      </c>
      <c r="K192" s="1">
        <v>33955</v>
      </c>
      <c r="L192" s="38">
        <v>91480</v>
      </c>
      <c r="M192" s="38">
        <v>148530</v>
      </c>
      <c r="O192" s="1">
        <v>24187</v>
      </c>
      <c r="P192" s="1">
        <v>32106</v>
      </c>
      <c r="Q192" s="1">
        <v>34725</v>
      </c>
      <c r="R192" s="1"/>
      <c r="T192" s="20">
        <v>230842</v>
      </c>
      <c r="U192" s="20">
        <v>137376</v>
      </c>
      <c r="V192" s="20">
        <v>328872</v>
      </c>
      <c r="W192" s="20">
        <v>179481</v>
      </c>
      <c r="X192" s="20"/>
      <c r="Y192" s="20">
        <v>276701</v>
      </c>
    </row>
    <row r="193" spans="2:26" ht="12" x14ac:dyDescent="0.2">
      <c r="B193" s="2" t="s">
        <v>332</v>
      </c>
      <c r="C193" s="20">
        <v>-18426</v>
      </c>
      <c r="D193" s="20">
        <v>-32958</v>
      </c>
      <c r="E193" s="20">
        <v>-109994</v>
      </c>
      <c r="F193" s="1"/>
      <c r="G193" s="1">
        <v>-40508</v>
      </c>
      <c r="H193" s="1">
        <v>-55766</v>
      </c>
      <c r="I193" s="38">
        <v>-76867</v>
      </c>
      <c r="K193" s="1">
        <v>-35064</v>
      </c>
      <c r="L193" s="38">
        <v>-79846</v>
      </c>
      <c r="M193" s="38">
        <v>-133788</v>
      </c>
      <c r="O193" s="1">
        <v>-5868</v>
      </c>
      <c r="P193" s="1">
        <v>-24250</v>
      </c>
      <c r="Q193" s="1">
        <v>-14311</v>
      </c>
      <c r="R193" s="1"/>
      <c r="T193" s="20">
        <v>-169857</v>
      </c>
      <c r="U193" s="20">
        <v>-154150</v>
      </c>
      <c r="V193" s="20">
        <v>-580804</v>
      </c>
      <c r="W193" s="20">
        <v>-289894</v>
      </c>
      <c r="X193" s="20"/>
      <c r="Y193" s="20">
        <v>-297708</v>
      </c>
    </row>
    <row r="194" spans="2:26" ht="12" x14ac:dyDescent="0.2">
      <c r="B194" s="2" t="s">
        <v>77</v>
      </c>
      <c r="C194" s="20">
        <v>-2405</v>
      </c>
      <c r="D194" s="20">
        <v>-4654</v>
      </c>
      <c r="E194" s="20">
        <v>-7306</v>
      </c>
      <c r="F194" s="1"/>
      <c r="G194" s="1">
        <v>-2349</v>
      </c>
      <c r="H194" s="1">
        <v>-4837</v>
      </c>
      <c r="I194" s="38">
        <v>-7200</v>
      </c>
      <c r="K194" s="1">
        <v>-3175</v>
      </c>
      <c r="L194" s="38">
        <v>-12401</v>
      </c>
      <c r="M194" s="38">
        <v>-13291</v>
      </c>
      <c r="O194" s="1">
        <v>3891</v>
      </c>
      <c r="P194" s="1">
        <v>1582</v>
      </c>
      <c r="Q194" s="1">
        <v>-696</v>
      </c>
      <c r="R194" s="1"/>
      <c r="T194" s="20">
        <v>-6736</v>
      </c>
      <c r="U194" s="20">
        <v>-10123</v>
      </c>
      <c r="V194" s="20">
        <v>-8866</v>
      </c>
      <c r="W194" s="20">
        <v>-14265</v>
      </c>
      <c r="X194" s="20"/>
      <c r="Y194" s="20">
        <v>-2678</v>
      </c>
    </row>
    <row r="195" spans="2:26" ht="12" x14ac:dyDescent="0.2">
      <c r="B195" s="2" t="s">
        <v>248</v>
      </c>
      <c r="C195" s="20">
        <v>0</v>
      </c>
      <c r="D195" s="20">
        <v>0</v>
      </c>
      <c r="E195" s="20">
        <v>0</v>
      </c>
      <c r="F195" s="1"/>
      <c r="G195" s="1"/>
      <c r="H195" s="1"/>
      <c r="I195" s="38"/>
      <c r="K195" s="1"/>
      <c r="L195" s="38"/>
      <c r="M195" s="38"/>
      <c r="O195" s="1"/>
      <c r="P195" s="1"/>
      <c r="Q195" s="1">
        <v>0</v>
      </c>
      <c r="R195" s="1"/>
      <c r="T195" s="20">
        <f>15020-58135</f>
        <v>-43115</v>
      </c>
      <c r="U195" s="53">
        <f>1923-13557</f>
        <v>-11634</v>
      </c>
      <c r="V195" s="20"/>
      <c r="W195" s="20"/>
      <c r="X195" s="20"/>
      <c r="Y195" s="20"/>
    </row>
    <row r="196" spans="2:26" ht="14.25" x14ac:dyDescent="0.35">
      <c r="B196" s="2" t="s">
        <v>78</v>
      </c>
      <c r="C196" s="21">
        <v>-3826</v>
      </c>
      <c r="D196" s="21">
        <v>-9472</v>
      </c>
      <c r="E196" s="21">
        <v>-22080</v>
      </c>
      <c r="F196" s="3"/>
      <c r="G196" s="3">
        <v>-6887</v>
      </c>
      <c r="H196" s="3">
        <v>-16340</v>
      </c>
      <c r="I196" s="15">
        <v>-26558</v>
      </c>
      <c r="K196" s="3">
        <v>-9752</v>
      </c>
      <c r="L196" s="15">
        <v>-20031</v>
      </c>
      <c r="M196" s="15">
        <v>-29427</v>
      </c>
      <c r="O196" s="3">
        <v>-6850</v>
      </c>
      <c r="P196" s="3">
        <v>-15047</v>
      </c>
      <c r="Q196" s="3">
        <v>-22703</v>
      </c>
      <c r="R196" s="3"/>
      <c r="T196" s="21">
        <v>-18592</v>
      </c>
      <c r="U196" s="21">
        <v>-27896</v>
      </c>
      <c r="V196" s="21">
        <v>-42470</v>
      </c>
      <c r="W196" s="21">
        <v>-37973</v>
      </c>
      <c r="X196" s="21"/>
      <c r="Y196" s="21">
        <v>-25655</v>
      </c>
    </row>
    <row r="197" spans="2:26" s="13" customFormat="1" ht="12" x14ac:dyDescent="0.2">
      <c r="B197" s="4" t="s">
        <v>79</v>
      </c>
      <c r="C197" s="18">
        <f>SUM(C189:C196)</f>
        <v>1861</v>
      </c>
      <c r="D197" s="18">
        <f>SUM(D189:D196)</f>
        <v>4740</v>
      </c>
      <c r="E197" s="18">
        <f t="shared" ref="E197" si="150">SUM(E189:E196)</f>
        <v>6813</v>
      </c>
      <c r="F197" s="18"/>
      <c r="G197" s="18">
        <f>SUM(G189:G196)</f>
        <v>-27999</v>
      </c>
      <c r="H197" s="18">
        <f>SUM(H189:H196)</f>
        <v>-45283</v>
      </c>
      <c r="I197" s="18">
        <f>SUM(I189:I196)</f>
        <v>-70881</v>
      </c>
      <c r="K197" s="18">
        <f>SUM(K189:K196)</f>
        <v>-14036</v>
      </c>
      <c r="L197" s="18">
        <f>SUM(L189:L196)</f>
        <v>-20658</v>
      </c>
      <c r="M197" s="18">
        <f>SUM(M189:M196)</f>
        <v>-27590</v>
      </c>
      <c r="O197" s="18">
        <f>SUM(O189:O196)</f>
        <v>15360</v>
      </c>
      <c r="P197" s="18">
        <f>SUM(P189:P196)</f>
        <v>-3532</v>
      </c>
      <c r="Q197" s="18">
        <f>SUM(Q189:Q196)</f>
        <v>5716</v>
      </c>
      <c r="R197" s="18"/>
      <c r="T197" s="18">
        <f>SUM(T189:T196)</f>
        <v>521791</v>
      </c>
      <c r="U197" s="18">
        <f t="shared" ref="U197" si="151">SUM(U189:U196)</f>
        <v>-66427</v>
      </c>
      <c r="V197" s="18">
        <f>SUM(V189:V196)</f>
        <v>-303268</v>
      </c>
      <c r="W197" s="18">
        <f>SUM(W189:W196)</f>
        <v>-162265</v>
      </c>
      <c r="X197" s="18"/>
      <c r="Y197" s="18">
        <f>SUM(Y189:Y196)</f>
        <v>-39419</v>
      </c>
    </row>
    <row r="198" spans="2:26" ht="12" x14ac:dyDescent="0.2">
      <c r="B198" s="4" t="s">
        <v>80</v>
      </c>
      <c r="C198" s="5">
        <f>C174+C183+C197</f>
        <v>-119297</v>
      </c>
      <c r="D198" s="5">
        <f>D174+D183+D197</f>
        <v>-147506</v>
      </c>
      <c r="E198" s="5">
        <f>E174+E183+E197</f>
        <v>-197894</v>
      </c>
      <c r="F198" s="5"/>
      <c r="G198" s="5">
        <f>G174+G183+G197</f>
        <v>-130303</v>
      </c>
      <c r="H198" s="5">
        <f>H174+H183+H197</f>
        <v>-120600</v>
      </c>
      <c r="I198" s="5">
        <f>I174+I183+I197</f>
        <v>-116107</v>
      </c>
      <c r="K198" s="5">
        <f>K174+K183+K197</f>
        <v>-48169</v>
      </c>
      <c r="L198" s="5">
        <f>L174+L183+L197</f>
        <v>-62842</v>
      </c>
      <c r="M198" s="5">
        <f>M174+M183+M197</f>
        <v>-50089</v>
      </c>
      <c r="O198" s="5">
        <f>O174+O183+O197</f>
        <v>-9658</v>
      </c>
      <c r="P198" s="5">
        <f>P174+P183+P197</f>
        <v>-2470</v>
      </c>
      <c r="Q198" s="5">
        <f>Q174+Q183+Q197</f>
        <v>-42687</v>
      </c>
      <c r="R198" s="5"/>
      <c r="T198" s="5">
        <f>T174+T183+T197</f>
        <v>407886</v>
      </c>
      <c r="U198" s="5">
        <f>U174+U183+U197</f>
        <v>-85302</v>
      </c>
      <c r="V198" s="5">
        <f>V174+V183+V197</f>
        <v>-250696</v>
      </c>
      <c r="W198" s="5">
        <f>W174+W183+W197</f>
        <v>-40699</v>
      </c>
      <c r="X198" s="5"/>
      <c r="Y198" s="5">
        <f>Y174+Y183+Y197</f>
        <v>-18463</v>
      </c>
    </row>
    <row r="199" spans="2:26" ht="12" x14ac:dyDescent="0.2">
      <c r="B199" s="2" t="s">
        <v>81</v>
      </c>
      <c r="C199" s="20">
        <v>509059</v>
      </c>
      <c r="D199" s="20">
        <v>509059</v>
      </c>
      <c r="E199" s="20">
        <v>509059</v>
      </c>
      <c r="F199" s="1"/>
      <c r="G199" s="1">
        <v>426215</v>
      </c>
      <c r="H199" s="1">
        <v>426215</v>
      </c>
      <c r="I199" s="1">
        <v>426215</v>
      </c>
      <c r="K199" s="1">
        <v>175252</v>
      </c>
      <c r="L199" s="42">
        <f>K199</f>
        <v>175252</v>
      </c>
      <c r="M199" s="42">
        <f>K199</f>
        <v>175252</v>
      </c>
      <c r="O199" s="1">
        <v>133529</v>
      </c>
      <c r="P199" s="1">
        <v>133529</v>
      </c>
      <c r="Q199" s="1">
        <v>133529</v>
      </c>
      <c r="R199" s="1"/>
      <c r="T199" s="20">
        <v>95803</v>
      </c>
      <c r="U199" s="20">
        <v>509059</v>
      </c>
      <c r="V199" s="20">
        <v>426215</v>
      </c>
      <c r="W199" s="20">
        <v>175252</v>
      </c>
      <c r="X199" s="20"/>
      <c r="Y199" s="20">
        <v>133529</v>
      </c>
    </row>
    <row r="200" spans="2:26" ht="12" x14ac:dyDescent="0.2">
      <c r="B200" s="12" t="s">
        <v>82</v>
      </c>
      <c r="C200" s="20">
        <v>784</v>
      </c>
      <c r="D200" s="20">
        <v>2976</v>
      </c>
      <c r="E200" s="20">
        <v>5629</v>
      </c>
      <c r="F200" s="1"/>
      <c r="G200" s="1">
        <v>-1066</v>
      </c>
      <c r="H200" s="1">
        <v>-740</v>
      </c>
      <c r="I200" s="1">
        <v>628</v>
      </c>
      <c r="K200" s="1">
        <v>-124</v>
      </c>
      <c r="L200" s="38">
        <v>-278</v>
      </c>
      <c r="M200" s="38">
        <v>-1791</v>
      </c>
      <c r="O200" s="1">
        <v>-1093</v>
      </c>
      <c r="P200" s="1">
        <v>-3827</v>
      </c>
      <c r="Q200" s="1">
        <v>-2938</v>
      </c>
      <c r="R200" s="1"/>
      <c r="T200" s="20">
        <v>5370</v>
      </c>
      <c r="U200" s="20">
        <v>2454</v>
      </c>
      <c r="V200" s="20">
        <v>-267</v>
      </c>
      <c r="W200" s="20">
        <v>-1026</v>
      </c>
      <c r="X200" s="20"/>
      <c r="Y200" s="20">
        <v>-2806</v>
      </c>
    </row>
    <row r="201" spans="2:26" ht="12" x14ac:dyDescent="0.2">
      <c r="B201" s="2" t="s">
        <v>83</v>
      </c>
      <c r="C201" s="5">
        <f>C199+C198+C200</f>
        <v>390546</v>
      </c>
      <c r="D201" s="5">
        <f>D199+D198+D200</f>
        <v>364529</v>
      </c>
      <c r="E201" s="5">
        <f t="shared" ref="E201" si="152">E199+E198+E200</f>
        <v>316794</v>
      </c>
      <c r="F201" s="5"/>
      <c r="G201" s="5">
        <f>G199+G198+G200</f>
        <v>294846</v>
      </c>
      <c r="H201" s="5">
        <f>H199+H198+H200</f>
        <v>304875</v>
      </c>
      <c r="I201" s="5">
        <f>I199+I198+I200</f>
        <v>310736</v>
      </c>
      <c r="K201" s="5">
        <f>K199+K198+K200</f>
        <v>126959</v>
      </c>
      <c r="L201" s="5">
        <f>L199+L198+L200</f>
        <v>112132</v>
      </c>
      <c r="M201" s="5">
        <f>M199+M198+M200</f>
        <v>123372</v>
      </c>
      <c r="O201" s="5">
        <f>O199+O198+O200</f>
        <v>122778</v>
      </c>
      <c r="P201" s="5">
        <f>P199+P198+P200</f>
        <v>127232</v>
      </c>
      <c r="Q201" s="5">
        <f>Q199+Q198+Q200</f>
        <v>87904</v>
      </c>
      <c r="R201" s="5"/>
      <c r="T201" s="5">
        <f>T199+T198+T200</f>
        <v>509059</v>
      </c>
      <c r="U201" s="5">
        <f t="shared" ref="U201" si="153">U199+U198+U200</f>
        <v>426211</v>
      </c>
      <c r="V201" s="5">
        <f>V199+V198+V200</f>
        <v>175252</v>
      </c>
      <c r="W201" s="5">
        <f>W199+W198+W200</f>
        <v>133527</v>
      </c>
      <c r="X201" s="5"/>
      <c r="Y201" s="5">
        <f>Y199+Y198+Y200</f>
        <v>112260</v>
      </c>
    </row>
    <row r="203" spans="2:26" x14ac:dyDescent="0.25">
      <c r="B203" s="2" t="s">
        <v>184</v>
      </c>
    </row>
    <row r="204" spans="2:26" ht="12" x14ac:dyDescent="0.2">
      <c r="B204" s="9" t="s">
        <v>210</v>
      </c>
      <c r="D204" s="5"/>
      <c r="E204" s="5">
        <f>E228+E229+E230</f>
        <v>208094</v>
      </c>
      <c r="I204" s="5">
        <f>I228+I229+I230</f>
        <v>190189</v>
      </c>
      <c r="P204" s="5">
        <f>P228+P229+P230</f>
        <v>124048</v>
      </c>
      <c r="Q204" s="5">
        <f>Q228+Q229+Q230</f>
        <v>131628</v>
      </c>
      <c r="R204" s="5"/>
      <c r="T204" s="5">
        <f>T228+T229+T230</f>
        <v>195082</v>
      </c>
      <c r="U204" s="5">
        <f t="shared" ref="U204" si="154">U228+U229+U230</f>
        <v>276848</v>
      </c>
      <c r="V204" s="5">
        <f>V228+V229+V230</f>
        <v>143345</v>
      </c>
      <c r="W204" s="5">
        <f>W228+W229+W230</f>
        <v>209760</v>
      </c>
      <c r="X204" s="5">
        <f>X228+X229+X230</f>
        <v>145309</v>
      </c>
      <c r="Y204" s="5">
        <f>Y228+Y229+Y230</f>
        <v>180786</v>
      </c>
    </row>
    <row r="205" spans="2:26" ht="12" x14ac:dyDescent="0.2">
      <c r="B205" s="9" t="s">
        <v>212</v>
      </c>
      <c r="D205" s="5"/>
      <c r="E205" s="5">
        <f>E231+E235+E236+E237+E238+E239+E242+E243</f>
        <v>181358</v>
      </c>
      <c r="I205" s="5">
        <f>I231+I235+I236+I237+I238+I239+I242+I243</f>
        <v>213610</v>
      </c>
      <c r="P205" s="5">
        <f>P231+P235+P236+P237+P238+P239+P242+P243</f>
        <v>174351</v>
      </c>
      <c r="Q205" s="5">
        <f>Q231+Q235+Q236+Q237+Q238+Q239+Q242+Q243</f>
        <v>132738</v>
      </c>
      <c r="R205" s="5"/>
      <c r="T205" s="5">
        <f>T231+T235+T236+T237+T238+T239+T242+T243</f>
        <v>111999</v>
      </c>
      <c r="U205" s="5">
        <f t="shared" ref="U205" si="155">U231+U235+U236+U237+U238+U239+U242+U243</f>
        <v>278345</v>
      </c>
      <c r="V205" s="5">
        <f>V231+V235+V236+V237+V238+V239+V242+V243</f>
        <v>287478</v>
      </c>
      <c r="W205" s="5">
        <f>W231+W235+W236+W237+W238+W239+W242+W243</f>
        <v>301677</v>
      </c>
      <c r="X205" s="5">
        <f>X231+X235+X236+X237+X238+X239+X242+X243</f>
        <v>236300</v>
      </c>
      <c r="Y205" s="5">
        <f>Y231+Y235+Y236+Y237+Y238+Y239+Y242+Y243</f>
        <v>273050</v>
      </c>
    </row>
    <row r="206" spans="2:26" ht="14.25" x14ac:dyDescent="0.35">
      <c r="B206" s="9" t="s">
        <v>211</v>
      </c>
      <c r="D206" s="17"/>
      <c r="E206" s="17">
        <f>E232+E233+E234+E240+E241</f>
        <v>48649</v>
      </c>
      <c r="I206" s="17">
        <f>I232+I233+I234+I240+I241</f>
        <v>49098</v>
      </c>
      <c r="P206" s="17">
        <f>P232+P233+P234+P240+P241</f>
        <v>29465</v>
      </c>
      <c r="Q206" s="17">
        <f>Q232+Q233+Q234+Q240+Q241</f>
        <v>17411</v>
      </c>
      <c r="R206" s="17"/>
      <c r="T206" s="17">
        <f>T232+T233+T234+T240+T241</f>
        <v>69360</v>
      </c>
      <c r="U206" s="17">
        <f t="shared" ref="U206" si="156">U232+U233+U234+U240+U241</f>
        <v>82686</v>
      </c>
      <c r="V206" s="17">
        <f>V232+V233+V234+V240+V241</f>
        <v>43604</v>
      </c>
      <c r="W206" s="17">
        <f>W232+W233+W234+W240+W241</f>
        <v>50788</v>
      </c>
      <c r="X206" s="17">
        <f>X232+X233+X234+X240+X241</f>
        <v>26988</v>
      </c>
      <c r="Y206" s="17">
        <f>Y232+Y233+Y234+Y240+Y241</f>
        <v>22461</v>
      </c>
    </row>
    <row r="207" spans="2:26" ht="12" x14ac:dyDescent="0.2">
      <c r="B207" s="13" t="s">
        <v>213</v>
      </c>
      <c r="D207" s="18"/>
      <c r="E207" s="18">
        <f>E204+E205+E206</f>
        <v>438101</v>
      </c>
      <c r="I207" s="18">
        <f>I204+I205+I206</f>
        <v>452897</v>
      </c>
      <c r="P207" s="18">
        <f>P204+P205+P206</f>
        <v>327864</v>
      </c>
      <c r="Q207" s="18">
        <f>Q204+Q205+Q206</f>
        <v>281777</v>
      </c>
      <c r="R207" s="18"/>
      <c r="T207" s="18">
        <f>T204+T205+T206</f>
        <v>376441</v>
      </c>
      <c r="U207" s="18">
        <f t="shared" ref="U207" si="157">U204+U205+U206</f>
        <v>637879</v>
      </c>
      <c r="V207" s="18">
        <f>V204+V205+V206</f>
        <v>474427</v>
      </c>
      <c r="W207" s="18">
        <f>W204+W205+W206</f>
        <v>562225</v>
      </c>
      <c r="X207" s="18">
        <f>X204+X205+X206</f>
        <v>408597</v>
      </c>
      <c r="Y207" s="18">
        <f>Y204+Y205+Y206</f>
        <v>476297</v>
      </c>
      <c r="Z207" s="24">
        <f>((W207/T207)^(1/(2024-2021)))-1</f>
        <v>0.14306539775995764</v>
      </c>
    </row>
    <row r="208" spans="2:26" ht="12" x14ac:dyDescent="0.2">
      <c r="B208" s="6" t="s">
        <v>221</v>
      </c>
      <c r="D208" s="24"/>
      <c r="E208" s="24">
        <f>E207/E$220</f>
        <v>0.48005807582730659</v>
      </c>
      <c r="I208" s="24">
        <f>I207/I$220</f>
        <v>0.43457363716267305</v>
      </c>
      <c r="P208" s="24">
        <f>P207/P$220</f>
        <v>0.39903801683470541</v>
      </c>
      <c r="Q208" s="24">
        <f>Q207/Q$220</f>
        <v>0.43880382715511068</v>
      </c>
      <c r="R208" s="24"/>
      <c r="T208" s="24">
        <f>T207/T$220</f>
        <v>0.4825844943670422</v>
      </c>
      <c r="U208" s="24">
        <f>U207/U$220</f>
        <v>0.48837179033697919</v>
      </c>
      <c r="V208" s="24">
        <f>V207/V$220</f>
        <v>0.37346223239616233</v>
      </c>
      <c r="W208" s="24">
        <f>W207/W$220</f>
        <v>0.37640434017351859</v>
      </c>
      <c r="X208" s="24">
        <f>X207/X$220</f>
        <v>0.4801233806292412</v>
      </c>
      <c r="Y208" s="24">
        <f>Y207/Y$220</f>
        <v>0.48634935481466429</v>
      </c>
    </row>
    <row r="209" spans="2:26" ht="15.75" customHeight="1" x14ac:dyDescent="0.2">
      <c r="B209" s="9" t="s">
        <v>214</v>
      </c>
      <c r="D209" s="5"/>
      <c r="E209" s="5">
        <f>E244+E245</f>
        <v>186545</v>
      </c>
      <c r="I209" s="5">
        <f>I244+I245</f>
        <v>249694</v>
      </c>
      <c r="P209" s="5">
        <f>P244+P245</f>
        <v>214821</v>
      </c>
      <c r="Q209" s="5">
        <f>Q244+Q245</f>
        <v>301715</v>
      </c>
      <c r="R209" s="5"/>
      <c r="T209" s="5">
        <f>T244+T245</f>
        <v>127204</v>
      </c>
      <c r="U209" s="5">
        <f t="shared" ref="U209" si="158">U244+U245</f>
        <v>271758</v>
      </c>
      <c r="V209" s="5">
        <f>V244+V245</f>
        <v>344778</v>
      </c>
      <c r="W209" s="5">
        <f>W244+W245</f>
        <v>398764</v>
      </c>
      <c r="X209" s="5">
        <f>X244+X245</f>
        <v>367407</v>
      </c>
      <c r="Y209" s="5">
        <f>Y244+Y245</f>
        <v>417857</v>
      </c>
    </row>
    <row r="210" spans="2:26" ht="14.25" x14ac:dyDescent="0.35">
      <c r="B210" s="9" t="s">
        <v>216</v>
      </c>
      <c r="D210" s="17"/>
      <c r="E210" s="17">
        <f>E246+E247+E248</f>
        <v>133212</v>
      </c>
      <c r="I210" s="17">
        <f>I246+I247+I248</f>
        <v>191496</v>
      </c>
      <c r="P210" s="17">
        <f>P246+P247+P248</f>
        <v>155488</v>
      </c>
      <c r="Q210" s="17">
        <f>Q246+Q247+Q248</f>
        <v>3256</v>
      </c>
      <c r="R210" s="17"/>
      <c r="T210" s="17">
        <f>T246+T247+T248</f>
        <v>117158</v>
      </c>
      <c r="U210" s="17">
        <f t="shared" ref="U210" si="159">U246+U247+U248</f>
        <v>191429</v>
      </c>
      <c r="V210" s="17">
        <f>V246+V247+V248</f>
        <v>254522</v>
      </c>
      <c r="W210" s="17">
        <f>W246+W247+W248</f>
        <v>293054</v>
      </c>
      <c r="X210" s="17">
        <f>X246+X247+X248</f>
        <v>2086</v>
      </c>
      <c r="Y210" s="17">
        <f>Y246+Y247+Y248</f>
        <v>6870</v>
      </c>
    </row>
    <row r="211" spans="2:26" ht="12" x14ac:dyDescent="0.2">
      <c r="B211" s="13" t="s">
        <v>215</v>
      </c>
      <c r="D211" s="18"/>
      <c r="E211" s="18">
        <f>E209+E210</f>
        <v>319757</v>
      </c>
      <c r="I211" s="18">
        <f>I209+I210</f>
        <v>441190</v>
      </c>
      <c r="P211" s="18">
        <f>P209+P210</f>
        <v>370309</v>
      </c>
      <c r="Q211" s="18">
        <f>Q209+Q210</f>
        <v>304971</v>
      </c>
      <c r="R211" s="18"/>
      <c r="T211" s="18">
        <f>T209+T210</f>
        <v>244362</v>
      </c>
      <c r="U211" s="18">
        <f t="shared" ref="U211" si="160">U209+U210</f>
        <v>463187</v>
      </c>
      <c r="V211" s="18">
        <f>V209+V210</f>
        <v>599300</v>
      </c>
      <c r="W211" s="18">
        <f>W209+W210</f>
        <v>691818</v>
      </c>
      <c r="X211" s="18">
        <f>X209+X210</f>
        <v>369493</v>
      </c>
      <c r="Y211" s="18">
        <f>Y209+Y210</f>
        <v>424727</v>
      </c>
      <c r="Z211" s="24">
        <f>((W211/T211)^(1/(2024-2021)))-1</f>
        <v>0.41466213342207237</v>
      </c>
    </row>
    <row r="212" spans="2:26" ht="12" x14ac:dyDescent="0.2">
      <c r="B212" s="6" t="s">
        <v>221</v>
      </c>
      <c r="D212" s="24"/>
      <c r="E212" s="24">
        <f>E211/E$220</f>
        <v>0.35038023230330922</v>
      </c>
      <c r="I212" s="24">
        <f>I211/I$220</f>
        <v>0.42334028041651794</v>
      </c>
      <c r="P212" s="24">
        <f>P211/P$220</f>
        <v>0.45069714569468716</v>
      </c>
      <c r="Q212" s="24">
        <f>Q211/Q$220</f>
        <v>0.47492322642132345</v>
      </c>
      <c r="R212" s="24"/>
      <c r="T212" s="24">
        <f>T211/T$220</f>
        <v>0.31326373113587297</v>
      </c>
      <c r="U212" s="24">
        <f>U211/U$220</f>
        <v>0.35462441066536815</v>
      </c>
      <c r="V212" s="24">
        <f>V211/V$220</f>
        <v>0.47176049397487935</v>
      </c>
      <c r="W212" s="24">
        <f>W211/W$220</f>
        <v>0.46316563263846905</v>
      </c>
      <c r="X212" s="24">
        <f>X211/X$220</f>
        <v>0.43417408419259129</v>
      </c>
      <c r="Y212" s="24">
        <f>Y211/Y$220</f>
        <v>0.43369095841957417</v>
      </c>
    </row>
    <row r="213" spans="2:26" ht="12" x14ac:dyDescent="0.2">
      <c r="B213" s="9" t="s">
        <v>201</v>
      </c>
      <c r="D213" s="5"/>
      <c r="E213" s="5">
        <f>E249</f>
        <v>77049</v>
      </c>
      <c r="I213" s="5">
        <f>I249</f>
        <v>75819</v>
      </c>
      <c r="P213" s="5">
        <f>P249</f>
        <v>55382</v>
      </c>
      <c r="Q213" s="5">
        <f>Q249</f>
        <v>11767</v>
      </c>
      <c r="R213" s="5"/>
      <c r="T213" s="5">
        <f>T249</f>
        <v>100921</v>
      </c>
      <c r="U213" s="5">
        <f t="shared" ref="U213" si="161">U249</f>
        <v>102025</v>
      </c>
      <c r="V213" s="5">
        <f>V249</f>
        <v>99060</v>
      </c>
      <c r="W213" s="5">
        <f>W249</f>
        <v>111115</v>
      </c>
      <c r="X213" s="5">
        <f>X249</f>
        <v>12706</v>
      </c>
      <c r="Y213" s="5">
        <f>Y249</f>
        <v>17570</v>
      </c>
    </row>
    <row r="214" spans="2:26" ht="12" x14ac:dyDescent="0.2">
      <c r="B214" s="9" t="s">
        <v>218</v>
      </c>
      <c r="D214" s="5"/>
      <c r="E214" s="5">
        <f>E250</f>
        <v>29479</v>
      </c>
      <c r="I214" s="5">
        <f>I250</f>
        <v>23167</v>
      </c>
      <c r="P214" s="5">
        <f>P250</f>
        <v>22671</v>
      </c>
      <c r="Q214" s="5">
        <f>Q250</f>
        <v>4988</v>
      </c>
      <c r="R214" s="5"/>
      <c r="T214" s="5">
        <f>T250</f>
        <v>33764</v>
      </c>
      <c r="U214" s="5">
        <f t="shared" ref="U214" si="162">U250</f>
        <v>38271</v>
      </c>
      <c r="V214" s="5">
        <f>V250</f>
        <v>32045</v>
      </c>
      <c r="W214" s="5">
        <f>W250</f>
        <v>41605</v>
      </c>
      <c r="X214" s="5">
        <f>X250</f>
        <v>7389</v>
      </c>
      <c r="Y214" s="5">
        <f>Y250</f>
        <v>7761</v>
      </c>
    </row>
    <row r="215" spans="2:26" ht="14.25" x14ac:dyDescent="0.35">
      <c r="B215" s="9" t="s">
        <v>219</v>
      </c>
      <c r="D215" s="17"/>
      <c r="E215" s="17">
        <f>E251+E252</f>
        <v>44271</v>
      </c>
      <c r="I215" s="17">
        <f>I251+I252</f>
        <v>43896</v>
      </c>
      <c r="P215" s="17">
        <f>P251+P252</f>
        <v>39490</v>
      </c>
      <c r="Q215" s="17">
        <f>Q251+Q252</f>
        <v>35074</v>
      </c>
      <c r="R215" s="17"/>
      <c r="T215" s="17">
        <f>T251+T252</f>
        <v>19086</v>
      </c>
      <c r="U215" s="17">
        <f t="shared" ref="U215" si="163">U251+U252</f>
        <v>58602</v>
      </c>
      <c r="V215" s="17">
        <f>V251+V252</f>
        <v>60397</v>
      </c>
      <c r="W215" s="17">
        <f>W251+W252</f>
        <v>76783</v>
      </c>
      <c r="X215" s="17">
        <f>X251+X252</f>
        <v>48673</v>
      </c>
      <c r="Y215" s="17">
        <f>Y251+Y252</f>
        <v>48091</v>
      </c>
    </row>
    <row r="216" spans="2:26" ht="12" x14ac:dyDescent="0.2">
      <c r="B216" s="13" t="s">
        <v>217</v>
      </c>
      <c r="D216" s="18"/>
      <c r="E216" s="18">
        <f>E214+E215+E213</f>
        <v>150799</v>
      </c>
      <c r="I216" s="18">
        <f>I214+I215+I213</f>
        <v>142882</v>
      </c>
      <c r="P216" s="18">
        <f>P214+P215+P213</f>
        <v>117543</v>
      </c>
      <c r="Q216" s="18">
        <f>Q214+Q215+Q213</f>
        <v>51829</v>
      </c>
      <c r="R216" s="18"/>
      <c r="T216" s="18">
        <f>T214+T215+T213</f>
        <v>153771</v>
      </c>
      <c r="U216" s="18">
        <f t="shared" ref="U216" si="164">U214+U215+U213</f>
        <v>198898</v>
      </c>
      <c r="V216" s="18">
        <f>V214+V215+V213</f>
        <v>191502</v>
      </c>
      <c r="W216" s="18">
        <f>W214+W215+W213</f>
        <v>229503</v>
      </c>
      <c r="X216" s="18">
        <f>X214+X215+X213</f>
        <v>68768</v>
      </c>
      <c r="Y216" s="18">
        <f>Y214+Y215+Y213</f>
        <v>73422</v>
      </c>
      <c r="Z216" s="24">
        <f>((W216/T216)^(1/(2024-2021)))-1</f>
        <v>0.14280283584708919</v>
      </c>
    </row>
    <row r="217" spans="2:26" ht="12" x14ac:dyDescent="0.2">
      <c r="B217" s="6" t="s">
        <v>221</v>
      </c>
      <c r="D217" s="24"/>
      <c r="E217" s="24">
        <f>E216/E$220</f>
        <v>0.1652410694718387</v>
      </c>
      <c r="I217" s="24">
        <f>I216/I$220</f>
        <v>0.13710126237329248</v>
      </c>
      <c r="P217" s="24">
        <f>P216/P$220</f>
        <v>0.14305970040261137</v>
      </c>
      <c r="Q217" s="24">
        <f>Q216/Q$220</f>
        <v>8.0711923108068545E-2</v>
      </c>
      <c r="R217" s="24"/>
      <c r="T217" s="24">
        <f>T216/T$220</f>
        <v>0.1971291657479245</v>
      </c>
      <c r="U217" s="24">
        <f>U216/U$220</f>
        <v>0.15227993452432906</v>
      </c>
      <c r="V217" s="24">
        <f>V216/V$220</f>
        <v>0.15074766914262863</v>
      </c>
      <c r="W217" s="24">
        <f>W216/W$220</f>
        <v>0.15365009610537247</v>
      </c>
      <c r="X217" s="24">
        <f>X216/X$220</f>
        <v>8.080608677770923E-2</v>
      </c>
      <c r="Y217" s="24">
        <f>Y216/Y$220</f>
        <v>7.4971587747145754E-2</v>
      </c>
    </row>
    <row r="218" spans="2:26" ht="12" x14ac:dyDescent="0.2">
      <c r="B218" s="13" t="s">
        <v>220</v>
      </c>
      <c r="D218" s="18"/>
      <c r="E218" s="18">
        <f>E253</f>
        <v>3943</v>
      </c>
      <c r="I218" s="18">
        <f>I253</f>
        <v>5195</v>
      </c>
      <c r="P218" s="18">
        <f>P253</f>
        <v>5920</v>
      </c>
      <c r="Q218" s="18">
        <f>Q253</f>
        <v>3571</v>
      </c>
      <c r="R218" s="18"/>
      <c r="T218" s="18">
        <f>T253</f>
        <v>5478</v>
      </c>
      <c r="U218" s="18">
        <f t="shared" ref="U218" si="165">U253</f>
        <v>6170</v>
      </c>
      <c r="V218" s="18">
        <f>V253</f>
        <v>5119</v>
      </c>
      <c r="W218" s="18">
        <f>W253</f>
        <v>10127</v>
      </c>
      <c r="X218" s="18">
        <f>X253</f>
        <v>4167</v>
      </c>
      <c r="Y218" s="18">
        <f>Y253</f>
        <v>4885</v>
      </c>
    </row>
    <row r="219" spans="2:26" ht="12" x14ac:dyDescent="0.2">
      <c r="B219" s="13"/>
      <c r="D219" s="24"/>
      <c r="E219" s="24">
        <f>E218/E$220</f>
        <v>4.3206223975454745E-3</v>
      </c>
      <c r="I219" s="24">
        <f>I218/I$220</f>
        <v>4.9848200475165133E-3</v>
      </c>
      <c r="P219" s="24">
        <f>P218/P$220</f>
        <v>7.2051370679960466E-3</v>
      </c>
      <c r="Q219" s="24">
        <f>Q218/Q$220</f>
        <v>5.5610233154973618E-3</v>
      </c>
      <c r="R219" s="24"/>
      <c r="T219" s="24">
        <f>T218/T$220</f>
        <v>7.0226087491603124E-3</v>
      </c>
      <c r="U219" s="24">
        <f>U218/U$220</f>
        <v>4.7238644733235639E-3</v>
      </c>
      <c r="V219" s="24">
        <f>V218/V$220</f>
        <v>4.02960448632973E-3</v>
      </c>
      <c r="W219" s="24">
        <f>W218/W$220</f>
        <v>6.7799310826399083E-3</v>
      </c>
      <c r="X219" s="24">
        <f>X218/X$220</f>
        <v>4.896448400458271E-3</v>
      </c>
      <c r="Y219" s="24">
        <f>Y218/Y$220</f>
        <v>4.9880990186157697E-3</v>
      </c>
    </row>
    <row r="220" spans="2:26" ht="12" x14ac:dyDescent="0.2">
      <c r="B220" s="13"/>
      <c r="D220" s="18"/>
      <c r="E220" s="18">
        <f>E218+E216+E211+E207</f>
        <v>912600</v>
      </c>
      <c r="I220" s="18">
        <f>I218+I216+I211+I207</f>
        <v>1042164</v>
      </c>
      <c r="P220" s="18">
        <f>P218+P216+P211+P207</f>
        <v>821636</v>
      </c>
      <c r="Q220" s="18">
        <f>Q218+Q216+Q211+Q207</f>
        <v>642148</v>
      </c>
      <c r="R220" s="18"/>
      <c r="T220" s="18">
        <f>T218+T216+T211+T207</f>
        <v>780052</v>
      </c>
      <c r="U220" s="18">
        <f t="shared" ref="U220" si="166">U218+U216+U211+U207</f>
        <v>1306134</v>
      </c>
      <c r="V220" s="18">
        <f>V218+V216+V211+V207</f>
        <v>1270348</v>
      </c>
      <c r="W220" s="18">
        <f>W218+W216+W211+W207</f>
        <v>1493673</v>
      </c>
      <c r="X220" s="18">
        <f>X218+X216+X211+X207</f>
        <v>851025</v>
      </c>
      <c r="Y220" s="18">
        <f>Y218+Y216+Y211+Y207</f>
        <v>979331</v>
      </c>
      <c r="Z220" s="24">
        <f>((W220/T220)^(1/(2024-2021)))-1</f>
        <v>0.24177808749810215</v>
      </c>
    </row>
    <row r="221" spans="2:26" ht="12" x14ac:dyDescent="0.2">
      <c r="B221" s="13" t="s">
        <v>243</v>
      </c>
      <c r="D221" s="18"/>
      <c r="E221" s="18"/>
      <c r="I221" s="18"/>
      <c r="P221" s="18"/>
      <c r="Q221" s="18"/>
      <c r="R221" s="18"/>
      <c r="T221" s="18"/>
      <c r="U221" s="18"/>
      <c r="V221" s="18"/>
      <c r="W221" s="18"/>
      <c r="X221" s="18"/>
      <c r="Y221" s="18"/>
    </row>
    <row r="222" spans="2:26" ht="12" x14ac:dyDescent="0.2">
      <c r="B222" s="2" t="s">
        <v>244</v>
      </c>
      <c r="D222" s="18"/>
      <c r="E222" s="18"/>
      <c r="I222" s="18"/>
      <c r="P222" s="18"/>
      <c r="Q222" s="18"/>
      <c r="R222" s="18"/>
      <c r="T222" s="40"/>
      <c r="U222" s="40">
        <f>U207/T207-1</f>
        <v>0.69449927080206453</v>
      </c>
      <c r="V222" s="40">
        <f>V207/U207-1</f>
        <v>-0.25624295516861351</v>
      </c>
      <c r="W222" s="40">
        <f>W207/V207-1</f>
        <v>0.18506113690831261</v>
      </c>
      <c r="X222" s="40"/>
      <c r="Y222" s="40"/>
    </row>
    <row r="223" spans="2:26" ht="12" x14ac:dyDescent="0.2">
      <c r="B223" s="2" t="s">
        <v>245</v>
      </c>
      <c r="D223" s="18"/>
      <c r="E223" s="18"/>
      <c r="I223" s="18"/>
      <c r="P223" s="18"/>
      <c r="Q223" s="18"/>
      <c r="R223" s="18"/>
      <c r="T223" s="40"/>
      <c r="U223" s="40">
        <f>U211/T211-1</f>
        <v>0.89549520792921977</v>
      </c>
      <c r="V223" s="40">
        <f>V211/U211-1</f>
        <v>0.29386187436175892</v>
      </c>
      <c r="W223" s="40">
        <f>W211/V211-1</f>
        <v>0.1543767729017187</v>
      </c>
      <c r="X223" s="40"/>
      <c r="Y223" s="40"/>
    </row>
    <row r="224" spans="2:26" ht="12" x14ac:dyDescent="0.2">
      <c r="B224" s="2" t="s">
        <v>246</v>
      </c>
      <c r="D224" s="18"/>
      <c r="E224" s="18"/>
      <c r="I224" s="18"/>
      <c r="P224" s="18"/>
      <c r="Q224" s="18"/>
      <c r="R224" s="18"/>
      <c r="T224" s="40"/>
      <c r="U224" s="40">
        <f>U216/T216-1</f>
        <v>0.29346885953788426</v>
      </c>
      <c r="V224" s="40">
        <f>V216/U216-1</f>
        <v>-3.7184888736940591E-2</v>
      </c>
      <c r="W224" s="40">
        <f>W216/V216-1</f>
        <v>0.19843656985305635</v>
      </c>
      <c r="X224" s="40"/>
      <c r="Y224" s="40"/>
    </row>
    <row r="225" spans="2:25" ht="9" customHeight="1" x14ac:dyDescent="0.2">
      <c r="B225" s="2" t="s">
        <v>220</v>
      </c>
      <c r="D225" s="18"/>
      <c r="E225" s="18"/>
      <c r="I225" s="18"/>
      <c r="P225" s="18"/>
      <c r="Q225" s="18"/>
      <c r="R225" s="18"/>
      <c r="T225" s="40"/>
      <c r="U225" s="40">
        <f>U218/T218-1</f>
        <v>0.12632347572106606</v>
      </c>
      <c r="V225" s="40">
        <f>V218/U218-1</f>
        <v>-0.17034035656401947</v>
      </c>
      <c r="W225" s="40">
        <f>W218/V218-1</f>
        <v>0.97831607735885906</v>
      </c>
      <c r="X225" s="40"/>
      <c r="Y225" s="40"/>
    </row>
    <row r="226" spans="2:25" ht="12" x14ac:dyDescent="0.2">
      <c r="B226" s="13"/>
      <c r="D226" s="5"/>
      <c r="E226" s="5"/>
      <c r="I226" s="5"/>
      <c r="P226" s="5"/>
      <c r="Q226" s="5"/>
      <c r="R226" s="5"/>
      <c r="T226" s="5"/>
      <c r="U226" s="5"/>
      <c r="V226" s="5"/>
      <c r="W226" s="5"/>
      <c r="X226" s="5"/>
      <c r="Y226" s="5"/>
    </row>
    <row r="227" spans="2:25" ht="12" x14ac:dyDescent="0.2">
      <c r="B227" s="2" t="s">
        <v>8</v>
      </c>
      <c r="D227" s="2"/>
      <c r="E227" s="2"/>
    </row>
    <row r="228" spans="2:25" ht="12" x14ac:dyDescent="0.2">
      <c r="B228" s="9" t="s">
        <v>185</v>
      </c>
      <c r="D228" s="1"/>
      <c r="E228" s="1">
        <v>22554</v>
      </c>
      <c r="I228" s="1">
        <v>18572</v>
      </c>
      <c r="P228" s="1">
        <v>784</v>
      </c>
      <c r="Q228" s="1">
        <v>1129</v>
      </c>
      <c r="R228" s="1"/>
      <c r="T228" s="1">
        <v>19399</v>
      </c>
      <c r="U228" s="1">
        <v>26723</v>
      </c>
      <c r="V228" s="1">
        <v>1443</v>
      </c>
      <c r="W228" s="1">
        <v>1398</v>
      </c>
      <c r="X228" s="1">
        <v>1389</v>
      </c>
      <c r="Y228" s="1">
        <v>1365</v>
      </c>
    </row>
    <row r="229" spans="2:25" ht="12" x14ac:dyDescent="0.2">
      <c r="B229" s="9" t="s">
        <v>186</v>
      </c>
      <c r="D229" s="1"/>
      <c r="E229" s="1">
        <v>156073</v>
      </c>
      <c r="I229" s="1">
        <v>148335</v>
      </c>
      <c r="P229" s="1">
        <v>105893</v>
      </c>
      <c r="Q229" s="1">
        <v>125376</v>
      </c>
      <c r="R229" s="1"/>
      <c r="T229" s="1">
        <v>139108</v>
      </c>
      <c r="U229" s="1">
        <v>208559</v>
      </c>
      <c r="V229" s="1">
        <v>119072</v>
      </c>
      <c r="W229" s="1">
        <v>183271</v>
      </c>
      <c r="X229" s="1">
        <v>141051</v>
      </c>
      <c r="Y229" s="1">
        <v>171186</v>
      </c>
    </row>
    <row r="230" spans="2:25" ht="12" x14ac:dyDescent="0.2">
      <c r="B230" s="9" t="s">
        <v>187</v>
      </c>
      <c r="D230" s="1"/>
      <c r="E230" s="1">
        <v>29467</v>
      </c>
      <c r="I230" s="1">
        <v>23282</v>
      </c>
      <c r="P230" s="1">
        <v>17371</v>
      </c>
      <c r="Q230" s="1">
        <v>5123</v>
      </c>
      <c r="R230" s="1"/>
      <c r="T230" s="1">
        <v>36575</v>
      </c>
      <c r="U230" s="1">
        <v>41566</v>
      </c>
      <c r="V230" s="1">
        <v>22830</v>
      </c>
      <c r="W230" s="1">
        <v>25091</v>
      </c>
      <c r="X230" s="1">
        <v>2869</v>
      </c>
      <c r="Y230" s="1">
        <v>8235</v>
      </c>
    </row>
    <row r="231" spans="2:25" ht="12" x14ac:dyDescent="0.2">
      <c r="B231" s="9" t="s">
        <v>188</v>
      </c>
      <c r="D231" s="1"/>
      <c r="E231" s="1">
        <v>20176</v>
      </c>
      <c r="I231" s="1">
        <v>11630</v>
      </c>
      <c r="P231" s="1">
        <v>56187</v>
      </c>
      <c r="Q231" s="1">
        <v>7797</v>
      </c>
      <c r="R231" s="1"/>
      <c r="T231" s="1">
        <v>17907</v>
      </c>
      <c r="U231" s="1">
        <v>26288</v>
      </c>
      <c r="V231" s="1">
        <v>13547</v>
      </c>
      <c r="W231" s="1">
        <v>102809</v>
      </c>
      <c r="X231" s="1">
        <v>97785</v>
      </c>
      <c r="Y231" s="1">
        <v>101222</v>
      </c>
    </row>
    <row r="232" spans="2:25" ht="12" x14ac:dyDescent="0.2">
      <c r="B232" s="9" t="s">
        <v>206</v>
      </c>
      <c r="D232" s="1"/>
      <c r="E232" s="1">
        <v>12029</v>
      </c>
      <c r="I232" s="1">
        <v>19645</v>
      </c>
      <c r="P232" s="1">
        <v>7172</v>
      </c>
      <c r="Q232" s="1">
        <v>6414</v>
      </c>
      <c r="R232" s="1"/>
      <c r="T232" s="1">
        <v>23856</v>
      </c>
      <c r="U232" s="1">
        <v>21813</v>
      </c>
      <c r="V232" s="1">
        <v>8828</v>
      </c>
      <c r="W232" s="1">
        <v>12714</v>
      </c>
      <c r="X232" s="1">
        <v>8834</v>
      </c>
      <c r="Y232" s="1">
        <v>9225</v>
      </c>
    </row>
    <row r="233" spans="2:25" ht="12" x14ac:dyDescent="0.2">
      <c r="B233" s="9" t="s">
        <v>207</v>
      </c>
      <c r="D233" s="1"/>
      <c r="E233" s="1">
        <v>10184</v>
      </c>
      <c r="I233" s="1">
        <v>14314</v>
      </c>
      <c r="P233" s="1">
        <v>6337</v>
      </c>
      <c r="Q233" s="1">
        <v>59</v>
      </c>
      <c r="R233" s="1"/>
      <c r="T233" s="1">
        <v>17608</v>
      </c>
      <c r="U233" s="1">
        <v>24703</v>
      </c>
      <c r="V233" s="1">
        <v>13727</v>
      </c>
      <c r="W233" s="1">
        <v>13428</v>
      </c>
      <c r="X233" s="1"/>
      <c r="Y233" s="1"/>
    </row>
    <row r="234" spans="2:25" ht="12" x14ac:dyDescent="0.2">
      <c r="B234" s="9" t="s">
        <v>189</v>
      </c>
      <c r="D234" s="1"/>
      <c r="E234" s="1">
        <v>11530</v>
      </c>
      <c r="I234" s="1">
        <v>9173</v>
      </c>
      <c r="P234" s="1">
        <v>9437</v>
      </c>
      <c r="Q234" s="1">
        <v>4131</v>
      </c>
      <c r="R234" s="1"/>
      <c r="T234" s="1">
        <v>17385</v>
      </c>
      <c r="U234" s="1">
        <v>16502</v>
      </c>
      <c r="V234" s="1">
        <v>13539</v>
      </c>
      <c r="W234" s="1">
        <v>14756</v>
      </c>
      <c r="X234" s="1">
        <v>8372</v>
      </c>
      <c r="Y234" s="1">
        <v>5272</v>
      </c>
    </row>
    <row r="235" spans="2:25" ht="12" x14ac:dyDescent="0.2">
      <c r="B235" s="9" t="s">
        <v>190</v>
      </c>
      <c r="D235" s="1"/>
      <c r="E235" s="1">
        <v>17647</v>
      </c>
      <c r="I235" s="1">
        <v>22331</v>
      </c>
      <c r="P235" s="1">
        <v>17669</v>
      </c>
      <c r="Q235" s="1">
        <v>24216</v>
      </c>
      <c r="R235" s="1"/>
      <c r="T235" s="1">
        <v>15227</v>
      </c>
      <c r="U235" s="1">
        <v>25649</v>
      </c>
      <c r="V235" s="1">
        <v>31101</v>
      </c>
      <c r="W235" s="1">
        <v>29486</v>
      </c>
      <c r="X235" s="1">
        <v>28361</v>
      </c>
      <c r="Y235" s="1">
        <v>32718</v>
      </c>
    </row>
    <row r="236" spans="2:25" ht="12" x14ac:dyDescent="0.2">
      <c r="B236" s="9" t="s">
        <v>208</v>
      </c>
      <c r="D236" s="1"/>
      <c r="E236" s="1">
        <v>8593</v>
      </c>
      <c r="I236" s="1">
        <v>4961</v>
      </c>
      <c r="P236" s="1">
        <v>8035</v>
      </c>
      <c r="Q236" s="1">
        <v>3380</v>
      </c>
      <c r="R236" s="1"/>
      <c r="T236" s="1">
        <v>5973</v>
      </c>
      <c r="U236" s="1">
        <v>11041</v>
      </c>
      <c r="V236" s="1">
        <v>6529</v>
      </c>
      <c r="W236" s="1">
        <v>11628</v>
      </c>
      <c r="X236" s="1">
        <v>2834</v>
      </c>
      <c r="Y236" s="1">
        <v>4911</v>
      </c>
    </row>
    <row r="237" spans="2:25" ht="12" x14ac:dyDescent="0.2">
      <c r="B237" s="9" t="s">
        <v>209</v>
      </c>
      <c r="D237" s="1"/>
      <c r="E237" s="1">
        <v>13272</v>
      </c>
      <c r="I237" s="1">
        <v>8328</v>
      </c>
      <c r="P237" s="1">
        <v>9778</v>
      </c>
      <c r="Q237" s="1">
        <v>9176</v>
      </c>
      <c r="R237" s="1"/>
      <c r="T237" s="1">
        <v>26277</v>
      </c>
      <c r="U237" s="1">
        <v>21262</v>
      </c>
      <c r="V237" s="1">
        <v>11196</v>
      </c>
      <c r="W237" s="1">
        <v>17846</v>
      </c>
      <c r="X237" s="1">
        <v>10506</v>
      </c>
      <c r="Y237" s="1">
        <v>12729</v>
      </c>
    </row>
    <row r="238" spans="2:25" ht="12" x14ac:dyDescent="0.2">
      <c r="B238" s="9" t="s">
        <v>191</v>
      </c>
      <c r="D238" s="1"/>
      <c r="E238" s="1">
        <v>5197</v>
      </c>
      <c r="I238" s="1">
        <v>2590</v>
      </c>
      <c r="P238" s="1">
        <v>628</v>
      </c>
      <c r="Q238" s="1">
        <v>605</v>
      </c>
      <c r="R238" s="1"/>
      <c r="T238" s="1">
        <v>7018</v>
      </c>
      <c r="U238" s="1">
        <v>8484</v>
      </c>
      <c r="V238" s="1">
        <v>3674</v>
      </c>
      <c r="W238" s="1">
        <v>3595</v>
      </c>
      <c r="X238" s="1"/>
      <c r="Y238" s="1"/>
    </row>
    <row r="239" spans="2:25" ht="12" x14ac:dyDescent="0.2">
      <c r="B239" s="9" t="s">
        <v>192</v>
      </c>
      <c r="D239" s="1"/>
      <c r="E239" s="1">
        <v>6722</v>
      </c>
      <c r="I239" s="1">
        <v>8089</v>
      </c>
      <c r="P239" s="1">
        <v>8828</v>
      </c>
      <c r="Q239" s="1">
        <v>2152</v>
      </c>
      <c r="R239" s="1"/>
      <c r="T239" s="1">
        <v>7351</v>
      </c>
      <c r="U239" s="1">
        <v>12496</v>
      </c>
      <c r="V239" s="1">
        <v>11204</v>
      </c>
      <c r="W239" s="1">
        <v>13501</v>
      </c>
      <c r="X239" s="1">
        <v>1912</v>
      </c>
      <c r="Y239" s="1">
        <v>4075</v>
      </c>
    </row>
    <row r="240" spans="2:25" ht="12" x14ac:dyDescent="0.2">
      <c r="B240" s="9" t="s">
        <v>193</v>
      </c>
      <c r="D240" s="1"/>
      <c r="E240" s="1">
        <v>8710</v>
      </c>
      <c r="I240" s="1">
        <v>5559</v>
      </c>
      <c r="P240" s="1">
        <v>6519</v>
      </c>
      <c r="Q240" s="1">
        <v>6807</v>
      </c>
      <c r="R240" s="1"/>
      <c r="T240" s="1">
        <v>5666</v>
      </c>
      <c r="U240" s="1">
        <v>11737</v>
      </c>
      <c r="V240" s="1">
        <v>7118</v>
      </c>
      <c r="W240" s="1">
        <v>9890</v>
      </c>
      <c r="X240" s="1">
        <v>9782</v>
      </c>
      <c r="Y240" s="1">
        <v>7964</v>
      </c>
    </row>
    <row r="241" spans="2:25" ht="12" x14ac:dyDescent="0.2">
      <c r="B241" s="9" t="s">
        <v>194</v>
      </c>
      <c r="D241" s="1"/>
      <c r="E241" s="1">
        <v>6196</v>
      </c>
      <c r="I241" s="1">
        <v>407</v>
      </c>
      <c r="P241" s="1">
        <v>0</v>
      </c>
      <c r="Q241" s="2">
        <v>0</v>
      </c>
      <c r="R241" s="1"/>
      <c r="T241" s="1">
        <v>4845</v>
      </c>
      <c r="U241" s="1">
        <v>7931</v>
      </c>
      <c r="V241" s="1">
        <v>392</v>
      </c>
      <c r="W241" s="1">
        <v>0</v>
      </c>
      <c r="X241" s="1"/>
      <c r="Y241" s="1"/>
    </row>
    <row r="242" spans="2:25" ht="12" x14ac:dyDescent="0.2">
      <c r="B242" s="9" t="s">
        <v>333</v>
      </c>
      <c r="D242" s="1"/>
      <c r="E242" s="1">
        <v>67568</v>
      </c>
      <c r="I242" s="1">
        <v>94687</v>
      </c>
      <c r="P242" s="1">
        <v>26581</v>
      </c>
      <c r="Q242" s="1">
        <v>40535</v>
      </c>
      <c r="R242" s="1"/>
      <c r="T242" s="1">
        <v>0</v>
      </c>
      <c r="U242" s="1">
        <v>110695</v>
      </c>
      <c r="V242" s="1">
        <v>145444</v>
      </c>
      <c r="W242" s="1">
        <v>51238</v>
      </c>
      <c r="X242" s="1">
        <v>51238</v>
      </c>
      <c r="Y242" s="1">
        <v>53164</v>
      </c>
    </row>
    <row r="243" spans="2:25" ht="12" x14ac:dyDescent="0.2">
      <c r="B243" s="9" t="s">
        <v>195</v>
      </c>
      <c r="D243" s="1"/>
      <c r="E243" s="1">
        <v>42183</v>
      </c>
      <c r="I243" s="1">
        <v>60994</v>
      </c>
      <c r="P243" s="1">
        <v>46645</v>
      </c>
      <c r="Q243" s="1">
        <v>44877</v>
      </c>
      <c r="R243" s="1"/>
      <c r="T243" s="1">
        <v>32246</v>
      </c>
      <c r="U243" s="1">
        <v>62430</v>
      </c>
      <c r="V243" s="1">
        <v>64783</v>
      </c>
      <c r="W243" s="1">
        <v>71574</v>
      </c>
      <c r="X243" s="8">
        <f>24048+11051+6714+1851</f>
        <v>43664</v>
      </c>
      <c r="Y243" s="8">
        <f>32123+15629+7487+8992</f>
        <v>64231</v>
      </c>
    </row>
    <row r="244" spans="2:25" ht="12" x14ac:dyDescent="0.2">
      <c r="B244" s="9" t="s">
        <v>196</v>
      </c>
      <c r="D244" s="1"/>
      <c r="E244" s="1">
        <v>176190</v>
      </c>
      <c r="I244" s="1">
        <v>234254</v>
      </c>
      <c r="P244" s="1">
        <v>200148</v>
      </c>
      <c r="Q244" s="1">
        <v>288674</v>
      </c>
      <c r="R244" s="1"/>
      <c r="T244" s="1">
        <v>113495</v>
      </c>
      <c r="U244" s="1">
        <v>254570</v>
      </c>
      <c r="V244" s="1">
        <v>324979</v>
      </c>
      <c r="W244" s="1">
        <v>376622</v>
      </c>
      <c r="X244" s="1">
        <v>348826</v>
      </c>
      <c r="Y244" s="1">
        <v>405279</v>
      </c>
    </row>
    <row r="245" spans="2:25" ht="12" x14ac:dyDescent="0.2">
      <c r="B245" s="9" t="s">
        <v>197</v>
      </c>
      <c r="D245" s="1"/>
      <c r="E245" s="1">
        <v>10355</v>
      </c>
      <c r="I245" s="1">
        <v>15440</v>
      </c>
      <c r="P245" s="1">
        <v>14673</v>
      </c>
      <c r="Q245" s="1">
        <v>13041</v>
      </c>
      <c r="R245" s="1"/>
      <c r="T245" s="1">
        <v>13709</v>
      </c>
      <c r="U245" s="1">
        <v>17188</v>
      </c>
      <c r="V245" s="1">
        <v>19799</v>
      </c>
      <c r="W245" s="1">
        <v>22142</v>
      </c>
      <c r="X245" s="1">
        <v>18581</v>
      </c>
      <c r="Y245" s="1">
        <v>12578</v>
      </c>
    </row>
    <row r="246" spans="2:25" ht="12" x14ac:dyDescent="0.2">
      <c r="B246" s="9" t="s">
        <v>198</v>
      </c>
      <c r="D246" s="1"/>
      <c r="E246" s="1">
        <v>12375</v>
      </c>
      <c r="I246" s="1">
        <v>15600</v>
      </c>
      <c r="P246" s="1">
        <v>15137</v>
      </c>
      <c r="Q246" s="1">
        <v>569</v>
      </c>
      <c r="R246" s="1"/>
      <c r="T246" s="1">
        <v>9409</v>
      </c>
      <c r="U246" s="1">
        <v>18014</v>
      </c>
      <c r="V246" s="1">
        <v>19738</v>
      </c>
      <c r="W246" s="1">
        <v>19708</v>
      </c>
      <c r="X246" s="1">
        <v>519</v>
      </c>
      <c r="Y246" s="1">
        <v>3213</v>
      </c>
    </row>
    <row r="247" spans="2:25" ht="12" x14ac:dyDescent="0.2">
      <c r="B247" s="9" t="s">
        <v>199</v>
      </c>
      <c r="D247" s="1"/>
      <c r="E247" s="1">
        <v>95000</v>
      </c>
      <c r="I247" s="1">
        <v>140699</v>
      </c>
      <c r="P247" s="1">
        <v>120759</v>
      </c>
      <c r="Q247" s="1">
        <v>2390</v>
      </c>
      <c r="R247" s="1"/>
      <c r="T247" s="1">
        <v>87254</v>
      </c>
      <c r="U247" s="1">
        <v>142134</v>
      </c>
      <c r="V247" s="1">
        <v>193451</v>
      </c>
      <c r="W247" s="1">
        <v>228801</v>
      </c>
      <c r="X247" s="1">
        <v>1479</v>
      </c>
      <c r="Y247" s="1">
        <v>3167</v>
      </c>
    </row>
    <row r="248" spans="2:25" ht="12" x14ac:dyDescent="0.2">
      <c r="B248" s="9" t="s">
        <v>200</v>
      </c>
      <c r="D248" s="1"/>
      <c r="E248" s="1">
        <v>25837</v>
      </c>
      <c r="I248" s="1">
        <v>35197</v>
      </c>
      <c r="P248" s="1">
        <v>19592</v>
      </c>
      <c r="Q248" s="1">
        <v>297</v>
      </c>
      <c r="R248" s="1"/>
      <c r="T248" s="1">
        <v>20495</v>
      </c>
      <c r="U248" s="1">
        <v>31281</v>
      </c>
      <c r="V248" s="1">
        <v>41333</v>
      </c>
      <c r="W248" s="1">
        <v>44545</v>
      </c>
      <c r="X248" s="1">
        <v>88</v>
      </c>
      <c r="Y248" s="1">
        <v>490</v>
      </c>
    </row>
    <row r="249" spans="2:25" ht="12" x14ac:dyDescent="0.2">
      <c r="B249" s="9" t="s">
        <v>201</v>
      </c>
      <c r="D249" s="1"/>
      <c r="E249" s="1">
        <v>77049</v>
      </c>
      <c r="I249" s="1">
        <v>75819</v>
      </c>
      <c r="P249" s="1">
        <v>55382</v>
      </c>
      <c r="Q249" s="1">
        <v>11767</v>
      </c>
      <c r="R249" s="1"/>
      <c r="T249" s="1">
        <v>100921</v>
      </c>
      <c r="U249" s="1">
        <v>102025</v>
      </c>
      <c r="V249" s="1">
        <v>99060</v>
      </c>
      <c r="W249" s="1">
        <v>111115</v>
      </c>
      <c r="X249" s="1">
        <v>12706</v>
      </c>
      <c r="Y249" s="1">
        <v>17570</v>
      </c>
    </row>
    <row r="250" spans="2:25" ht="12" x14ac:dyDescent="0.2">
      <c r="B250" s="9" t="s">
        <v>202</v>
      </c>
      <c r="D250" s="1"/>
      <c r="E250" s="1">
        <v>29479</v>
      </c>
      <c r="I250" s="1">
        <v>23167</v>
      </c>
      <c r="P250" s="1">
        <v>22671</v>
      </c>
      <c r="Q250" s="1">
        <v>4988</v>
      </c>
      <c r="R250" s="1"/>
      <c r="T250" s="1">
        <v>33764</v>
      </c>
      <c r="U250" s="1">
        <v>38271</v>
      </c>
      <c r="V250" s="1">
        <v>32045</v>
      </c>
      <c r="W250" s="1">
        <v>41605</v>
      </c>
      <c r="X250" s="1">
        <v>7389</v>
      </c>
      <c r="Y250" s="1">
        <v>7761</v>
      </c>
    </row>
    <row r="251" spans="2:25" ht="12" x14ac:dyDescent="0.2">
      <c r="B251" s="9" t="s">
        <v>203</v>
      </c>
      <c r="D251" s="1"/>
      <c r="E251" s="1">
        <v>7919</v>
      </c>
      <c r="I251" s="1">
        <v>5302</v>
      </c>
      <c r="P251" s="1">
        <v>4202</v>
      </c>
      <c r="Q251" s="1">
        <v>3762</v>
      </c>
      <c r="R251" s="1"/>
      <c r="T251" s="1">
        <v>2902</v>
      </c>
      <c r="U251" s="1">
        <v>10473</v>
      </c>
      <c r="V251" s="1">
        <v>8035</v>
      </c>
      <c r="W251" s="1">
        <v>8695</v>
      </c>
      <c r="X251" s="1">
        <v>7533</v>
      </c>
      <c r="Y251" s="1">
        <v>5460</v>
      </c>
    </row>
    <row r="252" spans="2:25" ht="12" x14ac:dyDescent="0.2">
      <c r="B252" s="9" t="s">
        <v>204</v>
      </c>
      <c r="D252" s="1"/>
      <c r="E252" s="1">
        <v>36352</v>
      </c>
      <c r="I252" s="1">
        <v>38594</v>
      </c>
      <c r="P252" s="1">
        <v>35288</v>
      </c>
      <c r="Q252" s="1">
        <v>31312</v>
      </c>
      <c r="R252" s="1"/>
      <c r="T252" s="1">
        <v>16184</v>
      </c>
      <c r="U252" s="1">
        <v>48129</v>
      </c>
      <c r="V252" s="1">
        <v>52362</v>
      </c>
      <c r="W252" s="1">
        <v>68088</v>
      </c>
      <c r="X252" s="1">
        <v>41140</v>
      </c>
      <c r="Y252" s="1">
        <v>42631</v>
      </c>
    </row>
    <row r="253" spans="2:25" ht="14.25" x14ac:dyDescent="0.35">
      <c r="B253" s="9" t="s">
        <v>205</v>
      </c>
      <c r="D253" s="3"/>
      <c r="E253" s="3">
        <v>3943</v>
      </c>
      <c r="I253" s="3">
        <v>5195</v>
      </c>
      <c r="P253" s="3">
        <v>5920</v>
      </c>
      <c r="Q253" s="3">
        <v>3571</v>
      </c>
      <c r="R253" s="3"/>
      <c r="T253" s="3">
        <v>5478</v>
      </c>
      <c r="U253" s="3">
        <v>6170</v>
      </c>
      <c r="V253" s="3">
        <v>5119</v>
      </c>
      <c r="W253" s="3">
        <v>10127</v>
      </c>
      <c r="X253" s="3">
        <v>4167</v>
      </c>
      <c r="Y253" s="3">
        <v>4885</v>
      </c>
    </row>
    <row r="254" spans="2:25" ht="12" x14ac:dyDescent="0.2">
      <c r="D254" s="5"/>
      <c r="E254" s="5">
        <f>SUM(E228:E253)</f>
        <v>912600</v>
      </c>
      <c r="I254" s="5">
        <f>SUM(I228:I253)</f>
        <v>1042164</v>
      </c>
      <c r="P254" s="5">
        <f>SUM(P228:P253)</f>
        <v>821636</v>
      </c>
      <c r="Q254" s="5"/>
      <c r="R254" s="5"/>
      <c r="T254" s="5">
        <f>SUM(T228:T253)</f>
        <v>780052</v>
      </c>
      <c r="U254" s="5">
        <f t="shared" ref="U254" si="167">SUM(U228:U253)</f>
        <v>1306134</v>
      </c>
      <c r="V254" s="5">
        <f>SUM(V228:V253)</f>
        <v>1270348</v>
      </c>
      <c r="W254" s="5">
        <f>SUM(W228:W253)</f>
        <v>1493673</v>
      </c>
      <c r="X254" s="5">
        <f>SUM(X228:X253)</f>
        <v>851025</v>
      </c>
      <c r="Y254" s="5">
        <f>SUM(Y228:Y253)</f>
        <v>979331</v>
      </c>
    </row>
  </sheetData>
  <pageMargins left="0.7" right="0.7" top="0.75" bottom="0.75" header="0.3" footer="0.3"/>
  <pageSetup orientation="portrait" horizontalDpi="0"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E7D50-CE05-4391-B800-D1BA68F5BE1B}">
  <dimension ref="A1:F26"/>
  <sheetViews>
    <sheetView workbookViewId="0">
      <selection activeCell="F15" sqref="F15"/>
    </sheetView>
  </sheetViews>
  <sheetFormatPr defaultRowHeight="15" x14ac:dyDescent="0.25"/>
  <cols>
    <col min="1" max="1" width="3.140625" style="25" customWidth="1"/>
    <col min="2" max="2" width="42.85546875" style="25" bestFit="1" customWidth="1"/>
    <col min="3" max="3" width="23.85546875" style="25" bestFit="1" customWidth="1"/>
    <col min="4" max="5" width="9.140625" style="25"/>
    <col min="6" max="6" width="50.42578125" style="25" customWidth="1"/>
    <col min="7" max="16384" width="9.140625" style="25"/>
  </cols>
  <sheetData>
    <row r="1" spans="1:6" x14ac:dyDescent="0.25">
      <c r="B1" s="59" t="s">
        <v>128</v>
      </c>
      <c r="C1" s="25" t="s">
        <v>142</v>
      </c>
    </row>
    <row r="2" spans="1:6" x14ac:dyDescent="0.25">
      <c r="B2" s="60" t="s">
        <v>133</v>
      </c>
      <c r="C2" s="60" t="s">
        <v>134</v>
      </c>
      <c r="D2" s="60" t="s">
        <v>135</v>
      </c>
      <c r="E2" s="60" t="s">
        <v>136</v>
      </c>
      <c r="F2" s="60" t="s">
        <v>137</v>
      </c>
    </row>
    <row r="3" spans="1:6" ht="90" x14ac:dyDescent="0.25">
      <c r="A3" s="61"/>
      <c r="B3" s="62" t="s">
        <v>129</v>
      </c>
      <c r="C3" s="61" t="s">
        <v>130</v>
      </c>
      <c r="D3" s="63"/>
      <c r="E3" s="63"/>
      <c r="F3" s="64" t="s">
        <v>138</v>
      </c>
    </row>
    <row r="4" spans="1:6" x14ac:dyDescent="0.25">
      <c r="A4" s="61"/>
      <c r="B4" s="62" t="s">
        <v>131</v>
      </c>
      <c r="C4" s="61" t="s">
        <v>132</v>
      </c>
      <c r="D4" s="63"/>
      <c r="E4" s="63"/>
      <c r="F4" s="67" t="s">
        <v>275</v>
      </c>
    </row>
    <row r="5" spans="1:6" x14ac:dyDescent="0.25">
      <c r="B5" s="65" t="s">
        <v>139</v>
      </c>
      <c r="C5" s="25" t="s">
        <v>140</v>
      </c>
      <c r="D5" s="66"/>
      <c r="E5" s="66"/>
    </row>
    <row r="6" spans="1:6" x14ac:dyDescent="0.25">
      <c r="B6" s="25" t="s">
        <v>147</v>
      </c>
      <c r="D6" s="66"/>
      <c r="E6" s="66"/>
    </row>
    <row r="7" spans="1:6" x14ac:dyDescent="0.25">
      <c r="B7" s="25" t="s">
        <v>148</v>
      </c>
      <c r="D7" s="66"/>
      <c r="E7" s="66"/>
    </row>
    <row r="8" spans="1:6" x14ac:dyDescent="0.25">
      <c r="B8" s="25" t="s">
        <v>149</v>
      </c>
      <c r="D8" s="66"/>
      <c r="E8" s="66"/>
    </row>
    <row r="9" spans="1:6" x14ac:dyDescent="0.25">
      <c r="B9" s="25" t="s">
        <v>150</v>
      </c>
      <c r="D9" s="66"/>
      <c r="E9" s="66"/>
    </row>
    <row r="10" spans="1:6" x14ac:dyDescent="0.25">
      <c r="B10" s="25" t="s">
        <v>151</v>
      </c>
      <c r="C10" s="25" t="s">
        <v>152</v>
      </c>
      <c r="D10" s="66"/>
      <c r="E10" s="66"/>
    </row>
    <row r="11" spans="1:6" x14ac:dyDescent="0.25">
      <c r="B11" s="25" t="s">
        <v>153</v>
      </c>
      <c r="D11" s="66"/>
      <c r="E11" s="66"/>
    </row>
    <row r="12" spans="1:6" x14ac:dyDescent="0.25">
      <c r="B12" s="25" t="s">
        <v>154</v>
      </c>
      <c r="C12" s="25" t="s">
        <v>155</v>
      </c>
      <c r="D12" s="66"/>
      <c r="E12" s="66"/>
    </row>
    <row r="13" spans="1:6" x14ac:dyDescent="0.25">
      <c r="B13" s="25" t="s">
        <v>156</v>
      </c>
      <c r="D13" s="66"/>
      <c r="E13" s="66"/>
    </row>
    <row r="14" spans="1:6" x14ac:dyDescent="0.25">
      <c r="B14" s="25" t="s">
        <v>157</v>
      </c>
      <c r="C14" s="25" t="s">
        <v>158</v>
      </c>
      <c r="D14" s="66"/>
      <c r="E14" s="66"/>
    </row>
    <row r="15" spans="1:6" x14ac:dyDescent="0.25">
      <c r="B15" s="25" t="s">
        <v>159</v>
      </c>
      <c r="C15" s="25" t="s">
        <v>160</v>
      </c>
      <c r="D15" s="66"/>
      <c r="E15" s="66"/>
    </row>
    <row r="16" spans="1:6" x14ac:dyDescent="0.25">
      <c r="B16" s="25" t="s">
        <v>161</v>
      </c>
      <c r="C16" s="25" t="s">
        <v>162</v>
      </c>
      <c r="D16" s="66"/>
      <c r="E16" s="66"/>
      <c r="F16" s="25" t="s">
        <v>274</v>
      </c>
    </row>
    <row r="17" spans="2:5" x14ac:dyDescent="0.25">
      <c r="D17" s="66"/>
      <c r="E17" s="66"/>
    </row>
    <row r="19" spans="2:5" x14ac:dyDescent="0.25">
      <c r="B19" s="59" t="s">
        <v>163</v>
      </c>
    </row>
    <row r="20" spans="2:5" x14ac:dyDescent="0.25">
      <c r="B20" s="25" t="s">
        <v>145</v>
      </c>
    </row>
    <row r="21" spans="2:5" x14ac:dyDescent="0.25">
      <c r="B21" s="25" t="s">
        <v>143</v>
      </c>
      <c r="C21" s="25" t="s">
        <v>164</v>
      </c>
    </row>
    <row r="23" spans="2:5" x14ac:dyDescent="0.25">
      <c r="B23" s="59" t="s">
        <v>141</v>
      </c>
    </row>
    <row r="24" spans="2:5" x14ac:dyDescent="0.25">
      <c r="B24" s="25" t="s">
        <v>144</v>
      </c>
    </row>
    <row r="25" spans="2:5" x14ac:dyDescent="0.25">
      <c r="B25" s="25" t="s">
        <v>122</v>
      </c>
    </row>
    <row r="26" spans="2:5" x14ac:dyDescent="0.25">
      <c r="B26" s="25" t="s">
        <v>146</v>
      </c>
    </row>
  </sheetData>
  <hyperlinks>
    <hyperlink ref="B4" r:id="rId1" xr:uid="{25F65A31-ACE6-4B41-A165-98795B9187D0}"/>
    <hyperlink ref="B3" r:id="rId2" xr:uid="{85B863AB-7F90-4AB7-BF67-57033F0AE292}"/>
    <hyperlink ref="B5" r:id="rId3" xr:uid="{AC04C0DB-0977-40AA-BBA0-D3E87A17587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Main</vt:lpstr>
      <vt:lpstr>Model</vt:lpstr>
      <vt:lpstr>SubsidiariesAffiliates</vt:lpstr>
      <vt:lpstr>Model!_FilterDatabase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Joaquin Goquiolay</dc:creator>
  <cp:lastModifiedBy>Joaquin Goquiolay</cp:lastModifiedBy>
  <dcterms:created xsi:type="dcterms:W3CDTF">2025-09-05T18:38:48Z</dcterms:created>
  <dcterms:modified xsi:type="dcterms:W3CDTF">2026-04-09T05:06:24Z</dcterms:modified>
</cp:coreProperties>
</file>