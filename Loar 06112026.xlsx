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394" documentId="8_{89E9B081-EE64-4BE8-A00F-C74D02EA9197}" xr6:coauthVersionLast="47" xr6:coauthVersionMax="47" xr10:uidLastSave="{DB527C47-C0E9-49A8-B144-63A5AF8A94CD}"/>
  <bookViews>
    <workbookView xWindow="2685" yWindow="2685" windowWidth="21600" windowHeight="12645" activeTab="1" xr2:uid="{FBC62AE5-5109-403A-BA7A-F90D87E5CA1B}"/>
  </bookViews>
  <sheets>
    <sheet name="Sheet1" sheetId="1" r:id="rId1"/>
    <sheet name="Model" sheetId="2" r:id="rId2"/>
    <sheet name="Guidance" sheetId="3"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 i="2" l="1"/>
  <c r="E15" i="2"/>
  <c r="C15" i="2"/>
  <c r="C9" i="1"/>
  <c r="F54" i="2"/>
  <c r="E54" i="2"/>
  <c r="F37" i="2"/>
  <c r="F44" i="2" s="1"/>
  <c r="E37" i="2"/>
  <c r="E44" i="2" s="1"/>
  <c r="D63" i="2"/>
  <c r="D64" i="2" s="1"/>
  <c r="C63" i="2"/>
  <c r="C64" i="2" s="1"/>
  <c r="C37" i="2"/>
  <c r="C44" i="2" s="1"/>
  <c r="D37" i="2"/>
  <c r="D44" i="2" s="1"/>
  <c r="C54" i="2"/>
  <c r="C60" i="2" s="1"/>
  <c r="D54" i="2"/>
  <c r="D60" i="2" s="1"/>
  <c r="C11" i="1"/>
  <c r="D72" i="2"/>
  <c r="E72" i="2"/>
  <c r="F72" i="2"/>
  <c r="C72" i="2"/>
  <c r="Q4" i="3"/>
  <c r="N4" i="3"/>
  <c r="K4" i="3"/>
  <c r="H4" i="3"/>
  <c r="E4" i="3"/>
  <c r="D17" i="2"/>
  <c r="E17" i="2"/>
  <c r="F17" i="2"/>
  <c r="G17" i="2"/>
  <c r="H17" i="2"/>
  <c r="I17" i="2"/>
  <c r="J17" i="2"/>
  <c r="K17" i="2"/>
  <c r="L17" i="2"/>
  <c r="M17" i="2"/>
  <c r="N17" i="2"/>
  <c r="O17" i="2"/>
  <c r="P17" i="2"/>
  <c r="C17" i="2"/>
  <c r="D8" i="2"/>
  <c r="D9" i="2" s="1"/>
  <c r="E8" i="2"/>
  <c r="E9" i="2" s="1"/>
  <c r="C8" i="2"/>
  <c r="C9" i="2" s="1"/>
  <c r="P9" i="2"/>
  <c r="O9" i="2"/>
  <c r="N9" i="2"/>
  <c r="M9" i="2"/>
  <c r="L9" i="2"/>
  <c r="K9" i="2"/>
  <c r="J9" i="2"/>
  <c r="I9" i="2"/>
  <c r="H9" i="2"/>
  <c r="G9" i="2"/>
  <c r="F9" i="2"/>
  <c r="D6" i="2"/>
  <c r="E6" i="2"/>
  <c r="F6" i="2"/>
  <c r="G6" i="2"/>
  <c r="H6" i="2"/>
  <c r="I6" i="2"/>
  <c r="J6" i="2"/>
  <c r="K6" i="2"/>
  <c r="L6" i="2"/>
  <c r="M6" i="2"/>
  <c r="N6" i="2"/>
  <c r="O6" i="2"/>
  <c r="P6" i="2"/>
  <c r="C6" i="2"/>
  <c r="C8" i="1" l="1"/>
  <c r="C13" i="2"/>
  <c r="E13" i="2"/>
  <c r="D13" i="2"/>
  <c r="D20" i="2" l="1"/>
  <c r="D23" i="2" s="1"/>
  <c r="D27" i="2"/>
  <c r="D28" i="2" s="1"/>
  <c r="D25" i="2"/>
  <c r="D26" i="2" s="1"/>
  <c r="E20" i="2"/>
  <c r="E23" i="2" s="1"/>
  <c r="E27" i="2"/>
  <c r="E28" i="2" s="1"/>
  <c r="E25" i="2"/>
  <c r="E26" i="2" s="1"/>
  <c r="C20" i="2"/>
  <c r="C22" i="2" s="1"/>
  <c r="C25" i="2"/>
  <c r="C26" i="2" s="1"/>
  <c r="C27" i="2"/>
  <c r="C28" i="2" s="1"/>
  <c r="D22" i="2" l="1"/>
  <c r="E22" i="2"/>
  <c r="C23" i="2"/>
  <c r="C6" i="1" l="1" a="1"/>
  <c r="C6" i="1" s="1"/>
  <c r="C7" i="1" a="1"/>
  <c r="C7" i="1" s="1"/>
  <c r="C10" i="1" s="1"/>
  <c r="C12" i="1" s="1"/>
  <c r="C5" i="1" a="1"/>
  <c r="C5" i="1" s="1"/>
  <c r="C4" i="1" a="1"/>
  <c r="C4" i="1" s="1"/>
  <c r="C3" i="1" a="1"/>
  <c r="C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<sst xmlns="http://schemas.openxmlformats.org/spreadsheetml/2006/main" count="112" uniqueCount="96">
  <si>
    <t>Price</t>
  </si>
  <si>
    <t>52wh</t>
  </si>
  <si>
    <t>52wl</t>
  </si>
  <si>
    <t>Market cap</t>
  </si>
  <si>
    <t>P/E</t>
  </si>
  <si>
    <t>FY2012</t>
  </si>
  <si>
    <t>FY2024</t>
  </si>
  <si>
    <t>FY2025</t>
  </si>
  <si>
    <t>FY2023</t>
  </si>
  <si>
    <t>FY2022</t>
  </si>
  <si>
    <t>FY2021</t>
  </si>
  <si>
    <t>FY2020</t>
  </si>
  <si>
    <t>FY2019</t>
  </si>
  <si>
    <t>FY2018</t>
  </si>
  <si>
    <t>FY2017</t>
  </si>
  <si>
    <t>FY2016</t>
  </si>
  <si>
    <t>FY2015</t>
  </si>
  <si>
    <t>FY2014</t>
  </si>
  <si>
    <t>FY2013</t>
  </si>
  <si>
    <t>Net sales</t>
  </si>
  <si>
    <t>Adjusted EBITDA</t>
  </si>
  <si>
    <t>Net Income</t>
  </si>
  <si>
    <t>margin</t>
  </si>
  <si>
    <t>y/y growth</t>
  </si>
  <si>
    <t>Cost of sales</t>
  </si>
  <si>
    <t>Gross profit</t>
  </si>
  <si>
    <t>SGA</t>
  </si>
  <si>
    <t>Transaction expenses</t>
  </si>
  <si>
    <t>Other expense (income)</t>
  </si>
  <si>
    <t>EBIT</t>
  </si>
  <si>
    <t>Guidance</t>
  </si>
  <si>
    <t>Date Issued</t>
  </si>
  <si>
    <t>For Period</t>
  </si>
  <si>
    <t>Net Sales</t>
  </si>
  <si>
    <t xml:space="preserve">Low </t>
  </si>
  <si>
    <t>High</t>
  </si>
  <si>
    <t>Midpoint</t>
  </si>
  <si>
    <t>Adjusted EBITDA Margin</t>
  </si>
  <si>
    <t>Diluted EPS</t>
  </si>
  <si>
    <t>FY2026</t>
  </si>
  <si>
    <t>CFO</t>
  </si>
  <si>
    <t>CapEx</t>
  </si>
  <si>
    <t>Payment for acquisition, net of cash acquired</t>
  </si>
  <si>
    <t xml:space="preserve">FCF: </t>
  </si>
  <si>
    <t>FCFF (CFO-CapEx)</t>
  </si>
  <si>
    <t>FY2025 EBITDA</t>
  </si>
  <si>
    <t>Interest Expense</t>
  </si>
  <si>
    <t>Refinancing</t>
  </si>
  <si>
    <t>EBT</t>
  </si>
  <si>
    <t>Income tax</t>
  </si>
  <si>
    <t>effective tax rate</t>
  </si>
  <si>
    <t>Assets</t>
  </si>
  <si>
    <t>Current assets:</t>
  </si>
  <si>
    <t>Cash and cash equivalents</t>
  </si>
  <si>
    <t>Accounts receivable, net</t>
  </si>
  <si>
    <t>Inventories</t>
  </si>
  <si>
    <t>Other current assets</t>
  </si>
  <si>
    <t>Income taxes receivable</t>
  </si>
  <si>
    <t>Total current assets</t>
  </si>
  <si>
    <t>Property, plant and equipment, net</t>
  </si>
  <si>
    <t>Finance lease assets</t>
  </si>
  <si>
    <t>Operating lease assets</t>
  </si>
  <si>
    <t>Other long-term assets</t>
  </si>
  <si>
    <t>Intangible assets, net</t>
  </si>
  <si>
    <t>Goodwill</t>
  </si>
  <si>
    <t>Total assets</t>
  </si>
  <si>
    <t>Liabilities and stockholders' equity</t>
  </si>
  <si>
    <t>Current liabilities:</t>
  </si>
  <si>
    <t>Accounts payable</t>
  </si>
  <si>
    <t>Current portion of long-term debt, net</t>
  </si>
  <si>
    <t>Current portion of finance lease liabilities</t>
  </si>
  <si>
    <t>Current portion of operating lease liabilities</t>
  </si>
  <si>
    <t>Income taxes payable</t>
  </si>
  <si>
    <t>Accrued expenses and other current liabilities</t>
  </si>
  <si>
    <t>Total current liabilities</t>
  </si>
  <si>
    <t>Deferred income taxes</t>
  </si>
  <si>
    <t>Long-term debt, net</t>
  </si>
  <si>
    <t>Finance lease liabilities</t>
  </si>
  <si>
    <t>Operating lease liabilities</t>
  </si>
  <si>
    <t>Other long-term liabilities</t>
  </si>
  <si>
    <t>Total liabilities</t>
  </si>
  <si>
    <t>SE Equity</t>
  </si>
  <si>
    <t xml:space="preserve">NOPAT (25% income tax) </t>
  </si>
  <si>
    <t xml:space="preserve">NOPAT (20% income tax) </t>
  </si>
  <si>
    <t>Financial Debt</t>
  </si>
  <si>
    <t>Invested Capital (Operating Approach)</t>
  </si>
  <si>
    <t xml:space="preserve">ROIC </t>
  </si>
  <si>
    <t>(+) Debt</t>
  </si>
  <si>
    <t>(+) Leases</t>
  </si>
  <si>
    <t>TEV</t>
  </si>
  <si>
    <t>TEV/2025 EBITDA</t>
  </si>
  <si>
    <t>Consolidated IS</t>
  </si>
  <si>
    <t>Consolidated BS</t>
  </si>
  <si>
    <t>Abreviated CFS</t>
  </si>
  <si>
    <t>D&amp;A</t>
  </si>
  <si>
    <t>Date of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</si>
</sst>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409]* #,##0.00_);_([$$-409]* \(#,##0.00\);_([$$-409]* &quot;-&quot;??_);_(@_)"/>
    <numFmt numFmtId="165" formatCode="_([$$-409]* #,##0_);_([$$-409]* \(#,##0\);_([$$-409]* &quot;-&quot;_);_(@_)"/>
    <numFmt numFmtId="166" formatCode="_(* #,##0_);_(* \(#,##0\);_(* &quot;-&quot;??_);_(@_)"/>
    <numFmt numFmtId="167" formatCode="0.00\x"/>
  </numFmts>
  <fonts count="12" x14ac:knownFonts="1">
    <font>
      <sz val="10"/>
      <color theme="1"/>
      <name val="Calibri"/>
      <family val="2"/>
    </font>
    <font>
      <sz val="10"/>
      <color theme="1"/>
      <name val="Calibri"/>
      <family val="2"/>
    </font>
    <font>
      <b/>
      <sz val="10"/>
      <color theme="1"/>
      <name val="Calibri"/>
      <family val="2"/>
    </font>
    <font>
      <sz val="10"/>
      <color theme="0"/>
      <name val="Calibri"/>
      <family val="2"/>
    </font>
    <font>
      <sz val="8"/>
      <name val="Calibri"/>
      <family val="2"/>
    </font>
    <font>
      <sz val="10"/>
      <color rgb="FF0000FF"/>
      <name val="Calibri"/>
      <family val="2"/>
    </font>
    <font>
      <i/>
      <sz val="10"/>
      <color theme="1"/>
      <name val="Calibri"/>
      <family val="2"/>
    </font>
    <font>
      <sz val="10"/>
      <name val="Calibri"/>
      <family val="2"/>
    </font>
    <font>
      <u val="singleAccounting"/>
      <sz val="10"/>
      <color rgb="FF0000FF"/>
      <name val="Calibri"/>
      <family val="2"/>
    </font>
    <font>
      <b/>
      <sz val="10"/>
      <color rgb="FF000000"/>
      <name val="Calibri"/>
      <family val="2"/>
    </font>
    <font>
      <sz val="10"/>
      <color rgb="FF000000"/>
      <name val="Calibri"/>
      <family val="2"/>
    </font>
    <font>
      <u/>
      <sz val="10"/>
      <color theme="1"/>
      <name val="Calibri"/>
      <family val="2"/>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164" fontId="0" fillId="0" borderId="0" xfId="0" applyNumberFormat="1"/>
    <xf numFmtId="165" fontId="0" fillId="0" borderId="0" xfId="0" applyNumberFormat="1"/>
    <xf numFmtId="4" fontId="0" fillId="0" borderId="0" xfId="0" applyNumberFormat="1"/>
    <xf numFmtId="43" fontId="0" fillId="0" borderId="0" xfId="1" applyFont="1"/>
    <xf numFmtId="166" fontId="5" fillId="0" borderId="0" xfId="1" applyNumberFormat="1" applyFont="1"/>
    <xf numFmtId="0" fontId="6" fillId="0" borderId="0" xfId="0" applyFont="1" applyAlignment="1">
      <alignment horizontal="left" indent="1"/>
    </xf>
    <xf numFmtId="9" fontId="5" fillId="0" borderId="0" xfId="3" applyFont="1"/>
    <xf numFmtId="9" fontId="7" fillId="0" borderId="0" xfId="3" applyFont="1"/>
    <xf numFmtId="0" fontId="0" fillId="0" borderId="0" xfId="0" applyAlignment="1">
      <alignment horizontal="left" indent="1"/>
    </xf>
    <xf numFmtId="166" fontId="8" fillId="0" borderId="0" xfId="1" applyNumberFormat="1" applyFont="1"/>
    <xf numFmtId="166" fontId="7" fillId="0" borderId="0" xfId="3" applyNumberFormat="1" applyFont="1"/>
    <xf numFmtId="0" fontId="2" fillId="0" borderId="0" xfId="0" applyFont="1"/>
    <xf numFmtId="166" fontId="0" fillId="0" borderId="0" xfId="0" applyNumberFormat="1"/>
    <xf numFmtId="44" fontId="5" fillId="0" borderId="0" xfId="2" applyFont="1"/>
    <xf numFmtId="44" fontId="0" fillId="0" borderId="0" xfId="2" applyFont="1"/>
    <xf numFmtId="14" fontId="0" fillId="0" borderId="0" xfId="0" applyNumberFormat="1"/>
    <xf numFmtId="9" fontId="0" fillId="0" borderId="0" xfId="3" applyFont="1"/>
    <xf numFmtId="166" fontId="7" fillId="0" borderId="0" xfId="1" applyNumberFormat="1" applyFont="1"/>
    <xf numFmtId="0" fontId="9"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1">
      <alignment horizontal="right" vertical="center" wrapText="1"/>
    </xf>
    <xf numFmtId="0" fontId="10" fillId="0" borderId="0" xfId="0" applyFont="1" applyAlignment="1">
      <alignment horizontal="left" vertical="center" wrapText="1" indent="1"/>
    </xf>
    <xf numFmtId="166" fontId="0" fillId="0" borderId="0" xfId="1" applyNumberFormat="1" applyFont="1" applyFill="1" applyAlignment="1">
      <alignment horizontal="left" vertical="center"/>
    </xf>
    <xf numFmtId="0" fontId="10" fillId="0" borderId="0" xfId="0" applyFont="1" applyAlignment="1">
      <alignment horizontal="left" vertical="center" wrapText="1" indent="2"/>
    </xf>
    <xf numFmtId="9" fontId="7" fillId="0" borderId="0" xfId="3" applyFont="1" applyBorder="1"/>
    <xf numFmtId="43" fontId="11" fillId="0" borderId="0" xfId="1" applyFont="1"/>
    <xf numFmtId="43" fontId="0" fillId="0" borderId="0" xfId="0" applyNumberFormat="1"/>
    <xf numFmtId="167" fontId="0" fillId="0" borderId="0" xfId="0" applyNumberFormat="1"/>
    <xf numFmtId="0" fontId="3" fillId="2" borderId="0" xfId="0" applyFont="1" applyFill="1"/>
    <xf numFmtId="0" fontId="0" fillId="0" borderId="1" xfId="0"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en-US</v>
    <v>ccvfrw</v>
    <v>268435456</v>
    <v>1</v>
    <v>Powered by Refinitiv</v>
    <v>0</v>
    <v>LOAR HOLDINGS INC. (XNYS:LOAR)</v>
    <v>2</v>
    <v>3</v>
    <v>Finance</v>
    <v>4</v>
    <v>88.75</v>
    <v>53.15</v>
    <v>1.2430000000000001</v>
    <v>-0.82</v>
    <v>0</v>
    <v>-1.1899999999999999E-2</v>
    <v>0</v>
    <v>USD</v>
    <v>Loar Holdings Inc. is a diversified manufacturer and supplier of niche aerospace and defense components. The Company’s products cover a diverse range of applications supporting major aircraft platforms in use and include auto throttles, lap-belt airbags, two- 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and motion and actuation devices, customized edge-lighted panels and knobs and annunciators for incandescent and LED illuminated pushbutton switches, among others. It serves three core end markets, such as commercial aerospace, business jet, and general aviation. The Company has established relationships with aerospace and defense original equipment manufacturers and Tier Ones worldwide.</v>
    <v>1700</v>
    <v>New York Stock Exchange</v>
    <v>XNYS</v>
    <v>XNYS</v>
    <v>20 New King Street, WHITE PLAINS, NY, 10604 US</v>
    <v>69.790000000000006</v>
    <v>Aerospace &amp; Defense</v>
    <v>Stock</v>
    <v>46185.958333356248</v>
    <v>67.704999999999998</v>
    <v>6374890162</v>
    <v>LOAR HOLDINGS INC.</v>
    <v>LOAR HOLDINGS INC.</v>
    <v>69.489999999999995</v>
    <v>96.050200000000004</v>
    <v>68.91</v>
    <v>68.09</v>
    <v>68.09</v>
    <v>93624470</v>
    <v>LOAR</v>
    <v>LOAR HOLDINGS INC. (XNYS:LOAR)</v>
    <v>751272</v>
    <v>772991</v>
    <v>2017</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5">
    <spb s="0">
      <v>0</v>
      <v>Name</v>
    </spb>
    <spb s="1">
      <v>0</v>
      <v>0</v>
      <v>0</v>
    </spb>
    <spb s="2">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C48A7-241D-4919-9BBB-07057D236001}">
  <dimension ref="B1:C12"/>
  <sheetViews>
    <sheetView zoomScale="175" zoomScaleNormal="175" workbookViewId="0">
      <selection activeCell="C10" sqref="C10"/>
    </sheetView>
  </sheetViews>
  <sheetFormatPr defaultRowHeight="12.75" x14ac:dyDescent="0.2"/>
  <cols>
    <col min="2" max="2" width="29.5703125" bestFit="1" customWidth="1"/>
    <col min="3" max="3" width="14.5703125" bestFit="1" customWidth="1"/>
  </cols>
  <sheetData>
    <row r="1" spans="2:3" x14ac:dyDescent="0.2">
      <c r="B1" t="s">
        <v>95</v>
      </c>
      <c r="C1" s="16">
        <v>46184</v>
      </c>
    </row>
    <row r="2" spans="2:3" x14ac:dyDescent="0.2">
      <c r="B2" t="e" vm="1">
        <v>#VALUE!</v>
      </c>
    </row>
    <row r="3" spans="2:3" x14ac:dyDescent="0.2">
      <c r="B3" t="s">
        <v>0</v>
      </c>
      <c r="C3" s="1" cm="1">
        <f t="array" aca="1" ref="C3" ca="1">_FV(B2,"Price")</f>
        <v>68.09</v>
      </c>
    </row>
    <row r="4" spans="2:3" x14ac:dyDescent="0.2">
      <c r="B4" t="s">
        <v>1</v>
      </c>
      <c r="C4" s="1" cm="1">
        <f t="array" aca="1" ref="C4" ca="1">_FV(B2,"52 week high",TRUE)</f>
        <v>88.75</v>
      </c>
    </row>
    <row r="5" spans="2:3" x14ac:dyDescent="0.2">
      <c r="B5" t="s">
        <v>2</v>
      </c>
      <c r="C5" s="1" cm="1">
        <f t="array" aca="1" ref="C5" ca="1">_FV(B2,"52 week low",TRUE)</f>
        <v>53.15</v>
      </c>
    </row>
    <row r="6" spans="2:3" x14ac:dyDescent="0.2">
      <c r="B6" t="s">
        <v>4</v>
      </c>
      <c r="C6" s="3" cm="1">
        <f t="array" aca="1" ref="C6" ca="1">_FV(B2,"P/E",TRUE)</f>
        <v>96.050200000000004</v>
      </c>
    </row>
    <row r="7" spans="2:3" x14ac:dyDescent="0.2">
      <c r="B7" t="s">
        <v>3</v>
      </c>
      <c r="C7" s="2" cm="1">
        <f t="array" aca="1" ref="C7" ca="1">_FV(B2,"Market cap",TRUE)/1000000</f>
        <v>6374.8901619999997</v>
      </c>
    </row>
    <row r="8" spans="2:3" x14ac:dyDescent="0.2">
      <c r="B8" s="9" t="s">
        <v>87</v>
      </c>
      <c r="C8" s="4">
        <f>+Model!C63</f>
        <v>715.7</v>
      </c>
    </row>
    <row r="9" spans="2:3" x14ac:dyDescent="0.2">
      <c r="B9" s="9" t="s">
        <v>88</v>
      </c>
      <c r="C9" s="26">
        <f>+Model!C51+Model!C50+Model!C57+Model!C58</f>
        <v>9.593</v>
      </c>
    </row>
    <row r="10" spans="2:3" x14ac:dyDescent="0.2">
      <c r="B10" s="12" t="s">
        <v>89</v>
      </c>
      <c r="C10" s="27">
        <f ca="1">+C7+C8+C9</f>
        <v>7100.1831619999994</v>
      </c>
    </row>
    <row r="11" spans="2:3" x14ac:dyDescent="0.2">
      <c r="B11" t="s">
        <v>45</v>
      </c>
      <c r="C11">
        <f>Model!C16</f>
        <v>189.1</v>
      </c>
    </row>
    <row r="12" spans="2:3" x14ac:dyDescent="0.2">
      <c r="B12" t="s">
        <v>90</v>
      </c>
      <c r="C12" s="28">
        <f ca="1">++C10/C11</f>
        <v>37.547240412480164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5D41-BEF9-4D89-A853-D6BB785482DC}">
  <dimension ref="B2:P73"/>
  <sheetViews>
    <sheetView tabSelected="1" zoomScale="130" zoomScaleNormal="130" workbookViewId="0">
      <pane xSplit="2" ySplit="2" topLeftCell="C3" activePane="bottomRight" state="frozen"/>
      <selection pane="topRight" activeCell="C1" sqref="C1"/>
      <selection pane="bottomLeft" activeCell="A3" sqref="A3"/>
      <selection pane="bottomRight" activeCell="B5" sqref="B5"/>
    </sheetView>
  </sheetViews>
  <sheetFormatPr defaultRowHeight="12.75" x14ac:dyDescent="0.2"/>
  <cols>
    <col min="2" max="2" width="37.5703125" bestFit="1" customWidth="1"/>
  </cols>
  <sheetData>
    <row r="2" spans="2:16" x14ac:dyDescent="0.2">
      <c r="C2" t="s">
        <v>7</v>
      </c>
      <c r="D2" t="s">
        <v>6</v>
      </c>
      <c r="E2" t="s">
        <v>8</v>
      </c>
      <c r="F2" t="s">
        <v>9</v>
      </c>
      <c r="G2" t="s">
        <v>10</v>
      </c>
      <c r="H2" t="s">
        <v>11</v>
      </c>
      <c r="I2" t="s">
        <v>12</v>
      </c>
      <c r="J2" t="s">
        <v>13</v>
      </c>
      <c r="K2" t="s">
        <v>14</v>
      </c>
      <c r="L2" t="s">
        <v>15</v>
      </c>
      <c r="M2" t="s">
        <v>16</v>
      </c>
      <c r="N2" t="s">
        <v>17</v>
      </c>
      <c r="O2" t="s">
        <v>18</v>
      </c>
      <c r="P2" t="s">
        <v>5</v>
      </c>
    </row>
    <row r="4" spans="2:16" x14ac:dyDescent="0.2">
      <c r="B4" s="29" t="s">
        <v>91</v>
      </c>
      <c r="C4" s="29"/>
      <c r="D4" s="29"/>
      <c r="E4" s="29"/>
      <c r="F4" s="29"/>
      <c r="G4" s="29"/>
      <c r="H4" s="29"/>
      <c r="I4" s="29"/>
      <c r="J4" s="29"/>
      <c r="K4" s="29"/>
      <c r="L4" s="29"/>
      <c r="M4" s="29"/>
      <c r="N4" s="29"/>
      <c r="O4" s="29"/>
      <c r="P4" s="29"/>
    </row>
    <row r="5" spans="2:16" ht="12" customHeight="1" x14ac:dyDescent="0.2">
      <c r="B5" t="s">
        <v>19</v>
      </c>
      <c r="C5" s="5">
        <v>496.28300000000002</v>
      </c>
      <c r="D5" s="5">
        <v>402.81900000000002</v>
      </c>
      <c r="E5" s="5">
        <v>317.47699999999998</v>
      </c>
      <c r="F5" s="5">
        <v>239</v>
      </c>
      <c r="G5" s="5">
        <v>189</v>
      </c>
      <c r="H5" s="5">
        <v>165</v>
      </c>
      <c r="I5" s="5">
        <v>183</v>
      </c>
      <c r="J5" s="5">
        <v>113</v>
      </c>
      <c r="K5" s="5">
        <v>94</v>
      </c>
      <c r="L5" s="5">
        <v>76</v>
      </c>
      <c r="M5" s="5">
        <v>42</v>
      </c>
      <c r="N5" s="5">
        <v>39</v>
      </c>
      <c r="O5" s="5">
        <v>23</v>
      </c>
      <c r="P5" s="5">
        <v>9</v>
      </c>
    </row>
    <row r="6" spans="2:16" ht="12" customHeight="1" x14ac:dyDescent="0.2">
      <c r="B6" s="9" t="s">
        <v>23</v>
      </c>
      <c r="C6" s="8">
        <f>C5/D5-1</f>
        <v>0.23202480518545543</v>
      </c>
      <c r="D6" s="8">
        <f t="shared" ref="D6:P6" si="0">D5/E5-1</f>
        <v>0.26881317386771331</v>
      </c>
      <c r="E6" s="8">
        <f t="shared" si="0"/>
        <v>0.32835564853556476</v>
      </c>
      <c r="F6" s="8">
        <f t="shared" si="0"/>
        <v>0.26455026455026465</v>
      </c>
      <c r="G6" s="8">
        <f t="shared" si="0"/>
        <v>0.1454545454545455</v>
      </c>
      <c r="H6" s="8">
        <f t="shared" si="0"/>
        <v>-9.8360655737704916E-2</v>
      </c>
      <c r="I6" s="8">
        <f t="shared" si="0"/>
        <v>0.61946902654867264</v>
      </c>
      <c r="J6" s="8">
        <f t="shared" si="0"/>
        <v>0.2021276595744681</v>
      </c>
      <c r="K6" s="8">
        <f t="shared" si="0"/>
        <v>0.23684210526315796</v>
      </c>
      <c r="L6" s="8">
        <f t="shared" si="0"/>
        <v>0.80952380952380953</v>
      </c>
      <c r="M6" s="8">
        <f t="shared" si="0"/>
        <v>7.6923076923076872E-2</v>
      </c>
      <c r="N6" s="8">
        <f t="shared" si="0"/>
        <v>0.69565217391304346</v>
      </c>
      <c r="O6" s="8">
        <f t="shared" si="0"/>
        <v>1.5555555555555554</v>
      </c>
      <c r="P6" s="7" t="e">
        <f t="shared" si="0"/>
        <v>#DIV/0!</v>
      </c>
    </row>
    <row r="7" spans="2:16" ht="12" customHeight="1" x14ac:dyDescent="0.35">
      <c r="B7" t="s">
        <v>24</v>
      </c>
      <c r="C7" s="10">
        <v>-234.958</v>
      </c>
      <c r="D7" s="10">
        <v>-203.994</v>
      </c>
      <c r="E7" s="10">
        <v>-163.21299999999999</v>
      </c>
      <c r="F7" s="5"/>
      <c r="G7" s="5"/>
      <c r="H7" s="5"/>
      <c r="I7" s="5"/>
      <c r="J7" s="5"/>
      <c r="K7" s="5"/>
      <c r="L7" s="5"/>
      <c r="M7" s="5"/>
      <c r="N7" s="5"/>
      <c r="O7" s="5"/>
      <c r="P7" s="5"/>
    </row>
    <row r="8" spans="2:16" ht="12" customHeight="1" x14ac:dyDescent="0.2">
      <c r="B8" t="s">
        <v>25</v>
      </c>
      <c r="C8" s="11">
        <f>+C5+C7</f>
        <v>261.32500000000005</v>
      </c>
      <c r="D8" s="11">
        <f t="shared" ref="D8:E8" si="1">+D5+D7</f>
        <v>198.82500000000002</v>
      </c>
      <c r="E8" s="11">
        <f t="shared" si="1"/>
        <v>154.26399999999998</v>
      </c>
      <c r="F8" s="8"/>
      <c r="G8" s="8"/>
      <c r="H8" s="8"/>
      <c r="I8" s="8"/>
      <c r="J8" s="8"/>
      <c r="K8" s="8"/>
      <c r="L8" s="8"/>
      <c r="M8" s="8"/>
      <c r="N8" s="8"/>
      <c r="O8" s="8"/>
      <c r="P8" s="7"/>
    </row>
    <row r="9" spans="2:16" ht="12" customHeight="1" x14ac:dyDescent="0.2">
      <c r="B9" s="6" t="s">
        <v>22</v>
      </c>
      <c r="C9" s="8">
        <f>C8/C$5</f>
        <v>0.52656448034689896</v>
      </c>
      <c r="D9" s="8">
        <f t="shared" ref="D9" si="2">D8/D$5</f>
        <v>0.49358396699261953</v>
      </c>
      <c r="E9" s="8">
        <f t="shared" ref="E9" si="3">E8/E$5</f>
        <v>0.48590606563625077</v>
      </c>
      <c r="F9" s="8" t="e">
        <f t="shared" ref="F9" si="4">F8/F3</f>
        <v>#DIV/0!</v>
      </c>
      <c r="G9" s="8" t="e">
        <f t="shared" ref="G9" si="5">G8/G3</f>
        <v>#DIV/0!</v>
      </c>
      <c r="H9" s="8" t="e">
        <f t="shared" ref="H9" si="6">H8/H3</f>
        <v>#DIV/0!</v>
      </c>
      <c r="I9" s="8" t="e">
        <f t="shared" ref="I9" si="7">I8/I3</f>
        <v>#DIV/0!</v>
      </c>
      <c r="J9" s="8" t="e">
        <f t="shared" ref="J9" si="8">J8/J3</f>
        <v>#DIV/0!</v>
      </c>
      <c r="K9" s="8" t="e">
        <f t="shared" ref="K9" si="9">K8/K3</f>
        <v>#DIV/0!</v>
      </c>
      <c r="L9" s="8" t="e">
        <f t="shared" ref="L9" si="10">L8/L3</f>
        <v>#DIV/0!</v>
      </c>
      <c r="M9" s="8" t="e">
        <f t="shared" ref="M9" si="11">M8/M3</f>
        <v>#DIV/0!</v>
      </c>
      <c r="N9" s="8" t="e">
        <f t="shared" ref="N9" si="12">N8/N3</f>
        <v>#DIV/0!</v>
      </c>
      <c r="O9" s="8" t="e">
        <f t="shared" ref="O9" si="13">O8/O3</f>
        <v>#DIV/0!</v>
      </c>
      <c r="P9" s="8" t="e">
        <f t="shared" ref="P9" si="14">P8/P3</f>
        <v>#DIV/0!</v>
      </c>
    </row>
    <row r="10" spans="2:16" ht="12" customHeight="1" x14ac:dyDescent="0.2">
      <c r="B10" t="s">
        <v>26</v>
      </c>
      <c r="C10" s="5">
        <v>-143.642</v>
      </c>
      <c r="D10" s="5">
        <v>-112.255</v>
      </c>
      <c r="E10" s="5">
        <v>-82.141000000000005</v>
      </c>
      <c r="F10" s="8"/>
      <c r="G10" s="8"/>
      <c r="H10" s="8"/>
      <c r="I10" s="8"/>
      <c r="J10" s="8"/>
      <c r="K10" s="8"/>
      <c r="L10" s="8"/>
      <c r="M10" s="8"/>
      <c r="N10" s="8"/>
      <c r="O10" s="8"/>
      <c r="P10" s="8"/>
    </row>
    <row r="11" spans="2:16" ht="12" customHeight="1" x14ac:dyDescent="0.2">
      <c r="B11" t="s">
        <v>27</v>
      </c>
      <c r="C11" s="5">
        <v>-11.281000000000001</v>
      </c>
      <c r="D11" s="5">
        <v>-3.39</v>
      </c>
      <c r="E11" s="5">
        <v>-3.3940000000000001</v>
      </c>
      <c r="F11" s="8"/>
      <c r="G11" s="8"/>
      <c r="H11" s="8"/>
      <c r="I11" s="8"/>
      <c r="J11" s="8"/>
      <c r="K11" s="8"/>
      <c r="L11" s="8"/>
      <c r="M11" s="8"/>
      <c r="N11" s="8"/>
      <c r="O11" s="8"/>
      <c r="P11" s="8"/>
    </row>
    <row r="12" spans="2:16" ht="12" customHeight="1" x14ac:dyDescent="0.35">
      <c r="B12" t="s">
        <v>28</v>
      </c>
      <c r="C12" s="10">
        <v>0.159</v>
      </c>
      <c r="D12" s="10">
        <v>-4.452</v>
      </c>
      <c r="E12" s="10">
        <v>-0.76200000000000001</v>
      </c>
      <c r="F12" s="8"/>
      <c r="G12" s="8"/>
      <c r="H12" s="8"/>
      <c r="I12" s="8"/>
      <c r="J12" s="8"/>
      <c r="K12" s="8"/>
      <c r="L12" s="8"/>
      <c r="M12" s="8"/>
      <c r="N12" s="8"/>
      <c r="O12" s="8"/>
      <c r="P12" s="8"/>
    </row>
    <row r="13" spans="2:16" ht="12" customHeight="1" x14ac:dyDescent="0.2">
      <c r="B13" s="12" t="s">
        <v>29</v>
      </c>
      <c r="C13" s="11">
        <f>+C8+C10+C11+C12</f>
        <v>106.56100000000005</v>
      </c>
      <c r="D13" s="11">
        <f t="shared" ref="D13:E13" si="15">+D8+D10+D11+D12</f>
        <v>78.728000000000023</v>
      </c>
      <c r="E13" s="11">
        <f t="shared" si="15"/>
        <v>67.96699999999997</v>
      </c>
      <c r="F13" s="8"/>
      <c r="G13" s="8"/>
      <c r="H13" s="8"/>
      <c r="I13" s="8"/>
      <c r="J13" s="8"/>
      <c r="K13" s="8"/>
      <c r="L13" s="8"/>
      <c r="M13" s="8"/>
      <c r="N13" s="8"/>
      <c r="O13" s="8"/>
      <c r="P13" s="8"/>
    </row>
    <row r="14" spans="2:16" ht="12" customHeight="1" x14ac:dyDescent="0.2">
      <c r="B14" t="s">
        <v>94</v>
      </c>
      <c r="C14" s="5">
        <v>-50.999000000000002</v>
      </c>
      <c r="D14" s="5">
        <v>-43.07</v>
      </c>
      <c r="E14" s="5">
        <v>-38.024000000000001</v>
      </c>
      <c r="F14" s="8"/>
      <c r="G14" s="8"/>
      <c r="H14" s="8"/>
      <c r="I14" s="8"/>
      <c r="J14" s="8"/>
      <c r="K14" s="8"/>
      <c r="L14" s="8"/>
      <c r="M14" s="8"/>
      <c r="N14" s="8"/>
      <c r="O14" s="8"/>
      <c r="P14" s="8"/>
    </row>
    <row r="15" spans="2:16" ht="12" customHeight="1" x14ac:dyDescent="0.2">
      <c r="C15" s="8">
        <f>-C14/C5</f>
        <v>0.10276193220400458</v>
      </c>
      <c r="D15" s="8">
        <f t="shared" ref="D15:E15" si="16">-D14/D5</f>
        <v>0.10692147093359548</v>
      </c>
      <c r="E15" s="8">
        <f t="shared" si="16"/>
        <v>0.11976930612296326</v>
      </c>
      <c r="F15" s="8"/>
      <c r="G15" s="8"/>
      <c r="H15" s="8"/>
      <c r="I15" s="8"/>
      <c r="J15" s="8"/>
      <c r="K15" s="8"/>
      <c r="L15" s="8"/>
      <c r="M15" s="8"/>
      <c r="N15" s="8"/>
      <c r="O15" s="8"/>
      <c r="P15" s="8"/>
    </row>
    <row r="16" spans="2:16" ht="12" customHeight="1" x14ac:dyDescent="0.2">
      <c r="B16" t="s">
        <v>20</v>
      </c>
      <c r="C16" s="5">
        <v>189.1</v>
      </c>
      <c r="D16" s="5">
        <v>146.33600000000001</v>
      </c>
      <c r="E16" s="5">
        <v>113</v>
      </c>
      <c r="F16" s="5">
        <v>83</v>
      </c>
      <c r="G16" s="5">
        <v>61</v>
      </c>
      <c r="H16" s="5">
        <v>51</v>
      </c>
      <c r="I16" s="5">
        <v>63</v>
      </c>
      <c r="J16" s="5">
        <v>38</v>
      </c>
      <c r="K16" s="5">
        <v>32</v>
      </c>
      <c r="L16" s="5">
        <v>23</v>
      </c>
      <c r="M16" s="5">
        <v>10</v>
      </c>
      <c r="N16" s="5">
        <v>7</v>
      </c>
      <c r="O16" s="5">
        <v>4</v>
      </c>
      <c r="P16" s="5">
        <v>2</v>
      </c>
    </row>
    <row r="17" spans="2:16" ht="12" customHeight="1" x14ac:dyDescent="0.2">
      <c r="B17" s="6" t="s">
        <v>22</v>
      </c>
      <c r="C17" s="8">
        <f t="shared" ref="C17:P17" si="17">C16/C$5</f>
        <v>0.38103259632105069</v>
      </c>
      <c r="D17" s="8">
        <f t="shared" si="17"/>
        <v>0.3632797857102073</v>
      </c>
      <c r="E17" s="8">
        <f t="shared" si="17"/>
        <v>0.35593129581040517</v>
      </c>
      <c r="F17" s="8">
        <f t="shared" si="17"/>
        <v>0.34728033472803349</v>
      </c>
      <c r="G17" s="8">
        <f t="shared" si="17"/>
        <v>0.32275132275132273</v>
      </c>
      <c r="H17" s="8">
        <f t="shared" si="17"/>
        <v>0.30909090909090908</v>
      </c>
      <c r="I17" s="8">
        <f t="shared" si="17"/>
        <v>0.34426229508196721</v>
      </c>
      <c r="J17" s="8">
        <f t="shared" si="17"/>
        <v>0.33628318584070799</v>
      </c>
      <c r="K17" s="8">
        <f t="shared" si="17"/>
        <v>0.34042553191489361</v>
      </c>
      <c r="L17" s="8">
        <f t="shared" si="17"/>
        <v>0.30263157894736842</v>
      </c>
      <c r="M17" s="8">
        <f t="shared" si="17"/>
        <v>0.23809523809523808</v>
      </c>
      <c r="N17" s="8">
        <f t="shared" si="17"/>
        <v>0.17948717948717949</v>
      </c>
      <c r="O17" s="8">
        <f t="shared" si="17"/>
        <v>0.17391304347826086</v>
      </c>
      <c r="P17" s="8">
        <f t="shared" si="17"/>
        <v>0.22222222222222221</v>
      </c>
    </row>
    <row r="18" spans="2:16" ht="12" customHeight="1" x14ac:dyDescent="0.2">
      <c r="B18" t="s">
        <v>46</v>
      </c>
      <c r="C18" s="5">
        <v>-25.664999999999999</v>
      </c>
      <c r="D18" s="5">
        <v>-52.112000000000002</v>
      </c>
      <c r="E18" s="5">
        <v>-67.054000000000002</v>
      </c>
      <c r="F18" s="8"/>
      <c r="G18" s="8"/>
      <c r="H18" s="8"/>
      <c r="I18" s="8"/>
      <c r="J18" s="8"/>
      <c r="K18" s="8"/>
      <c r="L18" s="8"/>
      <c r="M18" s="8"/>
      <c r="N18" s="8"/>
      <c r="O18" s="8"/>
      <c r="P18" s="8"/>
    </row>
    <row r="19" spans="2:16" ht="12" customHeight="1" x14ac:dyDescent="0.35">
      <c r="B19" t="s">
        <v>47</v>
      </c>
      <c r="C19" s="10">
        <v>0</v>
      </c>
      <c r="D19" s="10">
        <v>-6.4589999999999996</v>
      </c>
      <c r="E19" s="10">
        <v>0</v>
      </c>
    </row>
    <row r="20" spans="2:16" ht="12" customHeight="1" x14ac:dyDescent="0.2">
      <c r="B20" t="s">
        <v>48</v>
      </c>
      <c r="C20" s="13">
        <f>C13+C18+C19</f>
        <v>80.896000000000043</v>
      </c>
      <c r="D20" s="13">
        <f t="shared" ref="D20:E20" si="18">D13+D18+D19</f>
        <v>20.157000000000021</v>
      </c>
      <c r="E20" s="13">
        <f t="shared" si="18"/>
        <v>0.91299999999996828</v>
      </c>
    </row>
    <row r="21" spans="2:16" ht="12" customHeight="1" x14ac:dyDescent="0.2">
      <c r="B21" t="s">
        <v>49</v>
      </c>
      <c r="C21" s="5">
        <v>-8.43</v>
      </c>
      <c r="D21" s="5">
        <v>-6.83</v>
      </c>
      <c r="E21" s="5">
        <v>-7.0519999999999996</v>
      </c>
    </row>
    <row r="22" spans="2:16" ht="12" customHeight="1" x14ac:dyDescent="0.2">
      <c r="B22" s="6" t="s">
        <v>50</v>
      </c>
      <c r="C22" s="17">
        <f>-C21/C20</f>
        <v>0.10420787183544297</v>
      </c>
      <c r="D22" s="17">
        <f t="shared" ref="D22:E22" si="19">-D21/D20</f>
        <v>0.33884010517438073</v>
      </c>
      <c r="E22" s="17">
        <f t="shared" si="19"/>
        <v>7.7239868565172447</v>
      </c>
    </row>
    <row r="23" spans="2:16" ht="12" customHeight="1" x14ac:dyDescent="0.2">
      <c r="B23" t="s">
        <v>21</v>
      </c>
      <c r="C23" s="18">
        <f>+C20+C21</f>
        <v>72.466000000000037</v>
      </c>
      <c r="D23" s="18">
        <f t="shared" ref="D23:E23" si="20">+D20+D21</f>
        <v>13.327000000000021</v>
      </c>
      <c r="E23" s="18">
        <f t="shared" si="20"/>
        <v>-6.1390000000000313</v>
      </c>
      <c r="F23" s="5">
        <v>-2</v>
      </c>
      <c r="G23" s="5">
        <v>-5</v>
      </c>
      <c r="H23" s="5">
        <v>-17</v>
      </c>
      <c r="I23" s="5">
        <v>-4</v>
      </c>
      <c r="J23" s="5">
        <v>-6</v>
      </c>
      <c r="K23" s="5">
        <v>-7</v>
      </c>
      <c r="L23" s="5">
        <v>-30</v>
      </c>
      <c r="M23" s="5">
        <v>1</v>
      </c>
      <c r="N23" s="5">
        <v>6</v>
      </c>
      <c r="O23" s="5">
        <v>-1</v>
      </c>
      <c r="P23" s="5">
        <v>-2</v>
      </c>
    </row>
    <row r="24" spans="2:16" ht="12" customHeight="1" x14ac:dyDescent="0.2">
      <c r="C24" s="18"/>
      <c r="D24" s="18"/>
      <c r="E24" s="18"/>
      <c r="F24" s="5"/>
      <c r="G24" s="5"/>
      <c r="H24" s="5"/>
      <c r="I24" s="5"/>
      <c r="J24" s="5"/>
      <c r="K24" s="5"/>
      <c r="L24" s="5"/>
      <c r="M24" s="5"/>
      <c r="N24" s="5"/>
      <c r="O24" s="5"/>
      <c r="P24" s="5"/>
    </row>
    <row r="25" spans="2:16" ht="12" customHeight="1" x14ac:dyDescent="0.2">
      <c r="B25" t="s">
        <v>82</v>
      </c>
      <c r="C25" s="18">
        <f>C13*(1-0.25)</f>
        <v>79.920750000000041</v>
      </c>
      <c r="D25" s="18">
        <f t="shared" ref="D25:E25" si="21">D13*(1-0.25)</f>
        <v>59.046000000000021</v>
      </c>
      <c r="E25" s="18">
        <f t="shared" si="21"/>
        <v>50.975249999999974</v>
      </c>
      <c r="F25" s="5"/>
      <c r="G25" s="5"/>
      <c r="H25" s="5"/>
      <c r="I25" s="5"/>
      <c r="J25" s="5"/>
      <c r="K25" s="5"/>
      <c r="L25" s="5"/>
      <c r="M25" s="5"/>
      <c r="N25" s="5"/>
      <c r="O25" s="5"/>
      <c r="P25" s="5"/>
    </row>
    <row r="26" spans="2:16" ht="12" customHeight="1" x14ac:dyDescent="0.2">
      <c r="B26" t="s">
        <v>86</v>
      </c>
      <c r="C26" s="25">
        <f>C25/C$64</f>
        <v>3.9987286443776679E-2</v>
      </c>
      <c r="D26" s="25">
        <f>D25/D$64</f>
        <v>3.9008889079744077E-2</v>
      </c>
      <c r="E26" s="8" t="e">
        <f>E25/E$64</f>
        <v>#DIV/0!</v>
      </c>
      <c r="F26" s="5"/>
      <c r="G26" s="5"/>
      <c r="H26" s="5"/>
      <c r="I26" s="5"/>
      <c r="J26" s="5"/>
      <c r="K26" s="5"/>
      <c r="L26" s="5"/>
      <c r="M26" s="5"/>
      <c r="N26" s="5"/>
      <c r="O26" s="5"/>
      <c r="P26" s="5"/>
    </row>
    <row r="27" spans="2:16" ht="12" customHeight="1" x14ac:dyDescent="0.2">
      <c r="B27" t="s">
        <v>83</v>
      </c>
      <c r="C27" s="18">
        <f>C13*(1-0.2)</f>
        <v>85.248800000000045</v>
      </c>
      <c r="D27" s="18">
        <f t="shared" ref="D27:E27" si="22">D13*(1-0.2)</f>
        <v>62.98240000000002</v>
      </c>
      <c r="E27" s="18">
        <f t="shared" si="22"/>
        <v>54.373599999999982</v>
      </c>
      <c r="F27" s="5"/>
      <c r="G27" s="5"/>
      <c r="H27" s="5"/>
      <c r="I27" s="5"/>
      <c r="J27" s="5"/>
      <c r="K27" s="5"/>
      <c r="L27" s="5"/>
      <c r="M27" s="5"/>
      <c r="N27" s="5"/>
      <c r="O27" s="5"/>
      <c r="P27" s="5"/>
    </row>
    <row r="28" spans="2:16" ht="12" customHeight="1" x14ac:dyDescent="0.2">
      <c r="B28" t="s">
        <v>86</v>
      </c>
      <c r="C28" s="25">
        <f>C27/C$64</f>
        <v>4.2653105540028463E-2</v>
      </c>
      <c r="D28" s="25">
        <f>D27/D$64</f>
        <v>4.1609481685060346E-2</v>
      </c>
      <c r="E28" s="8" t="e">
        <f>E27/E$64</f>
        <v>#DIV/0!</v>
      </c>
      <c r="F28" s="5"/>
      <c r="G28" s="5"/>
      <c r="H28" s="5"/>
      <c r="I28" s="5"/>
      <c r="J28" s="5"/>
      <c r="K28" s="5"/>
      <c r="L28" s="5"/>
      <c r="M28" s="5"/>
      <c r="N28" s="5"/>
      <c r="O28" s="5"/>
      <c r="P28" s="5"/>
    </row>
    <row r="29" spans="2:16" x14ac:dyDescent="0.2">
      <c r="B29" s="29" t="s">
        <v>92</v>
      </c>
      <c r="C29" s="29"/>
      <c r="D29" s="29"/>
      <c r="E29" s="29"/>
      <c r="F29" s="29"/>
      <c r="G29" s="29"/>
      <c r="H29" s="29"/>
      <c r="I29" s="29"/>
      <c r="J29" s="29"/>
      <c r="K29" s="29"/>
      <c r="L29" s="29"/>
      <c r="M29" s="29"/>
      <c r="N29" s="29"/>
      <c r="O29" s="29"/>
      <c r="P29" s="29"/>
    </row>
    <row r="30" spans="2:16" ht="12" customHeight="1" x14ac:dyDescent="0.2">
      <c r="B30" s="19" t="s">
        <v>51</v>
      </c>
      <c r="C30" s="21"/>
      <c r="D30" s="21"/>
      <c r="E30" s="18"/>
      <c r="F30" s="5"/>
      <c r="G30" s="5"/>
      <c r="H30" s="5"/>
      <c r="I30" s="5"/>
      <c r="J30" s="5"/>
      <c r="K30" s="5"/>
      <c r="L30" s="5"/>
      <c r="M30" s="5"/>
      <c r="N30" s="5"/>
      <c r="O30" s="5"/>
      <c r="P30" s="5"/>
    </row>
    <row r="31" spans="2:16" ht="12" customHeight="1" x14ac:dyDescent="0.2">
      <c r="B31" s="20" t="s">
        <v>52</v>
      </c>
      <c r="C31" s="21"/>
      <c r="D31" s="21"/>
      <c r="E31" s="18"/>
      <c r="F31" s="5"/>
      <c r="G31" s="5"/>
      <c r="H31" s="5"/>
      <c r="I31" s="5"/>
      <c r="J31" s="5"/>
      <c r="K31" s="5"/>
      <c r="L31" s="5"/>
      <c r="M31" s="5"/>
      <c r="N31" s="5"/>
      <c r="O31" s="5"/>
      <c r="P31" s="5"/>
    </row>
    <row r="32" spans="2:16" ht="12" customHeight="1" x14ac:dyDescent="0.2">
      <c r="B32" s="22" t="s">
        <v>53</v>
      </c>
      <c r="C32" s="5">
        <v>84.827000000000012</v>
      </c>
      <c r="D32" s="5">
        <v>54.066000000000003</v>
      </c>
      <c r="E32" s="5">
        <v>21.489000000000001</v>
      </c>
      <c r="F32" s="5">
        <v>35.497</v>
      </c>
      <c r="G32" s="5"/>
      <c r="H32" s="5"/>
      <c r="I32" s="5"/>
      <c r="J32" s="5"/>
      <c r="K32" s="5"/>
      <c r="L32" s="5"/>
      <c r="M32" s="5"/>
      <c r="N32" s="5"/>
      <c r="O32" s="5"/>
      <c r="P32" s="5"/>
    </row>
    <row r="33" spans="2:16" ht="12" customHeight="1" x14ac:dyDescent="0.2">
      <c r="B33" s="22" t="s">
        <v>54</v>
      </c>
      <c r="C33" s="5">
        <v>88.025999999999996</v>
      </c>
      <c r="D33" s="5">
        <v>63.834000000000003</v>
      </c>
      <c r="E33" s="5">
        <v>59</v>
      </c>
      <c r="F33" s="5">
        <v>40.896999999999998</v>
      </c>
      <c r="G33" s="5"/>
      <c r="H33" s="5"/>
      <c r="I33" s="5"/>
      <c r="J33" s="5"/>
      <c r="K33" s="5"/>
      <c r="L33" s="5"/>
      <c r="M33" s="5"/>
      <c r="N33" s="5"/>
      <c r="O33" s="5"/>
      <c r="P33" s="5"/>
    </row>
    <row r="34" spans="2:16" ht="12" customHeight="1" x14ac:dyDescent="0.2">
      <c r="B34" s="22" t="s">
        <v>55</v>
      </c>
      <c r="C34" s="5">
        <v>109.036</v>
      </c>
      <c r="D34" s="5">
        <v>92.638999999999996</v>
      </c>
      <c r="E34" s="5">
        <v>77.962000000000003</v>
      </c>
      <c r="F34" s="5">
        <v>61</v>
      </c>
      <c r="G34" s="5"/>
      <c r="H34" s="5"/>
      <c r="I34" s="5"/>
      <c r="J34" s="5"/>
      <c r="K34" s="5"/>
      <c r="L34" s="5"/>
      <c r="M34" s="5"/>
      <c r="N34" s="5"/>
      <c r="O34" s="5"/>
      <c r="P34" s="5"/>
    </row>
    <row r="35" spans="2:16" ht="12" customHeight="1" x14ac:dyDescent="0.2">
      <c r="B35" s="22" t="s">
        <v>56</v>
      </c>
      <c r="C35" s="5">
        <v>11.123000000000001</v>
      </c>
      <c r="D35" s="5">
        <v>9.4990000000000006</v>
      </c>
      <c r="E35" s="5">
        <v>11.83</v>
      </c>
      <c r="F35" s="5">
        <v>11.805999999999999</v>
      </c>
      <c r="G35" s="5"/>
      <c r="H35" s="5"/>
      <c r="I35" s="5"/>
      <c r="J35" s="5"/>
      <c r="K35" s="5"/>
      <c r="L35" s="5"/>
      <c r="M35" s="5"/>
      <c r="N35" s="5"/>
      <c r="O35" s="5"/>
      <c r="P35" s="5"/>
    </row>
    <row r="36" spans="2:16" ht="12" customHeight="1" x14ac:dyDescent="0.35">
      <c r="B36" s="22" t="s">
        <v>57</v>
      </c>
      <c r="C36" s="10">
        <v>5.4859999999999998</v>
      </c>
      <c r="D36" s="10">
        <v>0.63200000000000012</v>
      </c>
      <c r="E36" s="10">
        <v>0.39300000000000002</v>
      </c>
      <c r="F36" s="10">
        <v>0.64500000000000002</v>
      </c>
      <c r="G36" s="10"/>
      <c r="H36" s="5"/>
      <c r="I36" s="5"/>
      <c r="J36" s="5"/>
      <c r="K36" s="5"/>
      <c r="L36" s="5"/>
      <c r="M36" s="5"/>
      <c r="N36" s="5"/>
      <c r="O36" s="5"/>
      <c r="P36" s="5"/>
    </row>
    <row r="37" spans="2:16" ht="12" customHeight="1" x14ac:dyDescent="0.2">
      <c r="B37" s="20" t="s">
        <v>58</v>
      </c>
      <c r="C37" s="23">
        <f>+C32+C33+C34+C35+C36</f>
        <v>298.49799999999999</v>
      </c>
      <c r="D37" s="23">
        <f>+D32+D33+D34+D35+D36</f>
        <v>220.67</v>
      </c>
      <c r="E37" s="23">
        <f>+E32+E33+E34+E35+E36</f>
        <v>170.67400000000004</v>
      </c>
      <c r="F37" s="23">
        <f>+F32+F33+F34+F35+F36</f>
        <v>149.84500000000003</v>
      </c>
      <c r="G37" s="23"/>
      <c r="H37" s="5"/>
      <c r="I37" s="5"/>
      <c r="J37" s="5"/>
      <c r="K37" s="5"/>
      <c r="L37" s="5"/>
      <c r="M37" s="5"/>
      <c r="N37" s="5"/>
      <c r="O37" s="5"/>
      <c r="P37" s="5"/>
    </row>
    <row r="38" spans="2:16" ht="12" customHeight="1" x14ac:dyDescent="0.2">
      <c r="B38" s="20" t="s">
        <v>59</v>
      </c>
      <c r="C38" s="5">
        <v>82.536000000000001</v>
      </c>
      <c r="D38" s="5">
        <v>76.605000000000004</v>
      </c>
      <c r="E38" s="5">
        <v>74.123999999999995</v>
      </c>
      <c r="F38" s="5">
        <v>63.521000000000001</v>
      </c>
      <c r="G38" s="5"/>
      <c r="H38" s="5"/>
      <c r="I38" s="5"/>
      <c r="J38" s="5"/>
      <c r="K38" s="5"/>
      <c r="L38" s="5"/>
      <c r="M38" s="5"/>
      <c r="N38" s="5"/>
      <c r="O38" s="5"/>
      <c r="P38" s="5"/>
    </row>
    <row r="39" spans="2:16" ht="12" customHeight="1" x14ac:dyDescent="0.2">
      <c r="B39" s="20" t="s">
        <v>60</v>
      </c>
      <c r="C39" s="5">
        <v>1.8940000000000001</v>
      </c>
      <c r="D39" s="5">
        <v>2.1710000000000003</v>
      </c>
      <c r="E39" s="5">
        <v>2.448</v>
      </c>
      <c r="F39" s="5">
        <v>2.726</v>
      </c>
      <c r="G39" s="5"/>
      <c r="H39" s="5"/>
      <c r="I39" s="5"/>
      <c r="J39" s="5"/>
      <c r="K39" s="5"/>
      <c r="L39" s="5"/>
      <c r="M39" s="5"/>
      <c r="N39" s="5"/>
      <c r="O39" s="5"/>
      <c r="P39" s="5"/>
    </row>
    <row r="40" spans="2:16" ht="12" customHeight="1" x14ac:dyDescent="0.2">
      <c r="B40" s="20" t="s">
        <v>61</v>
      </c>
      <c r="C40" s="5">
        <v>6.2290000000000001</v>
      </c>
      <c r="D40" s="5">
        <v>5.5839999999999996</v>
      </c>
      <c r="E40" s="5">
        <v>6.2969999999999997</v>
      </c>
      <c r="F40" s="5">
        <v>5.6289999999999996</v>
      </c>
      <c r="G40" s="5"/>
      <c r="H40" s="5"/>
      <c r="I40" s="5"/>
      <c r="J40" s="5"/>
      <c r="K40" s="5"/>
      <c r="L40" s="5"/>
      <c r="M40" s="5"/>
      <c r="N40" s="5"/>
      <c r="O40" s="5"/>
      <c r="P40" s="5"/>
    </row>
    <row r="41" spans="2:16" ht="12" customHeight="1" x14ac:dyDescent="0.2">
      <c r="B41" s="20" t="s">
        <v>62</v>
      </c>
      <c r="C41" s="5">
        <v>25.935000000000002</v>
      </c>
      <c r="D41" s="5">
        <v>17.389000000000003</v>
      </c>
      <c r="E41" s="5">
        <v>11.42</v>
      </c>
      <c r="F41" s="5">
        <v>8.15</v>
      </c>
      <c r="G41" s="5"/>
      <c r="H41" s="5"/>
      <c r="I41" s="5"/>
      <c r="J41" s="5"/>
      <c r="K41" s="5"/>
      <c r="L41" s="5"/>
      <c r="M41" s="5"/>
      <c r="N41" s="5"/>
      <c r="O41" s="5"/>
      <c r="P41" s="5"/>
    </row>
    <row r="42" spans="2:16" ht="12" customHeight="1" x14ac:dyDescent="0.2">
      <c r="B42" s="20" t="s">
        <v>63</v>
      </c>
      <c r="C42" s="5">
        <v>606.40600000000006</v>
      </c>
      <c r="D42" s="5">
        <v>434.66200000000003</v>
      </c>
      <c r="E42" s="5">
        <v>316.54199999999997</v>
      </c>
      <c r="F42" s="5">
        <v>322.65699999999998</v>
      </c>
      <c r="G42" s="5"/>
      <c r="H42" s="5"/>
      <c r="I42" s="5"/>
      <c r="J42" s="5"/>
      <c r="K42" s="5"/>
      <c r="L42" s="5"/>
      <c r="M42" s="5"/>
      <c r="N42" s="5"/>
      <c r="O42" s="5"/>
      <c r="P42" s="5"/>
    </row>
    <row r="43" spans="2:16" ht="12" customHeight="1" x14ac:dyDescent="0.35">
      <c r="B43" s="20" t="s">
        <v>64</v>
      </c>
      <c r="C43" s="10">
        <v>1008.377</v>
      </c>
      <c r="D43" s="10">
        <v>693.53700000000003</v>
      </c>
      <c r="E43" s="10">
        <v>470.88799999999998</v>
      </c>
      <c r="F43" s="10">
        <v>441.99200000000002</v>
      </c>
      <c r="G43" s="10"/>
      <c r="H43" s="5"/>
      <c r="I43" s="5"/>
      <c r="J43" s="5"/>
      <c r="K43" s="5"/>
      <c r="L43" s="5"/>
      <c r="M43" s="5"/>
      <c r="N43" s="5"/>
      <c r="O43" s="5"/>
      <c r="P43" s="5"/>
    </row>
    <row r="44" spans="2:16" ht="12" customHeight="1" x14ac:dyDescent="0.2">
      <c r="B44" s="20" t="s">
        <v>65</v>
      </c>
      <c r="C44" s="23">
        <f>C37+C38+C39+C40+C41+C42+C43</f>
        <v>2029.875</v>
      </c>
      <c r="D44" s="23">
        <f>D37+D38+D39+D40+D41+D42+D43</f>
        <v>1450.6179999999999</v>
      </c>
      <c r="E44" s="23">
        <f>E37+E38+E39+E40+E41+E42+E43</f>
        <v>1052.393</v>
      </c>
      <c r="F44" s="23">
        <f>F37+F38+F39+F40+F41+F42+F43</f>
        <v>994.52</v>
      </c>
      <c r="G44" s="23"/>
      <c r="H44" s="5"/>
      <c r="I44" s="5"/>
      <c r="J44" s="5"/>
      <c r="K44" s="5"/>
      <c r="L44" s="5"/>
      <c r="M44" s="5"/>
      <c r="N44" s="5"/>
      <c r="O44" s="5"/>
      <c r="P44" s="5"/>
    </row>
    <row r="45" spans="2:16" ht="12" customHeight="1" x14ac:dyDescent="0.2">
      <c r="B45" s="21"/>
      <c r="C45" s="23"/>
      <c r="D45" s="23"/>
      <c r="E45" s="23"/>
      <c r="F45" s="23"/>
      <c r="G45" s="23"/>
      <c r="H45" s="5"/>
      <c r="I45" s="5"/>
      <c r="J45" s="5"/>
      <c r="K45" s="5"/>
      <c r="L45" s="5"/>
      <c r="M45" s="5"/>
      <c r="N45" s="5"/>
      <c r="O45" s="5"/>
      <c r="P45" s="5"/>
    </row>
    <row r="46" spans="2:16" ht="12" customHeight="1" x14ac:dyDescent="0.2">
      <c r="B46" s="19" t="s">
        <v>66</v>
      </c>
      <c r="C46" s="23"/>
      <c r="D46" s="23"/>
      <c r="E46" s="23"/>
      <c r="F46" s="23"/>
      <c r="G46" s="23"/>
      <c r="H46" s="5"/>
      <c r="I46" s="5"/>
      <c r="J46" s="5"/>
      <c r="K46" s="5"/>
      <c r="L46" s="5"/>
      <c r="M46" s="5"/>
      <c r="N46" s="5"/>
      <c r="O46" s="5"/>
      <c r="P46" s="5"/>
    </row>
    <row r="47" spans="2:16" ht="12" customHeight="1" x14ac:dyDescent="0.2">
      <c r="B47" s="20" t="s">
        <v>67</v>
      </c>
      <c r="C47" s="23"/>
      <c r="D47" s="23"/>
      <c r="E47" s="23"/>
      <c r="F47" s="23"/>
      <c r="G47" s="23"/>
      <c r="H47" s="5"/>
      <c r="I47" s="5"/>
      <c r="J47" s="5"/>
      <c r="K47" s="5"/>
      <c r="L47" s="5"/>
      <c r="M47" s="5"/>
      <c r="N47" s="5"/>
      <c r="O47" s="5"/>
      <c r="P47" s="5"/>
    </row>
    <row r="48" spans="2:16" ht="12" customHeight="1" x14ac:dyDescent="0.2">
      <c r="B48" s="22" t="s">
        <v>68</v>
      </c>
      <c r="C48" s="5">
        <v>18.606000000000002</v>
      </c>
      <c r="D48" s="5">
        <v>12.086000000000002</v>
      </c>
      <c r="E48" s="5">
        <v>12.875999999999999</v>
      </c>
      <c r="F48" s="5">
        <v>10.167</v>
      </c>
      <c r="G48" s="5"/>
      <c r="H48" s="5"/>
      <c r="I48" s="5"/>
      <c r="J48" s="5"/>
      <c r="K48" s="5"/>
      <c r="L48" s="5"/>
      <c r="M48" s="5"/>
      <c r="N48" s="5"/>
      <c r="O48" s="5"/>
      <c r="P48" s="5"/>
    </row>
    <row r="49" spans="2:16" ht="12" customHeight="1" x14ac:dyDescent="0.2">
      <c r="B49" s="22" t="s">
        <v>69</v>
      </c>
      <c r="C49" s="5">
        <v>4.3620000000000001</v>
      </c>
      <c r="D49" s="5">
        <v>0</v>
      </c>
      <c r="E49" s="5">
        <v>6.8959999999999999</v>
      </c>
      <c r="F49" s="5">
        <v>5.0389999999999997</v>
      </c>
      <c r="G49" s="5"/>
      <c r="H49" s="5"/>
      <c r="I49" s="5"/>
      <c r="J49" s="5"/>
      <c r="K49" s="5"/>
      <c r="L49" s="5"/>
      <c r="M49" s="5"/>
      <c r="N49" s="5"/>
      <c r="O49" s="5"/>
      <c r="P49" s="5"/>
    </row>
    <row r="50" spans="2:16" ht="12" customHeight="1" x14ac:dyDescent="0.2">
      <c r="B50" s="22" t="s">
        <v>70</v>
      </c>
      <c r="C50" s="5">
        <v>0.27900000000000003</v>
      </c>
      <c r="D50" s="5">
        <v>0.23200000000000001</v>
      </c>
      <c r="E50" s="5">
        <v>0.19</v>
      </c>
      <c r="F50" s="5">
        <v>0.153</v>
      </c>
      <c r="G50" s="5"/>
      <c r="H50" s="5"/>
      <c r="I50" s="5"/>
      <c r="J50" s="5"/>
      <c r="K50" s="5"/>
      <c r="L50" s="5"/>
      <c r="M50" s="5"/>
      <c r="N50" s="5"/>
      <c r="O50" s="5"/>
      <c r="P50" s="5"/>
    </row>
    <row r="51" spans="2:16" ht="12" customHeight="1" x14ac:dyDescent="0.2">
      <c r="B51" s="22" t="s">
        <v>71</v>
      </c>
      <c r="C51" s="5">
        <v>0.81799999999999995</v>
      </c>
      <c r="D51" s="5">
        <v>0.60299999999999998</v>
      </c>
      <c r="E51" s="5">
        <v>0.60899999999999999</v>
      </c>
      <c r="F51" s="5">
        <v>0.82599999999999996</v>
      </c>
      <c r="G51" s="5"/>
      <c r="H51" s="5"/>
      <c r="I51" s="5"/>
      <c r="J51" s="5"/>
      <c r="K51" s="5"/>
      <c r="L51" s="5"/>
      <c r="M51" s="5"/>
      <c r="N51" s="5"/>
      <c r="O51" s="5"/>
      <c r="P51" s="5"/>
    </row>
    <row r="52" spans="2:16" ht="12" customHeight="1" x14ac:dyDescent="0.2">
      <c r="B52" s="22" t="s">
        <v>72</v>
      </c>
      <c r="C52" s="5">
        <v>3.0220000000000002</v>
      </c>
      <c r="D52" s="5">
        <v>1.9840000000000002</v>
      </c>
      <c r="E52" s="5">
        <v>6.133</v>
      </c>
      <c r="F52" s="5">
        <v>1.4710000000000001</v>
      </c>
      <c r="G52" s="5"/>
      <c r="H52" s="5"/>
      <c r="I52" s="5"/>
      <c r="J52" s="5"/>
      <c r="K52" s="5"/>
      <c r="L52" s="5"/>
      <c r="M52" s="5"/>
      <c r="N52" s="5"/>
      <c r="O52" s="5"/>
      <c r="P52" s="5"/>
    </row>
    <row r="53" spans="2:16" ht="12" customHeight="1" x14ac:dyDescent="0.35">
      <c r="B53" s="22" t="s">
        <v>73</v>
      </c>
      <c r="C53" s="10">
        <v>36.419000000000004</v>
      </c>
      <c r="D53" s="10">
        <v>26.901000000000003</v>
      </c>
      <c r="E53" s="10">
        <v>24.776</v>
      </c>
      <c r="F53" s="10">
        <v>20.748999999999999</v>
      </c>
      <c r="G53" s="10"/>
      <c r="H53" s="5"/>
      <c r="I53" s="5"/>
      <c r="J53" s="5"/>
      <c r="K53" s="5"/>
      <c r="L53" s="5"/>
      <c r="M53" s="5"/>
      <c r="N53" s="5"/>
      <c r="O53" s="5"/>
      <c r="P53" s="5"/>
    </row>
    <row r="54" spans="2:16" ht="12" customHeight="1" x14ac:dyDescent="0.2">
      <c r="B54" s="20" t="s">
        <v>74</v>
      </c>
      <c r="C54" s="23">
        <f>SUM(C48:C53)</f>
        <v>63.506000000000007</v>
      </c>
      <c r="D54" s="23">
        <f>SUM(D48:D53)</f>
        <v>41.806000000000004</v>
      </c>
      <c r="E54" s="23">
        <f>SUM(E48:E53)</f>
        <v>51.48</v>
      </c>
      <c r="F54" s="23">
        <f>SUM(F48:F53)</f>
        <v>38.405000000000001</v>
      </c>
      <c r="G54" s="23"/>
      <c r="H54" s="5"/>
      <c r="I54" s="5"/>
      <c r="J54" s="5"/>
      <c r="K54" s="5"/>
      <c r="L54" s="5"/>
      <c r="M54" s="5"/>
      <c r="N54" s="5"/>
      <c r="O54" s="5"/>
      <c r="P54" s="5"/>
    </row>
    <row r="55" spans="2:16" ht="12" customHeight="1" x14ac:dyDescent="0.2">
      <c r="B55" s="20" t="s">
        <v>75</v>
      </c>
      <c r="C55" s="5">
        <v>68.376999999999995</v>
      </c>
      <c r="D55" s="5">
        <v>32.892000000000003</v>
      </c>
      <c r="E55" s="5"/>
      <c r="F55" s="5"/>
      <c r="G55" s="5"/>
      <c r="H55" s="5"/>
      <c r="I55" s="5"/>
      <c r="J55" s="5"/>
      <c r="K55" s="5"/>
      <c r="L55" s="5"/>
      <c r="M55" s="5"/>
      <c r="N55" s="5"/>
      <c r="O55" s="5"/>
      <c r="P55" s="5"/>
    </row>
    <row r="56" spans="2:16" ht="12" customHeight="1" x14ac:dyDescent="0.2">
      <c r="B56" s="20" t="s">
        <v>76</v>
      </c>
      <c r="C56" s="5">
        <v>711.33800000000008</v>
      </c>
      <c r="D56" s="5">
        <v>277.29300000000001</v>
      </c>
      <c r="E56" s="5"/>
      <c r="F56" s="5"/>
      <c r="G56" s="5"/>
      <c r="H56" s="5"/>
      <c r="I56" s="5"/>
      <c r="J56" s="5"/>
      <c r="K56" s="5"/>
      <c r="L56" s="5"/>
      <c r="M56" s="5"/>
      <c r="N56" s="5"/>
      <c r="O56" s="5"/>
      <c r="P56" s="5"/>
    </row>
    <row r="57" spans="2:16" ht="12" customHeight="1" x14ac:dyDescent="0.2">
      <c r="B57" s="20" t="s">
        <v>77</v>
      </c>
      <c r="C57" s="5">
        <v>2.891</v>
      </c>
      <c r="D57" s="5">
        <v>3.17</v>
      </c>
      <c r="E57" s="5"/>
      <c r="F57" s="5"/>
      <c r="G57" s="5"/>
      <c r="H57" s="5"/>
      <c r="I57" s="5"/>
      <c r="J57" s="5"/>
      <c r="K57" s="5"/>
      <c r="L57" s="5"/>
      <c r="M57" s="5"/>
      <c r="N57" s="5"/>
      <c r="O57" s="5"/>
      <c r="P57" s="5"/>
    </row>
    <row r="58" spans="2:16" ht="12" customHeight="1" x14ac:dyDescent="0.2">
      <c r="B58" s="20" t="s">
        <v>78</v>
      </c>
      <c r="C58" s="5">
        <v>5.6050000000000004</v>
      </c>
      <c r="D58" s="5">
        <v>5.136000000000001</v>
      </c>
      <c r="E58" s="5"/>
      <c r="F58" s="5"/>
      <c r="G58" s="5"/>
      <c r="H58" s="5"/>
      <c r="I58" s="5"/>
      <c r="J58" s="5"/>
      <c r="K58" s="5"/>
      <c r="L58" s="5"/>
      <c r="M58" s="5"/>
      <c r="N58" s="5"/>
      <c r="O58" s="5"/>
      <c r="P58" s="5"/>
    </row>
    <row r="59" spans="2:16" ht="12" customHeight="1" x14ac:dyDescent="0.35">
      <c r="B59" s="20" t="s">
        <v>79</v>
      </c>
      <c r="C59" s="10">
        <v>3.4050000000000002</v>
      </c>
      <c r="D59" s="10">
        <v>1.8160000000000001</v>
      </c>
      <c r="E59" s="10"/>
      <c r="F59" s="10"/>
      <c r="G59" s="10"/>
      <c r="H59" s="5"/>
      <c r="I59" s="5"/>
      <c r="J59" s="5"/>
      <c r="K59" s="5"/>
      <c r="L59" s="5"/>
      <c r="M59" s="5"/>
      <c r="N59" s="5"/>
      <c r="O59" s="5"/>
      <c r="P59" s="5"/>
    </row>
    <row r="60" spans="2:16" ht="12" customHeight="1" x14ac:dyDescent="0.2">
      <c r="B60" s="24" t="s">
        <v>80</v>
      </c>
      <c r="C60" s="23">
        <f>C54+C55+C56+C57+C58+C59</f>
        <v>855.12200000000007</v>
      </c>
      <c r="D60" s="23">
        <f>D54+D55+D56+D57+D58+D59</f>
        <v>362.113</v>
      </c>
      <c r="E60" s="23">
        <v>10</v>
      </c>
      <c r="F60" s="23"/>
      <c r="G60" s="23"/>
      <c r="H60" s="5"/>
      <c r="I60" s="5"/>
      <c r="J60" s="5"/>
      <c r="K60" s="5"/>
      <c r="L60" s="5"/>
      <c r="M60" s="5"/>
      <c r="N60" s="5"/>
      <c r="O60" s="5"/>
      <c r="P60" s="5"/>
    </row>
    <row r="61" spans="2:16" x14ac:dyDescent="0.2">
      <c r="B61" s="12" t="s">
        <v>81</v>
      </c>
      <c r="C61" s="5">
        <v>1174.7529999999999</v>
      </c>
      <c r="D61" s="5">
        <v>1174.7529999999999</v>
      </c>
      <c r="E61" s="5"/>
      <c r="F61" s="5"/>
      <c r="G61" s="5"/>
      <c r="H61" s="5"/>
      <c r="I61" s="5"/>
      <c r="J61" s="5"/>
      <c r="K61" s="5"/>
      <c r="L61" s="5"/>
      <c r="M61" s="5"/>
      <c r="N61" s="5"/>
      <c r="O61" s="5"/>
      <c r="P61" s="5"/>
    </row>
    <row r="62" spans="2:16" x14ac:dyDescent="0.2">
      <c r="B62" s="12"/>
      <c r="C62" s="5"/>
      <c r="D62" s="5"/>
      <c r="E62" s="5"/>
      <c r="F62" s="5"/>
      <c r="G62" s="5"/>
      <c r="H62" s="5"/>
      <c r="I62" s="5"/>
      <c r="J62" s="5"/>
      <c r="K62" s="5"/>
      <c r="L62" s="5"/>
      <c r="M62" s="5"/>
      <c r="N62" s="5"/>
      <c r="O62" s="5"/>
      <c r="P62" s="5"/>
    </row>
    <row r="63" spans="2:16" x14ac:dyDescent="0.2">
      <c r="B63" t="s">
        <v>84</v>
      </c>
      <c r="C63" s="18">
        <f>+C49+C56</f>
        <v>715.7</v>
      </c>
      <c r="D63" s="18">
        <f>+D49+D56</f>
        <v>277.29300000000001</v>
      </c>
      <c r="E63" s="18"/>
      <c r="F63" s="18"/>
      <c r="G63" s="18"/>
      <c r="H63" s="5"/>
      <c r="I63" s="5"/>
      <c r="J63" s="5"/>
      <c r="K63" s="5"/>
      <c r="L63" s="5"/>
      <c r="M63" s="5"/>
      <c r="N63" s="5"/>
      <c r="O63" s="5"/>
      <c r="P63" s="5"/>
    </row>
    <row r="64" spans="2:16" x14ac:dyDescent="0.2">
      <c r="B64" t="s">
        <v>85</v>
      </c>
      <c r="C64" s="18">
        <f>+C63+C55+C53+C59+C61</f>
        <v>1998.654</v>
      </c>
      <c r="D64" s="18">
        <f>+D63+D55+D53+D59+D61</f>
        <v>1513.655</v>
      </c>
      <c r="E64" s="18"/>
      <c r="F64" s="18"/>
      <c r="G64" s="18"/>
      <c r="H64" s="5"/>
      <c r="I64" s="5"/>
      <c r="J64" s="5"/>
      <c r="K64" s="5"/>
      <c r="L64" s="5"/>
      <c r="M64" s="5"/>
      <c r="N64" s="5"/>
      <c r="O64" s="5"/>
      <c r="P64" s="5"/>
    </row>
    <row r="65" spans="2:16" x14ac:dyDescent="0.2">
      <c r="C65" s="18"/>
      <c r="D65" s="18"/>
      <c r="E65" s="18"/>
      <c r="F65" s="18"/>
      <c r="G65" s="18"/>
      <c r="H65" s="5"/>
      <c r="I65" s="5"/>
      <c r="J65" s="5"/>
      <c r="K65" s="5"/>
      <c r="L65" s="5"/>
      <c r="M65" s="5"/>
      <c r="N65" s="5"/>
      <c r="O65" s="5"/>
      <c r="P65" s="5"/>
    </row>
    <row r="66" spans="2:16" x14ac:dyDescent="0.2">
      <c r="B66" s="29" t="s">
        <v>93</v>
      </c>
      <c r="C66" s="29"/>
      <c r="D66" s="29"/>
      <c r="E66" s="29"/>
      <c r="F66" s="29"/>
      <c r="G66" s="29"/>
      <c r="H66" s="29"/>
      <c r="I66" s="29"/>
      <c r="J66" s="29"/>
      <c r="K66" s="29"/>
      <c r="L66" s="29"/>
      <c r="M66" s="29"/>
      <c r="N66" s="29"/>
      <c r="O66" s="29"/>
      <c r="P66" s="29"/>
    </row>
    <row r="67" spans="2:16" x14ac:dyDescent="0.2">
      <c r="B67" t="s">
        <v>40</v>
      </c>
      <c r="C67" s="5">
        <v>112.58</v>
      </c>
      <c r="D67" s="5">
        <v>54.97</v>
      </c>
      <c r="E67" s="5">
        <v>12.813000000000001</v>
      </c>
      <c r="F67" s="5">
        <v>13.27</v>
      </c>
      <c r="G67" s="5"/>
      <c r="H67" s="5"/>
      <c r="I67" s="5"/>
      <c r="J67" s="5"/>
      <c r="K67" s="5"/>
      <c r="L67" s="5"/>
      <c r="M67" s="5"/>
      <c r="N67" s="5"/>
      <c r="O67" s="5"/>
      <c r="P67" s="5"/>
    </row>
    <row r="68" spans="2:16" x14ac:dyDescent="0.2">
      <c r="B68" t="s">
        <v>41</v>
      </c>
      <c r="C68" s="5">
        <v>-13.023</v>
      </c>
      <c r="D68" s="5">
        <v>-8.8699999999999992</v>
      </c>
      <c r="E68" s="5">
        <v>-12.134</v>
      </c>
      <c r="F68" s="5">
        <v>-7.9340000000000002</v>
      </c>
      <c r="G68" s="5"/>
      <c r="H68" s="5"/>
      <c r="I68" s="5"/>
      <c r="J68" s="5"/>
      <c r="K68" s="5"/>
      <c r="L68" s="5"/>
      <c r="M68" s="5"/>
      <c r="N68" s="5"/>
      <c r="O68" s="5"/>
      <c r="P68" s="5"/>
    </row>
    <row r="69" spans="2:16" x14ac:dyDescent="0.2">
      <c r="B69" t="s">
        <v>42</v>
      </c>
      <c r="C69" s="5">
        <v>-507.85399999999998</v>
      </c>
      <c r="D69" s="5">
        <v>-383.26</v>
      </c>
      <c r="E69" s="5">
        <v>-60.423000000000002</v>
      </c>
      <c r="F69" s="5">
        <v>-173.899</v>
      </c>
      <c r="G69" s="5"/>
      <c r="H69" s="5"/>
      <c r="I69" s="5"/>
      <c r="J69" s="5"/>
      <c r="K69" s="5"/>
      <c r="L69" s="5"/>
      <c r="M69" s="5"/>
      <c r="N69" s="5"/>
      <c r="O69" s="5"/>
      <c r="P69" s="5"/>
    </row>
    <row r="70" spans="2:16" x14ac:dyDescent="0.2">
      <c r="G70" s="5"/>
      <c r="H70" s="5"/>
      <c r="I70" s="5"/>
      <c r="J70" s="5"/>
      <c r="K70" s="5"/>
      <c r="L70" s="5"/>
      <c r="M70" s="5"/>
      <c r="N70" s="5"/>
      <c r="O70" s="5"/>
      <c r="P70" s="5"/>
    </row>
    <row r="71" spans="2:16" x14ac:dyDescent="0.2">
      <c r="B71" t="s">
        <v>43</v>
      </c>
      <c r="G71" s="5"/>
      <c r="H71" s="5"/>
      <c r="I71" s="5"/>
      <c r="J71" s="5"/>
      <c r="K71" s="5"/>
      <c r="L71" s="5"/>
      <c r="M71" s="5"/>
      <c r="N71" s="5"/>
      <c r="O71" s="5"/>
      <c r="P71" s="5"/>
    </row>
    <row r="72" spans="2:16" x14ac:dyDescent="0.2">
      <c r="B72" t="s">
        <v>44</v>
      </c>
      <c r="C72" s="13">
        <f>+C67+C68</f>
        <v>99.557000000000002</v>
      </c>
      <c r="D72" s="13">
        <f t="shared" ref="D72:F72" si="23">+D67+D68</f>
        <v>46.1</v>
      </c>
      <c r="E72" s="13">
        <f t="shared" si="23"/>
        <v>0.67900000000000027</v>
      </c>
      <c r="F72" s="13">
        <f t="shared" si="23"/>
        <v>5.3359999999999994</v>
      </c>
      <c r="G72" s="5"/>
      <c r="H72" s="5"/>
      <c r="I72" s="5"/>
      <c r="J72" s="5"/>
      <c r="K72" s="5"/>
      <c r="L72" s="5"/>
      <c r="M72" s="5"/>
      <c r="N72" s="5"/>
      <c r="O72" s="5"/>
      <c r="P72" s="5"/>
    </row>
    <row r="73" spans="2:16" x14ac:dyDescent="0.2">
      <c r="C73" s="18"/>
      <c r="D73" s="18"/>
      <c r="E73" s="18"/>
      <c r="F73" s="5"/>
      <c r="G73" s="5"/>
      <c r="H73" s="5"/>
      <c r="I73" s="5"/>
      <c r="J73" s="5"/>
      <c r="K73" s="5"/>
      <c r="L73" s="5"/>
      <c r="M73" s="5"/>
      <c r="N73" s="5"/>
      <c r="O73" s="5"/>
      <c r="P73" s="5"/>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FA55-8A2E-4377-A6CE-DB45BAC2A0FE}">
  <dimension ref="B2:R4"/>
  <sheetViews>
    <sheetView zoomScale="145" zoomScaleNormal="145" workbookViewId="0">
      <selection activeCell="C30" sqref="C30"/>
    </sheetView>
  </sheetViews>
  <sheetFormatPr defaultRowHeight="12.75" x14ac:dyDescent="0.2"/>
  <sheetData>
    <row r="2" spans="2:18" x14ac:dyDescent="0.2">
      <c r="B2" t="s">
        <v>30</v>
      </c>
      <c r="D2" s="30" t="s">
        <v>33</v>
      </c>
      <c r="E2" s="30"/>
      <c r="F2" s="30"/>
      <c r="G2" s="30" t="s">
        <v>20</v>
      </c>
      <c r="H2" s="30"/>
      <c r="I2" s="30"/>
      <c r="J2" s="30" t="s">
        <v>37</v>
      </c>
      <c r="K2" s="30"/>
      <c r="L2" s="30"/>
      <c r="M2" s="30" t="s">
        <v>21</v>
      </c>
      <c r="N2" s="30"/>
      <c r="O2" s="30"/>
      <c r="P2" s="30" t="s">
        <v>38</v>
      </c>
      <c r="Q2" s="30"/>
      <c r="R2" s="30"/>
    </row>
    <row r="3" spans="2:18" x14ac:dyDescent="0.2">
      <c r="B3" t="s">
        <v>31</v>
      </c>
      <c r="C3" t="s">
        <v>32</v>
      </c>
      <c r="D3" t="s">
        <v>34</v>
      </c>
      <c r="E3" t="s">
        <v>36</v>
      </c>
      <c r="F3" t="s">
        <v>35</v>
      </c>
      <c r="G3" t="s">
        <v>34</v>
      </c>
      <c r="H3" t="s">
        <v>36</v>
      </c>
      <c r="I3" t="s">
        <v>35</v>
      </c>
      <c r="J3" t="s">
        <v>34</v>
      </c>
      <c r="K3" t="s">
        <v>36</v>
      </c>
      <c r="L3" t="s">
        <v>35</v>
      </c>
      <c r="M3" t="s">
        <v>34</v>
      </c>
      <c r="N3" t="s">
        <v>36</v>
      </c>
      <c r="O3" t="s">
        <v>35</v>
      </c>
      <c r="P3" t="s">
        <v>34</v>
      </c>
      <c r="Q3" t="s">
        <v>36</v>
      </c>
      <c r="R3" t="s">
        <v>35</v>
      </c>
    </row>
    <row r="4" spans="2:18" x14ac:dyDescent="0.2">
      <c r="B4" s="16">
        <v>46149</v>
      </c>
      <c r="C4" t="s">
        <v>39</v>
      </c>
      <c r="D4" s="5">
        <v>645</v>
      </c>
      <c r="E4" s="13">
        <f>AVERAGE(D4,F4)</f>
        <v>650</v>
      </c>
      <c r="F4" s="5">
        <v>655</v>
      </c>
      <c r="G4" s="5">
        <v>257</v>
      </c>
      <c r="H4" s="13">
        <f>AVERAGE(G4,I4)</f>
        <v>259.5</v>
      </c>
      <c r="I4" s="5">
        <v>262</v>
      </c>
      <c r="J4" s="7">
        <v>0.4</v>
      </c>
      <c r="K4" s="13">
        <f>AVERAGE(J4,L4)</f>
        <v>0.4</v>
      </c>
      <c r="L4" s="7">
        <v>0.4</v>
      </c>
      <c r="M4" s="5">
        <v>53</v>
      </c>
      <c r="N4" s="13">
        <f>AVERAGE(M4,O4)</f>
        <v>55</v>
      </c>
      <c r="O4" s="5">
        <v>57</v>
      </c>
      <c r="P4" s="14">
        <v>0.54</v>
      </c>
      <c r="Q4" s="15">
        <f>AVERAGE(P4,R4)</f>
        <v>0.56499999999999995</v>
      </c>
      <c r="R4" s="14">
        <v>0.59</v>
      </c>
    </row>
  </sheetData>
  <mergeCells count="5">
    <mergeCell ref="D2:F2"/>
    <mergeCell ref="G2:I2"/>
    <mergeCell ref="J2:L2"/>
    <mergeCell ref="M2:O2"/>
    <mergeCell ref="P2:R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Model</vt:lpstr>
      <vt:lpstr>Guidance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2026-06-11T19:16:04Z</dcterms:created>
  <dcterms:modified xsi:type="dcterms:W3CDTF">2026-06-15T04:17:34Z</dcterms:modified>
</cp:coreProperties>
</file>