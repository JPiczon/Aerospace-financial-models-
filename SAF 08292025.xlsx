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dc8c86c708ee123/Documents/corporate financials/"/>
    </mc:Choice>
  </mc:AlternateContent>
  <xr:revisionPtr revIDLastSave="5457" documentId="8_{34628815-A437-4487-B3D3-C97428C5E147}" xr6:coauthVersionLast="47" xr6:coauthVersionMax="47" xr10:uidLastSave="{8E94C1EF-0850-4EB7-9512-5FEDBBF88EEC}"/>
  <bookViews>
    <workbookView xWindow="-120" yWindow="-120" windowWidth="29040" windowHeight="17520" firstSheet="1" activeTab="1" xr2:uid="{841570E0-41C2-4F25-8BC5-ED107AF40B04}"/>
  </bookViews>
  <sheets>
    <sheet name="Main" sheetId="1" r:id="rId1"/>
    <sheet name="Dashboard" sheetId="4" r:id="rId2"/>
    <sheet name="Sheet2" sheetId="2" r:id="rId3"/>
    <sheet name="Acquisitions" sheetId="3" r:id="rId4"/>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4" l="1"/>
  <c r="C6" i="4"/>
  <c r="C5" i="4"/>
  <c r="C4" i="4"/>
  <c r="AL77" i="2"/>
  <c r="AM77" i="2"/>
  <c r="AN77" i="2"/>
  <c r="AO77" i="2"/>
  <c r="AP77" i="2"/>
  <c r="AQ77" i="2"/>
  <c r="AR77" i="2"/>
  <c r="AS77" i="2"/>
  <c r="AT77" i="2"/>
  <c r="AU77" i="2"/>
  <c r="C2" i="4"/>
  <c r="AP51" i="2"/>
  <c r="U172" i="2"/>
  <c r="W172" i="2"/>
  <c r="Y172" i="2"/>
  <c r="AA172" i="2"/>
  <c r="AC172" i="2"/>
  <c r="AE172" i="2"/>
  <c r="AG172" i="2"/>
  <c r="AI172" i="2"/>
  <c r="T172" i="2"/>
  <c r="AV142" i="2"/>
  <c r="C15" i="1" a="1"/>
  <c r="C15" i="1" s="1"/>
  <c r="AM171" i="2" l="1"/>
  <c r="AN171" i="2"/>
  <c r="AO171" i="2"/>
  <c r="AP171" i="2"/>
  <c r="AQ171" i="2"/>
  <c r="AR171" i="2"/>
  <c r="AS171" i="2"/>
  <c r="AT171" i="2"/>
  <c r="AU171" i="2"/>
  <c r="AL171" i="2"/>
  <c r="AV83" i="2"/>
  <c r="AU53" i="2"/>
  <c r="AT53" i="2"/>
  <c r="AS53" i="2"/>
  <c r="AR53" i="2"/>
  <c r="AQ53" i="2"/>
  <c r="AP53" i="2"/>
  <c r="AO53" i="2"/>
  <c r="AN53" i="2"/>
  <c r="AM53" i="2"/>
  <c r="C9" i="1"/>
  <c r="C8" i="1"/>
  <c r="C5" i="1" a="1"/>
  <c r="C5" i="1" s="1"/>
  <c r="C4" i="1" a="1"/>
  <c r="C4" i="1" s="1"/>
  <c r="R51" i="2" l="1"/>
  <c r="R49" i="2"/>
  <c r="AV82" i="2"/>
  <c r="V48" i="2"/>
  <c r="X48" i="2"/>
  <c r="Z48" i="2"/>
  <c r="AB48" i="2"/>
  <c r="AD48" i="2"/>
  <c r="AJ48" i="2"/>
  <c r="T48" i="2"/>
  <c r="AM48" i="2"/>
  <c r="AN48" i="2"/>
  <c r="AO48" i="2"/>
  <c r="AP48" i="2"/>
  <c r="AQ48" i="2"/>
  <c r="AR48" i="2"/>
  <c r="AS48" i="2"/>
  <c r="AT48" i="2"/>
  <c r="AU48" i="2"/>
  <c r="AL48" i="2"/>
  <c r="AM166" i="2"/>
  <c r="AM164" i="2"/>
  <c r="AL164" i="2"/>
  <c r="AM163" i="2"/>
  <c r="AL163" i="2"/>
  <c r="AM151" i="2"/>
  <c r="AM140" i="2"/>
  <c r="AM141" i="2" s="1"/>
  <c r="AM143" i="2" s="1"/>
  <c r="AM152" i="2" s="1"/>
  <c r="AL140" i="2"/>
  <c r="AM121" i="2"/>
  <c r="AM129" i="2"/>
  <c r="AL129" i="2"/>
  <c r="AM112" i="2"/>
  <c r="AL112" i="2"/>
  <c r="AL172" i="2" s="1"/>
  <c r="AM106" i="2"/>
  <c r="AM97" i="2"/>
  <c r="AM74" i="2"/>
  <c r="AM66" i="2"/>
  <c r="AM55" i="2"/>
  <c r="AM34" i="2"/>
  <c r="AM33" i="2"/>
  <c r="AM32" i="2"/>
  <c r="AM51" i="2" s="1"/>
  <c r="AM45" i="2" s="1"/>
  <c r="AL34" i="2"/>
  <c r="AL33" i="2"/>
  <c r="AL32" i="2"/>
  <c r="AL51" i="2" s="1"/>
  <c r="AL47" i="2" s="1"/>
  <c r="AM29" i="2"/>
  <c r="AM30" i="2" s="1"/>
  <c r="AL29" i="2"/>
  <c r="AL30" i="2" s="1"/>
  <c r="U155" i="2"/>
  <c r="U156" i="2"/>
  <c r="U157" i="2"/>
  <c r="U158" i="2"/>
  <c r="U159" i="2"/>
  <c r="U160" i="2"/>
  <c r="U161" i="2"/>
  <c r="U162" i="2"/>
  <c r="U154" i="2"/>
  <c r="U145" i="2"/>
  <c r="U146" i="2"/>
  <c r="U147" i="2"/>
  <c r="U148" i="2"/>
  <c r="U149" i="2"/>
  <c r="U150" i="2"/>
  <c r="U144" i="2"/>
  <c r="U142" i="2"/>
  <c r="U135" i="2"/>
  <c r="U136" i="2"/>
  <c r="U137" i="2"/>
  <c r="U138" i="2"/>
  <c r="U139" i="2"/>
  <c r="U76" i="2"/>
  <c r="U73" i="2"/>
  <c r="U72" i="2"/>
  <c r="U71" i="2"/>
  <c r="U68" i="2"/>
  <c r="U58" i="2"/>
  <c r="U59" i="2"/>
  <c r="U60" i="2"/>
  <c r="U61" i="2"/>
  <c r="U62" i="2"/>
  <c r="U63" i="2"/>
  <c r="U64" i="2"/>
  <c r="U65" i="2"/>
  <c r="U57" i="2"/>
  <c r="U52" i="2"/>
  <c r="U48" i="2" s="1"/>
  <c r="U54" i="2"/>
  <c r="U40" i="2"/>
  <c r="U39" i="2"/>
  <c r="U38" i="2"/>
  <c r="U34" i="2"/>
  <c r="U27" i="2"/>
  <c r="U28" i="2"/>
  <c r="U26" i="2"/>
  <c r="U5" i="2"/>
  <c r="U6" i="2"/>
  <c r="U7" i="2"/>
  <c r="U8" i="2"/>
  <c r="U9" i="2"/>
  <c r="U10" i="2"/>
  <c r="U11" i="2"/>
  <c r="U12" i="2"/>
  <c r="U13" i="2"/>
  <c r="U14" i="2"/>
  <c r="U15" i="2"/>
  <c r="U16" i="2"/>
  <c r="U17" i="2"/>
  <c r="U18" i="2"/>
  <c r="U19" i="2"/>
  <c r="U20" i="2"/>
  <c r="U22" i="2"/>
  <c r="U4" i="2"/>
  <c r="W164" i="2"/>
  <c r="W155" i="2"/>
  <c r="W156" i="2"/>
  <c r="W157" i="2"/>
  <c r="W158" i="2"/>
  <c r="W159" i="2"/>
  <c r="W160" i="2"/>
  <c r="W161" i="2"/>
  <c r="W162" i="2"/>
  <c r="W154" i="2"/>
  <c r="W145" i="2"/>
  <c r="W146" i="2"/>
  <c r="W147" i="2"/>
  <c r="W148" i="2"/>
  <c r="W149" i="2"/>
  <c r="W150" i="2"/>
  <c r="W144" i="2"/>
  <c r="W142" i="2"/>
  <c r="W136" i="2"/>
  <c r="W137" i="2"/>
  <c r="W138" i="2"/>
  <c r="W139" i="2"/>
  <c r="W135" i="2"/>
  <c r="W76" i="2"/>
  <c r="W73" i="2"/>
  <c r="W72" i="2"/>
  <c r="W71" i="2"/>
  <c r="W68" i="2"/>
  <c r="W58" i="2"/>
  <c r="W59" i="2"/>
  <c r="W60" i="2"/>
  <c r="W61" i="2"/>
  <c r="W62" i="2"/>
  <c r="W63" i="2"/>
  <c r="W64" i="2"/>
  <c r="W65" i="2"/>
  <c r="W57" i="2"/>
  <c r="W54" i="2"/>
  <c r="W52" i="2"/>
  <c r="W27" i="2"/>
  <c r="W28" i="2"/>
  <c r="W26" i="2"/>
  <c r="W5" i="2"/>
  <c r="W6" i="2"/>
  <c r="W7" i="2"/>
  <c r="W8" i="2"/>
  <c r="W9" i="2"/>
  <c r="W10" i="2"/>
  <c r="W11" i="2"/>
  <c r="W12" i="2"/>
  <c r="W13" i="2"/>
  <c r="W14" i="2"/>
  <c r="W15" i="2"/>
  <c r="W16" i="2"/>
  <c r="W17" i="2"/>
  <c r="W18" i="2"/>
  <c r="W19" i="2"/>
  <c r="W20" i="2"/>
  <c r="W22" i="2"/>
  <c r="W4" i="2"/>
  <c r="T166" i="2"/>
  <c r="T164" i="2"/>
  <c r="V163" i="2"/>
  <c r="V151" i="2"/>
  <c r="V134" i="2"/>
  <c r="V141" i="2" s="1"/>
  <c r="V143" i="2" s="1"/>
  <c r="V152" i="2" s="1"/>
  <c r="T141" i="2"/>
  <c r="T143" i="2" s="1"/>
  <c r="T152" i="2" s="1"/>
  <c r="T163" i="2"/>
  <c r="T151" i="2"/>
  <c r="V129" i="2"/>
  <c r="V121" i="2"/>
  <c r="V112" i="2"/>
  <c r="V106" i="2"/>
  <c r="V97" i="2"/>
  <c r="V84" i="2"/>
  <c r="V85" i="2"/>
  <c r="V74" i="2"/>
  <c r="V55" i="2"/>
  <c r="V66" i="2"/>
  <c r="T55" i="2"/>
  <c r="T66" i="2"/>
  <c r="T74" i="2"/>
  <c r="T84" i="2"/>
  <c r="T85" i="2"/>
  <c r="V40" i="2"/>
  <c r="W40" i="2" s="1"/>
  <c r="V39" i="2"/>
  <c r="W39" i="2" s="1"/>
  <c r="V38" i="2"/>
  <c r="W38" i="2" s="1"/>
  <c r="V34" i="2"/>
  <c r="W34" i="2" s="1"/>
  <c r="V33" i="2"/>
  <c r="V32" i="2"/>
  <c r="T33" i="2"/>
  <c r="T35" i="2" s="1"/>
  <c r="T32" i="2"/>
  <c r="T51" i="2" s="1"/>
  <c r="T45" i="2" s="1"/>
  <c r="T41" i="2"/>
  <c r="T42" i="2" s="1"/>
  <c r="T29" i="2"/>
  <c r="T30" i="2" s="1"/>
  <c r="V29" i="2"/>
  <c r="V30" i="2" s="1"/>
  <c r="AL151" i="2"/>
  <c r="AN164" i="2"/>
  <c r="AN151" i="2"/>
  <c r="AO140" i="2"/>
  <c r="W140" i="2" s="1"/>
  <c r="AN140" i="2"/>
  <c r="U140" i="2" s="1"/>
  <c r="AO134" i="2"/>
  <c r="AO151" i="2"/>
  <c r="AO163" i="2"/>
  <c r="AN163" i="2"/>
  <c r="AN111" i="2"/>
  <c r="AO129" i="2"/>
  <c r="AN129" i="2"/>
  <c r="AO84" i="2"/>
  <c r="AN29" i="2"/>
  <c r="AN30" i="2" s="1"/>
  <c r="AN134" i="2"/>
  <c r="U134" i="2" s="1"/>
  <c r="AL134" i="2"/>
  <c r="AO97" i="2"/>
  <c r="AL97" i="2"/>
  <c r="AN97" i="2"/>
  <c r="AO85" i="2"/>
  <c r="AO74" i="2"/>
  <c r="AL74" i="2"/>
  <c r="AN74" i="2"/>
  <c r="AO66" i="2"/>
  <c r="AL66" i="2"/>
  <c r="AN66" i="2"/>
  <c r="AO55" i="2"/>
  <c r="AL55" i="2"/>
  <c r="AN55" i="2"/>
  <c r="AN56" i="2" s="1"/>
  <c r="AN51" i="2"/>
  <c r="AO51" i="2"/>
  <c r="AO46" i="2" s="1"/>
  <c r="AO35" i="2"/>
  <c r="AO36" i="2" s="1"/>
  <c r="AO41" i="2"/>
  <c r="AO42" i="2" s="1"/>
  <c r="AN41" i="2"/>
  <c r="AN42" i="2" s="1"/>
  <c r="AN35" i="2"/>
  <c r="AN36" i="2" s="1"/>
  <c r="AO29" i="2"/>
  <c r="AO30" i="2" s="1"/>
  <c r="Y164" i="2"/>
  <c r="Y155" i="2"/>
  <c r="Y156" i="2"/>
  <c r="Y157" i="2"/>
  <c r="Y158" i="2"/>
  <c r="Y159" i="2"/>
  <c r="Y160" i="2"/>
  <c r="Y161" i="2"/>
  <c r="Y162" i="2"/>
  <c r="Y154" i="2"/>
  <c r="Y150" i="2"/>
  <c r="Y145" i="2"/>
  <c r="Y146" i="2"/>
  <c r="Y147" i="2"/>
  <c r="Y148" i="2"/>
  <c r="Y149" i="2"/>
  <c r="Y144" i="2"/>
  <c r="Y142" i="2"/>
  <c r="Y135" i="2"/>
  <c r="Y136" i="2"/>
  <c r="Y137" i="2"/>
  <c r="Y138" i="2"/>
  <c r="Y139" i="2"/>
  <c r="Y140" i="2"/>
  <c r="X84" i="2"/>
  <c r="Y76" i="2"/>
  <c r="Y73" i="2"/>
  <c r="Y72" i="2"/>
  <c r="Y68" i="2"/>
  <c r="Y58" i="2"/>
  <c r="Y59" i="2"/>
  <c r="Y60" i="2"/>
  <c r="Y61" i="2"/>
  <c r="Y62" i="2"/>
  <c r="Y63" i="2"/>
  <c r="Y64" i="2"/>
  <c r="Y65" i="2"/>
  <c r="Y57" i="2"/>
  <c r="Y54" i="2"/>
  <c r="Y52" i="2"/>
  <c r="Y48" i="2" s="1"/>
  <c r="Y40" i="2"/>
  <c r="Y39" i="2"/>
  <c r="Y38" i="2"/>
  <c r="Y34" i="2"/>
  <c r="Y33" i="2"/>
  <c r="Y32" i="2"/>
  <c r="Y27" i="2"/>
  <c r="Y28" i="2"/>
  <c r="Y26" i="2"/>
  <c r="Y5" i="2"/>
  <c r="Y6" i="2"/>
  <c r="Y7" i="2"/>
  <c r="Y8" i="2"/>
  <c r="Y9" i="2"/>
  <c r="Y10" i="2"/>
  <c r="Y11" i="2"/>
  <c r="Y12" i="2"/>
  <c r="Y13" i="2"/>
  <c r="Y14" i="2"/>
  <c r="Y15" i="2"/>
  <c r="Y16" i="2"/>
  <c r="Y17" i="2"/>
  <c r="Y18" i="2"/>
  <c r="Y19" i="2"/>
  <c r="Y20" i="2"/>
  <c r="Y22" i="2"/>
  <c r="Y4" i="2"/>
  <c r="AA164" i="2"/>
  <c r="AA155" i="2"/>
  <c r="AA156" i="2"/>
  <c r="AA157" i="2"/>
  <c r="AA158" i="2"/>
  <c r="AA159" i="2"/>
  <c r="AA160" i="2"/>
  <c r="AA161" i="2"/>
  <c r="AA162" i="2"/>
  <c r="AA154" i="2"/>
  <c r="AA150" i="2"/>
  <c r="AA145" i="2"/>
  <c r="AA146" i="2"/>
  <c r="AA147" i="2"/>
  <c r="AA148" i="2"/>
  <c r="AA149" i="2"/>
  <c r="AA144" i="2"/>
  <c r="AA142" i="2"/>
  <c r="AA140" i="2"/>
  <c r="AA135" i="2"/>
  <c r="AA136" i="2"/>
  <c r="AA137" i="2"/>
  <c r="AA138" i="2"/>
  <c r="AA139" i="2"/>
  <c r="AA76" i="2"/>
  <c r="AA73" i="2"/>
  <c r="AA72" i="2"/>
  <c r="AA71" i="2"/>
  <c r="AA68" i="2"/>
  <c r="AA65" i="2"/>
  <c r="AA58" i="2"/>
  <c r="AA59" i="2"/>
  <c r="AA60" i="2"/>
  <c r="AA61" i="2"/>
  <c r="AA62" i="2"/>
  <c r="AA63" i="2"/>
  <c r="AA64" i="2"/>
  <c r="AA57" i="2"/>
  <c r="AA54" i="2"/>
  <c r="AA52" i="2"/>
  <c r="AA48" i="2" s="1"/>
  <c r="AA40" i="2"/>
  <c r="AA39" i="2"/>
  <c r="AA38" i="2"/>
  <c r="AA34" i="2"/>
  <c r="AA33" i="2"/>
  <c r="AA32" i="2"/>
  <c r="AA27" i="2"/>
  <c r="AA28" i="2"/>
  <c r="AA26" i="2"/>
  <c r="AA5" i="2"/>
  <c r="AA6" i="2"/>
  <c r="AA7" i="2"/>
  <c r="AA8" i="2"/>
  <c r="AA9" i="2"/>
  <c r="AA10" i="2"/>
  <c r="AA11" i="2"/>
  <c r="AA12" i="2"/>
  <c r="AA13" i="2"/>
  <c r="AA14" i="2"/>
  <c r="AA15" i="2"/>
  <c r="AA16" i="2"/>
  <c r="AA17" i="2"/>
  <c r="AA18" i="2"/>
  <c r="AA19" i="2"/>
  <c r="AA20" i="2"/>
  <c r="AA22" i="2"/>
  <c r="AA4" i="2"/>
  <c r="Z163" i="2"/>
  <c r="X163" i="2"/>
  <c r="Z151" i="2"/>
  <c r="X151" i="2"/>
  <c r="X134" i="2"/>
  <c r="X141" i="2" s="1"/>
  <c r="X143" i="2" s="1"/>
  <c r="X152" i="2" s="1"/>
  <c r="Z134" i="2"/>
  <c r="Z141" i="2" s="1"/>
  <c r="Z143" i="2" s="1"/>
  <c r="Z152" i="2" s="1"/>
  <c r="Z129" i="2"/>
  <c r="X129" i="2"/>
  <c r="Z121" i="2"/>
  <c r="X121" i="2"/>
  <c r="Z112" i="2"/>
  <c r="X112" i="2"/>
  <c r="Z106" i="2"/>
  <c r="X106" i="2"/>
  <c r="Z97" i="2"/>
  <c r="X97" i="2"/>
  <c r="Z84" i="2"/>
  <c r="Z85" i="2"/>
  <c r="X85" i="2"/>
  <c r="Z74" i="2"/>
  <c r="X74" i="2"/>
  <c r="Z66" i="2"/>
  <c r="X66" i="2"/>
  <c r="Z55" i="2"/>
  <c r="X55" i="2"/>
  <c r="X51" i="2"/>
  <c r="X46" i="2" s="1"/>
  <c r="Z51" i="2"/>
  <c r="Z47" i="2" s="1"/>
  <c r="Z41" i="2"/>
  <c r="Z42" i="2" s="1"/>
  <c r="X41" i="2"/>
  <c r="X42" i="2" s="1"/>
  <c r="Z35" i="2"/>
  <c r="Z36" i="2" s="1"/>
  <c r="X35" i="2"/>
  <c r="X36" i="2" s="1"/>
  <c r="Z29" i="2"/>
  <c r="Z30" i="2" s="1"/>
  <c r="X29" i="2"/>
  <c r="X30" i="2" s="1"/>
  <c r="X114" i="2" l="1"/>
  <c r="X172" i="2"/>
  <c r="Z114" i="2"/>
  <c r="Z172" i="2"/>
  <c r="V114" i="2"/>
  <c r="V172" i="2"/>
  <c r="AM114" i="2"/>
  <c r="AM172" i="2"/>
  <c r="T47" i="2"/>
  <c r="W55" i="2"/>
  <c r="AM35" i="2"/>
  <c r="AM36" i="2" s="1"/>
  <c r="AO56" i="2"/>
  <c r="AM56" i="2"/>
  <c r="AL45" i="2"/>
  <c r="X47" i="2"/>
  <c r="AL46" i="2"/>
  <c r="Z46" i="2"/>
  <c r="U51" i="2"/>
  <c r="U47" i="2" s="1"/>
  <c r="AO141" i="2"/>
  <c r="AO143" i="2" s="1"/>
  <c r="V35" i="2"/>
  <c r="V36" i="2" s="1"/>
  <c r="T46" i="2"/>
  <c r="AO47" i="2"/>
  <c r="AN47" i="2"/>
  <c r="X45" i="2"/>
  <c r="AM46" i="2"/>
  <c r="AM47" i="2"/>
  <c r="W48" i="2"/>
  <c r="AO45" i="2"/>
  <c r="AN45" i="2"/>
  <c r="Z45" i="2"/>
  <c r="AN46" i="2"/>
  <c r="AL35" i="2"/>
  <c r="AL36" i="2" s="1"/>
  <c r="Y35" i="2"/>
  <c r="Y36" i="2" s="1"/>
  <c r="U163" i="2"/>
  <c r="U141" i="2"/>
  <c r="U143" i="2" s="1"/>
  <c r="U152" i="2" s="1"/>
  <c r="V51" i="2"/>
  <c r="V46" i="2" s="1"/>
  <c r="AM108" i="2"/>
  <c r="AM165" i="2"/>
  <c r="AM167" i="2" s="1"/>
  <c r="AM67" i="2"/>
  <c r="AM69" i="2" s="1"/>
  <c r="AM131" i="2"/>
  <c r="U41" i="2"/>
  <c r="U42" i="2" s="1"/>
  <c r="U55" i="2"/>
  <c r="U33" i="2"/>
  <c r="U35" i="2" s="1"/>
  <c r="W163" i="2"/>
  <c r="W29" i="2"/>
  <c r="W30" i="2" s="1"/>
  <c r="U29" i="2"/>
  <c r="U30" i="2" s="1"/>
  <c r="U66" i="2"/>
  <c r="U151" i="2"/>
  <c r="U74" i="2"/>
  <c r="W66" i="2"/>
  <c r="U164" i="2"/>
  <c r="W33" i="2"/>
  <c r="W35" i="2" s="1"/>
  <c r="W41" i="2"/>
  <c r="W42" i="2" s="1"/>
  <c r="W151" i="2"/>
  <c r="W74" i="2"/>
  <c r="U32" i="2"/>
  <c r="U46" i="2" s="1"/>
  <c r="W134" i="2"/>
  <c r="W141" i="2" s="1"/>
  <c r="W143" i="2" s="1"/>
  <c r="W152" i="2" s="1"/>
  <c r="W32" i="2"/>
  <c r="V67" i="2"/>
  <c r="V69" i="2" s="1"/>
  <c r="V75" i="2" s="1"/>
  <c r="T36" i="2"/>
  <c r="V41" i="2"/>
  <c r="V42" i="2" s="1"/>
  <c r="V165" i="2"/>
  <c r="V167" i="2" s="1"/>
  <c r="W166" i="2" s="1"/>
  <c r="T165" i="2"/>
  <c r="T167" i="2" s="1"/>
  <c r="U166" i="2" s="1"/>
  <c r="V131" i="2"/>
  <c r="V108" i="2"/>
  <c r="T67" i="2"/>
  <c r="T69" i="2" s="1"/>
  <c r="T75" i="2" s="1"/>
  <c r="T170" i="2" s="1"/>
  <c r="AN141" i="2"/>
  <c r="AN143" i="2" s="1"/>
  <c r="AL67" i="2"/>
  <c r="AL69" i="2" s="1"/>
  <c r="AA41" i="2"/>
  <c r="AA42" i="2" s="1"/>
  <c r="AA55" i="2"/>
  <c r="AO67" i="2"/>
  <c r="AN67" i="2"/>
  <c r="AN69" i="2" s="1"/>
  <c r="AA35" i="2"/>
  <c r="AA36" i="2" s="1"/>
  <c r="Y55" i="2"/>
  <c r="Y74" i="2"/>
  <c r="Y66" i="2"/>
  <c r="AA163" i="2"/>
  <c r="Y29" i="2"/>
  <c r="Y30" i="2" s="1"/>
  <c r="AA151" i="2"/>
  <c r="Y41" i="2"/>
  <c r="Y42" i="2" s="1"/>
  <c r="AA29" i="2"/>
  <c r="AA30" i="2" s="1"/>
  <c r="Y163" i="2"/>
  <c r="Y151" i="2"/>
  <c r="AA66" i="2"/>
  <c r="X165" i="2"/>
  <c r="X167" i="2" s="1"/>
  <c r="Y166" i="2" s="1"/>
  <c r="Z131" i="2"/>
  <c r="X67" i="2"/>
  <c r="X69" i="2" s="1"/>
  <c r="X75" i="2" s="1"/>
  <c r="X131" i="2"/>
  <c r="X108" i="2"/>
  <c r="Z108" i="2"/>
  <c r="Z67" i="2"/>
  <c r="Z69" i="2" s="1"/>
  <c r="Z75" i="2" s="1"/>
  <c r="Z165" i="2"/>
  <c r="Z167" i="2" s="1"/>
  <c r="AA166" i="2" s="1"/>
  <c r="AQ163" i="2"/>
  <c r="AP163" i="2"/>
  <c r="AQ151" i="2"/>
  <c r="AP151" i="2"/>
  <c r="AQ134" i="2"/>
  <c r="AP134" i="2"/>
  <c r="AQ129" i="2"/>
  <c r="AP129" i="2"/>
  <c r="AQ121" i="2"/>
  <c r="AP121" i="2"/>
  <c r="AQ112" i="2"/>
  <c r="AP112" i="2"/>
  <c r="AQ106" i="2"/>
  <c r="AP106" i="2"/>
  <c r="AQ97" i="2"/>
  <c r="AP97" i="2"/>
  <c r="AQ84" i="2"/>
  <c r="AQ85" i="2"/>
  <c r="AP85" i="2"/>
  <c r="AP84" i="2"/>
  <c r="AQ74" i="2"/>
  <c r="AP74" i="2"/>
  <c r="AQ66" i="2"/>
  <c r="AQ55" i="2"/>
  <c r="AP66" i="2"/>
  <c r="AP55" i="2"/>
  <c r="AP56" i="2" s="1"/>
  <c r="AQ51" i="2"/>
  <c r="AP41" i="2"/>
  <c r="AP42" i="2" s="1"/>
  <c r="AQ41" i="2"/>
  <c r="AQ42" i="2" s="1"/>
  <c r="AP35" i="2"/>
  <c r="AP36" i="2" s="1"/>
  <c r="AQ35" i="2"/>
  <c r="AQ36" i="2" s="1"/>
  <c r="AP29" i="2"/>
  <c r="AP30" i="2" s="1"/>
  <c r="AQ29" i="2"/>
  <c r="AQ30" i="2" s="1"/>
  <c r="AB129" i="2"/>
  <c r="AB121" i="2"/>
  <c r="AB112" i="2"/>
  <c r="AB106" i="2"/>
  <c r="AB97" i="2"/>
  <c r="AC164" i="2"/>
  <c r="AC155" i="2"/>
  <c r="AC156" i="2"/>
  <c r="AC157" i="2"/>
  <c r="AC158" i="2"/>
  <c r="AC159" i="2"/>
  <c r="AC160" i="2"/>
  <c r="AC161" i="2"/>
  <c r="AC162" i="2"/>
  <c r="AC154" i="2"/>
  <c r="AC145" i="2"/>
  <c r="AC146" i="2"/>
  <c r="AC147" i="2"/>
  <c r="AC148" i="2"/>
  <c r="AC149" i="2"/>
  <c r="AC150" i="2"/>
  <c r="AC144" i="2"/>
  <c r="AC142" i="2"/>
  <c r="AC135" i="2"/>
  <c r="AC136" i="2"/>
  <c r="AC137" i="2"/>
  <c r="AC138" i="2"/>
  <c r="AC139" i="2"/>
  <c r="AC140" i="2"/>
  <c r="AC76" i="2"/>
  <c r="AC73" i="2"/>
  <c r="AC72" i="2"/>
  <c r="AC71" i="2"/>
  <c r="AC68" i="2"/>
  <c r="AC58" i="2"/>
  <c r="AC59" i="2"/>
  <c r="AC60" i="2"/>
  <c r="AC61" i="2"/>
  <c r="AC62" i="2"/>
  <c r="AC63" i="2"/>
  <c r="AC64" i="2"/>
  <c r="AC65" i="2"/>
  <c r="AC57" i="2"/>
  <c r="AC54" i="2"/>
  <c r="AC52" i="2"/>
  <c r="AC48" i="2" s="1"/>
  <c r="AC40" i="2"/>
  <c r="AC39" i="2"/>
  <c r="AC38" i="2"/>
  <c r="AC34" i="2"/>
  <c r="AC33" i="2"/>
  <c r="AC32" i="2"/>
  <c r="AC27" i="2"/>
  <c r="AC28" i="2"/>
  <c r="AC26" i="2"/>
  <c r="AC5" i="2"/>
  <c r="AC6" i="2"/>
  <c r="AC7" i="2"/>
  <c r="AC8" i="2"/>
  <c r="AC9" i="2"/>
  <c r="AC10" i="2"/>
  <c r="AC11" i="2"/>
  <c r="AC12" i="2"/>
  <c r="AC13" i="2"/>
  <c r="AC14" i="2"/>
  <c r="AC15" i="2"/>
  <c r="AC16" i="2"/>
  <c r="AC17" i="2"/>
  <c r="AC18" i="2"/>
  <c r="AC4" i="2"/>
  <c r="E5" i="2"/>
  <c r="E6" i="2"/>
  <c r="E7" i="2"/>
  <c r="E8" i="2"/>
  <c r="E9" i="2"/>
  <c r="E10" i="2"/>
  <c r="E11" i="2"/>
  <c r="E12" i="2"/>
  <c r="E13" i="2"/>
  <c r="E14" i="2"/>
  <c r="E15" i="2"/>
  <c r="E16" i="2"/>
  <c r="E17" i="2"/>
  <c r="E18" i="2"/>
  <c r="E4" i="2"/>
  <c r="AE164" i="2"/>
  <c r="AE157" i="2"/>
  <c r="AE158" i="2"/>
  <c r="AE159" i="2"/>
  <c r="AE160" i="2"/>
  <c r="AE161" i="2"/>
  <c r="AE162" i="2"/>
  <c r="AE156" i="2"/>
  <c r="AE145" i="2"/>
  <c r="AE146" i="2"/>
  <c r="AE147" i="2"/>
  <c r="AE148" i="2"/>
  <c r="AE149" i="2"/>
  <c r="AE144" i="2"/>
  <c r="AE150" i="2"/>
  <c r="AE142" i="2"/>
  <c r="AE135" i="2"/>
  <c r="AE136" i="2"/>
  <c r="AE137" i="2"/>
  <c r="AE138" i="2"/>
  <c r="AE139" i="2"/>
  <c r="AE140" i="2"/>
  <c r="AE76" i="2"/>
  <c r="AE73" i="2"/>
  <c r="AE72" i="2"/>
  <c r="AE71" i="2"/>
  <c r="AE68" i="2"/>
  <c r="AE58" i="2"/>
  <c r="AE59" i="2"/>
  <c r="AE60" i="2"/>
  <c r="AE61" i="2"/>
  <c r="AE62" i="2"/>
  <c r="AE63" i="2"/>
  <c r="AE64" i="2"/>
  <c r="AE65" i="2"/>
  <c r="AE57" i="2"/>
  <c r="AE54" i="2"/>
  <c r="AE52" i="2"/>
  <c r="AE48" i="2" s="1"/>
  <c r="AE40" i="2"/>
  <c r="AE39" i="2"/>
  <c r="AE38" i="2"/>
  <c r="AE34" i="2"/>
  <c r="AE33" i="2"/>
  <c r="AE32" i="2"/>
  <c r="AE27" i="2"/>
  <c r="AE28" i="2"/>
  <c r="AE26" i="2"/>
  <c r="AE10" i="2"/>
  <c r="G10" i="2" s="1"/>
  <c r="AE5" i="2"/>
  <c r="G5" i="2" s="1"/>
  <c r="AE6" i="2"/>
  <c r="G6" i="2" s="1"/>
  <c r="AE7" i="2"/>
  <c r="G7" i="2" s="1"/>
  <c r="AE8" i="2"/>
  <c r="G8" i="2" s="1"/>
  <c r="AE9" i="2"/>
  <c r="G9" i="2" s="1"/>
  <c r="AE11" i="2"/>
  <c r="G11" i="2" s="1"/>
  <c r="AE12" i="2"/>
  <c r="G12" i="2" s="1"/>
  <c r="AE13" i="2"/>
  <c r="G13" i="2" s="1"/>
  <c r="AE14" i="2"/>
  <c r="G14" i="2" s="1"/>
  <c r="AE15" i="2"/>
  <c r="G15" i="2" s="1"/>
  <c r="AE16" i="2"/>
  <c r="G16" i="2" s="1"/>
  <c r="AE17" i="2"/>
  <c r="G17" i="2" s="1"/>
  <c r="AE18" i="2"/>
  <c r="G18" i="2" s="1"/>
  <c r="AE4" i="2"/>
  <c r="G4" i="2" s="1"/>
  <c r="AD163" i="2"/>
  <c r="AB163" i="2"/>
  <c r="AD151" i="2"/>
  <c r="AB151" i="2"/>
  <c r="AD134" i="2"/>
  <c r="AD141" i="2" s="1"/>
  <c r="AD143" i="2" s="1"/>
  <c r="AD152" i="2" s="1"/>
  <c r="AB134" i="2"/>
  <c r="AB141" i="2" s="1"/>
  <c r="AB143" i="2" s="1"/>
  <c r="AB152" i="2" s="1"/>
  <c r="AD129" i="2"/>
  <c r="AD121" i="2"/>
  <c r="AG132" i="2"/>
  <c r="AD112" i="2"/>
  <c r="AD106" i="2"/>
  <c r="AD97" i="2"/>
  <c r="AD84" i="2"/>
  <c r="AD85" i="2"/>
  <c r="AB85" i="2"/>
  <c r="AB84" i="2"/>
  <c r="AD74" i="2"/>
  <c r="AB74" i="2"/>
  <c r="AD66" i="2"/>
  <c r="AB66" i="2"/>
  <c r="AD55" i="2"/>
  <c r="AB55" i="2"/>
  <c r="AB51" i="2"/>
  <c r="AD51" i="2"/>
  <c r="AD41" i="2"/>
  <c r="AD42" i="2" s="1"/>
  <c r="AB41" i="2"/>
  <c r="AB42" i="2" s="1"/>
  <c r="AD35" i="2"/>
  <c r="AD36" i="2" s="1"/>
  <c r="AB35" i="2"/>
  <c r="AB36" i="2" s="1"/>
  <c r="AD29" i="2"/>
  <c r="AD30" i="2" s="1"/>
  <c r="AB29" i="2"/>
  <c r="AB30" i="2" s="1"/>
  <c r="I5" i="2"/>
  <c r="I6" i="2"/>
  <c r="I7" i="2"/>
  <c r="I8" i="2"/>
  <c r="I9" i="2"/>
  <c r="I10" i="2"/>
  <c r="I11" i="2"/>
  <c r="I12" i="2"/>
  <c r="I13" i="2"/>
  <c r="I14" i="2"/>
  <c r="I15" i="2"/>
  <c r="I16" i="2"/>
  <c r="I17" i="2"/>
  <c r="I18" i="2"/>
  <c r="I4" i="2"/>
  <c r="AF129" i="2"/>
  <c r="AF121" i="2"/>
  <c r="AF112" i="2"/>
  <c r="AF106" i="2"/>
  <c r="AF97" i="2"/>
  <c r="AS163" i="2"/>
  <c r="AR163" i="2"/>
  <c r="AS151" i="2"/>
  <c r="AR151" i="2"/>
  <c r="AS134" i="2"/>
  <c r="AS141" i="2" s="1"/>
  <c r="AS143" i="2" s="1"/>
  <c r="AS152" i="2" s="1"/>
  <c r="AR134" i="2"/>
  <c r="AR141" i="2" s="1"/>
  <c r="AR143" i="2" s="1"/>
  <c r="AR152" i="2" s="1"/>
  <c r="AS129" i="2"/>
  <c r="AR129" i="2"/>
  <c r="AS121" i="2"/>
  <c r="AR121" i="2"/>
  <c r="AS112" i="2"/>
  <c r="AR112" i="2"/>
  <c r="AS106" i="2"/>
  <c r="AR106" i="2"/>
  <c r="AS97" i="2"/>
  <c r="AR97" i="2"/>
  <c r="AS85" i="2"/>
  <c r="AR85" i="2"/>
  <c r="AS84" i="2"/>
  <c r="AR84" i="2"/>
  <c r="AS74" i="2"/>
  <c r="AR74" i="2"/>
  <c r="AS66" i="2"/>
  <c r="AR66" i="2"/>
  <c r="AS55" i="2"/>
  <c r="AR55" i="2"/>
  <c r="AS51" i="2"/>
  <c r="AR51" i="2"/>
  <c r="AS41" i="2"/>
  <c r="AS42" i="2" s="1"/>
  <c r="AR41" i="2"/>
  <c r="AR42" i="2" s="1"/>
  <c r="AS35" i="2"/>
  <c r="AS36" i="2" s="1"/>
  <c r="AR35" i="2"/>
  <c r="AR36" i="2" s="1"/>
  <c r="AR29" i="2"/>
  <c r="AR30" i="2" s="1"/>
  <c r="AS29" i="2"/>
  <c r="AS30" i="2" s="1"/>
  <c r="D51" i="2"/>
  <c r="E51" i="2"/>
  <c r="G51" i="2"/>
  <c r="F51" i="2"/>
  <c r="AG164" i="2"/>
  <c r="AG155" i="2"/>
  <c r="AG156" i="2"/>
  <c r="AG157" i="2"/>
  <c r="AG158" i="2"/>
  <c r="AG159" i="2"/>
  <c r="AG160" i="2"/>
  <c r="AG161" i="2"/>
  <c r="AG162" i="2"/>
  <c r="AG154" i="2"/>
  <c r="AG145" i="2"/>
  <c r="AG146" i="2"/>
  <c r="AG147" i="2"/>
  <c r="AG148" i="2"/>
  <c r="AG149" i="2"/>
  <c r="AG150" i="2"/>
  <c r="AG144" i="2"/>
  <c r="AG142" i="2"/>
  <c r="AG135" i="2"/>
  <c r="AG136" i="2"/>
  <c r="AG137" i="2"/>
  <c r="AG138" i="2"/>
  <c r="AG139" i="2"/>
  <c r="AG140" i="2"/>
  <c r="AG83" i="2"/>
  <c r="AG82" i="2"/>
  <c r="AG76" i="2"/>
  <c r="AG73" i="2"/>
  <c r="AG72" i="2"/>
  <c r="AG71" i="2"/>
  <c r="AG68" i="2"/>
  <c r="AG58" i="2"/>
  <c r="AG59" i="2"/>
  <c r="AG60" i="2"/>
  <c r="AG61" i="2"/>
  <c r="AG62" i="2"/>
  <c r="AG63" i="2"/>
  <c r="AG64" i="2"/>
  <c r="AG65" i="2"/>
  <c r="AG57" i="2"/>
  <c r="AG54" i="2"/>
  <c r="AG52" i="2"/>
  <c r="AG40" i="2"/>
  <c r="AG39" i="2"/>
  <c r="AG34" i="2"/>
  <c r="AG33" i="2"/>
  <c r="AG27" i="2"/>
  <c r="AG28" i="2"/>
  <c r="AG5" i="2"/>
  <c r="K5" i="2" s="1"/>
  <c r="AG6" i="2"/>
  <c r="K6" i="2" s="1"/>
  <c r="AG7" i="2"/>
  <c r="K7" i="2" s="1"/>
  <c r="AG8" i="2"/>
  <c r="K8" i="2" s="1"/>
  <c r="AG9" i="2"/>
  <c r="K9" i="2" s="1"/>
  <c r="AG10" i="2"/>
  <c r="K10" i="2" s="1"/>
  <c r="AG11" i="2"/>
  <c r="K11" i="2" s="1"/>
  <c r="AG12" i="2"/>
  <c r="K12" i="2" s="1"/>
  <c r="AG13" i="2"/>
  <c r="K13" i="2" s="1"/>
  <c r="AG14" i="2"/>
  <c r="K14" i="2" s="1"/>
  <c r="AG15" i="2"/>
  <c r="K15" i="2" s="1"/>
  <c r="AG16" i="2"/>
  <c r="K16" i="2" s="1"/>
  <c r="AG17" i="2"/>
  <c r="K17" i="2" s="1"/>
  <c r="AG18" i="2"/>
  <c r="K18" i="2" s="1"/>
  <c r="AG4" i="2"/>
  <c r="K4" i="2" s="1"/>
  <c r="AI164" i="2"/>
  <c r="AI155" i="2"/>
  <c r="AI156" i="2"/>
  <c r="AI157" i="2"/>
  <c r="AI158" i="2"/>
  <c r="AI159" i="2"/>
  <c r="AI160" i="2"/>
  <c r="AI161" i="2"/>
  <c r="AI162" i="2"/>
  <c r="AI154" i="2"/>
  <c r="AI145" i="2"/>
  <c r="AI146" i="2"/>
  <c r="AI147" i="2"/>
  <c r="AI148" i="2"/>
  <c r="AI149" i="2"/>
  <c r="AI150" i="2"/>
  <c r="AI144" i="2"/>
  <c r="AI142" i="2"/>
  <c r="AI135" i="2"/>
  <c r="AI136" i="2"/>
  <c r="AI137" i="2"/>
  <c r="AI138" i="2"/>
  <c r="AI139" i="2"/>
  <c r="AI140" i="2"/>
  <c r="AI76" i="2"/>
  <c r="AI73" i="2"/>
  <c r="AI72" i="2"/>
  <c r="AI71" i="2"/>
  <c r="AI68" i="2"/>
  <c r="AI58" i="2"/>
  <c r="AI59" i="2"/>
  <c r="AI60" i="2"/>
  <c r="AI61" i="2"/>
  <c r="AI62" i="2"/>
  <c r="AI63" i="2"/>
  <c r="AI64" i="2"/>
  <c r="AI65" i="2"/>
  <c r="AI57" i="2"/>
  <c r="AI54" i="2"/>
  <c r="AI52" i="2"/>
  <c r="AI40" i="2"/>
  <c r="AI39" i="2"/>
  <c r="AI34" i="2"/>
  <c r="AI33" i="2"/>
  <c r="AI27" i="2"/>
  <c r="AI28" i="2"/>
  <c r="AI5" i="2"/>
  <c r="AI6" i="2"/>
  <c r="AI7" i="2"/>
  <c r="AI8" i="2"/>
  <c r="AI9" i="2"/>
  <c r="AI10" i="2"/>
  <c r="AI11" i="2"/>
  <c r="AI12" i="2"/>
  <c r="AI13" i="2"/>
  <c r="AI14" i="2"/>
  <c r="AI15" i="2"/>
  <c r="AI16" i="2"/>
  <c r="AI17" i="2"/>
  <c r="AI18" i="2"/>
  <c r="AI4" i="2"/>
  <c r="AT41" i="2"/>
  <c r="AT42" i="2" s="1"/>
  <c r="AU41" i="2"/>
  <c r="AU42" i="2" s="1"/>
  <c r="AV42" i="2" s="1"/>
  <c r="AT35" i="2"/>
  <c r="AT36" i="2" s="1"/>
  <c r="AU35" i="2"/>
  <c r="AT29" i="2"/>
  <c r="AT30" i="2" s="1"/>
  <c r="AU29" i="2"/>
  <c r="M5" i="2"/>
  <c r="O5" i="2" s="1"/>
  <c r="M6" i="2"/>
  <c r="O6" i="2" s="1"/>
  <c r="M7" i="2"/>
  <c r="O7" i="2" s="1"/>
  <c r="M8" i="2"/>
  <c r="O8" i="2" s="1"/>
  <c r="M9" i="2"/>
  <c r="O9" i="2" s="1"/>
  <c r="M10" i="2"/>
  <c r="O10" i="2" s="1"/>
  <c r="M11" i="2"/>
  <c r="O11" i="2" s="1"/>
  <c r="M12" i="2"/>
  <c r="O12" i="2" s="1"/>
  <c r="M13" i="2"/>
  <c r="O13" i="2" s="1"/>
  <c r="M14" i="2"/>
  <c r="O14" i="2" s="1"/>
  <c r="M15" i="2"/>
  <c r="O15" i="2" s="1"/>
  <c r="M16" i="2"/>
  <c r="O16" i="2" s="1"/>
  <c r="M17" i="2"/>
  <c r="O17" i="2" s="1"/>
  <c r="M18" i="2"/>
  <c r="O18" i="2" s="1"/>
  <c r="M4" i="2"/>
  <c r="O4" i="2" s="1"/>
  <c r="Q5" i="2"/>
  <c r="Q6" i="2"/>
  <c r="Q7" i="2"/>
  <c r="Q8" i="2"/>
  <c r="Q9" i="2"/>
  <c r="Q10" i="2"/>
  <c r="Q11" i="2"/>
  <c r="Q12" i="2"/>
  <c r="Q13" i="2"/>
  <c r="Q14" i="2"/>
  <c r="Q15" i="2"/>
  <c r="Q16" i="2"/>
  <c r="Q17" i="2"/>
  <c r="Q18" i="2"/>
  <c r="Q4" i="2"/>
  <c r="AJ51" i="2"/>
  <c r="AJ41" i="2"/>
  <c r="AJ42" i="2" s="1"/>
  <c r="AJ35" i="2"/>
  <c r="AJ36" i="2" s="1"/>
  <c r="AJ29" i="2"/>
  <c r="AJ30" i="2" s="1"/>
  <c r="AF163" i="2"/>
  <c r="AF151" i="2"/>
  <c r="AF134" i="2"/>
  <c r="AF141" i="2" s="1"/>
  <c r="AF143" i="2" s="1"/>
  <c r="AF152" i="2" s="1"/>
  <c r="I51" i="2"/>
  <c r="J51" i="2"/>
  <c r="K51" i="2"/>
  <c r="L51" i="2"/>
  <c r="M51" i="2"/>
  <c r="N51" i="2"/>
  <c r="O51" i="2"/>
  <c r="P51" i="2"/>
  <c r="Q51" i="2"/>
  <c r="H51" i="2"/>
  <c r="AH129" i="2"/>
  <c r="AH121" i="2"/>
  <c r="AH112" i="2"/>
  <c r="AH106" i="2"/>
  <c r="AH97" i="2"/>
  <c r="AF84" i="2"/>
  <c r="AF85" i="2"/>
  <c r="AF74" i="2"/>
  <c r="AF66" i="2"/>
  <c r="AF55" i="2"/>
  <c r="AH41" i="2"/>
  <c r="AF41" i="2"/>
  <c r="AH35" i="2"/>
  <c r="AF35" i="2"/>
  <c r="AH29" i="2"/>
  <c r="AF29" i="2"/>
  <c r="AU51" i="2"/>
  <c r="AT51" i="2"/>
  <c r="AF32" i="2"/>
  <c r="AF38" i="2"/>
  <c r="AF43" i="2"/>
  <c r="AF26" i="2"/>
  <c r="I49" i="2"/>
  <c r="J49" i="2"/>
  <c r="K49" i="2"/>
  <c r="H49" i="2"/>
  <c r="AH32" i="2"/>
  <c r="AH38" i="2"/>
  <c r="AH43" i="2"/>
  <c r="AH26" i="2"/>
  <c r="AT163" i="2"/>
  <c r="AU163" i="2"/>
  <c r="AT151" i="2"/>
  <c r="AU151" i="2"/>
  <c r="AT134" i="2"/>
  <c r="AT141" i="2" s="1"/>
  <c r="AT143" i="2" s="1"/>
  <c r="AT152" i="2" s="1"/>
  <c r="AU134" i="2"/>
  <c r="AU141" i="2" s="1"/>
  <c r="AT129" i="2"/>
  <c r="AT121" i="2"/>
  <c r="AT112" i="2"/>
  <c r="AT106" i="2"/>
  <c r="AT97" i="2"/>
  <c r="AT84" i="2"/>
  <c r="AU84" i="2"/>
  <c r="AT85" i="2"/>
  <c r="AU85" i="2"/>
  <c r="AT74" i="2"/>
  <c r="AU74" i="2"/>
  <c r="AU66" i="2"/>
  <c r="AT66" i="2"/>
  <c r="AT55" i="2"/>
  <c r="AT56" i="2" s="1"/>
  <c r="AU55" i="2"/>
  <c r="AJ163" i="2"/>
  <c r="AH163" i="2"/>
  <c r="AJ151" i="2"/>
  <c r="AH151" i="2"/>
  <c r="AH134" i="2"/>
  <c r="AH141" i="2" s="1"/>
  <c r="AH143" i="2" s="1"/>
  <c r="AH152" i="2" s="1"/>
  <c r="AJ134" i="2"/>
  <c r="AJ141" i="2" s="1"/>
  <c r="AJ143" i="2" s="1"/>
  <c r="AJ152" i="2" s="1"/>
  <c r="AH55" i="2"/>
  <c r="AJ55" i="2"/>
  <c r="AJ129" i="2"/>
  <c r="AU129" i="2"/>
  <c r="AJ121" i="2"/>
  <c r="AU121" i="2"/>
  <c r="AJ112" i="2"/>
  <c r="AJ172" i="2" s="1"/>
  <c r="AU112" i="2"/>
  <c r="AJ106" i="2"/>
  <c r="AU106" i="2"/>
  <c r="AU97" i="2"/>
  <c r="AJ97" i="2"/>
  <c r="AH85" i="2"/>
  <c r="AH84" i="2"/>
  <c r="AH74" i="2"/>
  <c r="AH66" i="2"/>
  <c r="AJ85" i="2"/>
  <c r="AJ84" i="2"/>
  <c r="AJ74" i="2"/>
  <c r="AJ66" i="2"/>
  <c r="M49" i="2"/>
  <c r="N49" i="2"/>
  <c r="O49" i="2"/>
  <c r="L49" i="2"/>
  <c r="Q49" i="2"/>
  <c r="C6" i="1" a="1"/>
  <c r="C6" i="1" s="1"/>
  <c r="C7" i="1" a="1"/>
  <c r="C7" i="1" s="1"/>
  <c r="C11" i="1" s="1"/>
  <c r="C3" i="1" a="1"/>
  <c r="C3" i="1" s="1"/>
  <c r="AT114" i="2" l="1"/>
  <c r="AT172" i="2"/>
  <c r="AH114" i="2"/>
  <c r="AH172" i="2"/>
  <c r="AU143" i="2"/>
  <c r="AS114" i="2"/>
  <c r="AS172" i="2"/>
  <c r="AB114" i="2"/>
  <c r="AB172" i="2"/>
  <c r="AP114" i="2"/>
  <c r="AP172" i="2"/>
  <c r="AL75" i="2"/>
  <c r="AL70" i="2"/>
  <c r="AF114" i="2"/>
  <c r="AF172" i="2"/>
  <c r="AQ114" i="2"/>
  <c r="AQ172" i="2"/>
  <c r="AD114" i="2"/>
  <c r="AD172" i="2"/>
  <c r="AN75" i="2"/>
  <c r="AN78" i="2" s="1"/>
  <c r="AN80" i="2" s="1"/>
  <c r="AN70" i="2"/>
  <c r="AR114" i="2"/>
  <c r="AR172" i="2"/>
  <c r="AM75" i="2"/>
  <c r="AM70" i="2"/>
  <c r="AU114" i="2"/>
  <c r="AU172" i="2"/>
  <c r="AL78" i="2"/>
  <c r="AL80" i="2" s="1"/>
  <c r="AL170" i="2"/>
  <c r="AO165" i="2"/>
  <c r="AO167" i="2" s="1"/>
  <c r="AO152" i="2"/>
  <c r="X78" i="2"/>
  <c r="X80" i="2" s="1"/>
  <c r="X170" i="2"/>
  <c r="AM78" i="2"/>
  <c r="AM80" i="2" s="1"/>
  <c r="AM170" i="2"/>
  <c r="W67" i="2"/>
  <c r="W69" i="2" s="1"/>
  <c r="W75" i="2" s="1"/>
  <c r="V78" i="2"/>
  <c r="V80" i="2" s="1"/>
  <c r="V170" i="2"/>
  <c r="AU36" i="2"/>
  <c r="AV36" i="2" s="1"/>
  <c r="AV35" i="2"/>
  <c r="Z78" i="2"/>
  <c r="Z80" i="2" s="1"/>
  <c r="Z170" i="2"/>
  <c r="AN165" i="2"/>
  <c r="AN167" i="2" s="1"/>
  <c r="AN152" i="2"/>
  <c r="AU30" i="2"/>
  <c r="AV30" i="2" s="1"/>
  <c r="AV29" i="2"/>
  <c r="AS56" i="2"/>
  <c r="AJ114" i="2"/>
  <c r="C17" i="1"/>
  <c r="C18" i="1" s="1"/>
  <c r="C19" i="1" s="1"/>
  <c r="AQ56" i="2"/>
  <c r="AV55" i="2"/>
  <c r="AU56" i="2"/>
  <c r="AR56" i="2"/>
  <c r="U45" i="2"/>
  <c r="AG38" i="2"/>
  <c r="AI26" i="2"/>
  <c r="AT46" i="2"/>
  <c r="AT47" i="2"/>
  <c r="AT45" i="2"/>
  <c r="AG43" i="2"/>
  <c r="AG48" i="2" s="1"/>
  <c r="AF48" i="2"/>
  <c r="AG26" i="2"/>
  <c r="V45" i="2"/>
  <c r="V47" i="2"/>
  <c r="AU46" i="2"/>
  <c r="AU45" i="2"/>
  <c r="AU47" i="2"/>
  <c r="AR47" i="2"/>
  <c r="AR45" i="2"/>
  <c r="AR46" i="2"/>
  <c r="AI38" i="2"/>
  <c r="AS47" i="2"/>
  <c r="AS45" i="2"/>
  <c r="AS46" i="2"/>
  <c r="AG32" i="2"/>
  <c r="AA51" i="2"/>
  <c r="AQ45" i="2"/>
  <c r="AQ47" i="2"/>
  <c r="AQ46" i="2"/>
  <c r="W51" i="2"/>
  <c r="W46" i="2" s="1"/>
  <c r="AD46" i="2"/>
  <c r="AD45" i="2"/>
  <c r="AD47" i="2"/>
  <c r="AB45" i="2"/>
  <c r="AB47" i="2"/>
  <c r="AB46" i="2"/>
  <c r="AJ46" i="2"/>
  <c r="AJ47" i="2"/>
  <c r="AJ45" i="2"/>
  <c r="AI43" i="2"/>
  <c r="AI48" i="2" s="1"/>
  <c r="AH48" i="2"/>
  <c r="Y51" i="2"/>
  <c r="AP47" i="2"/>
  <c r="AP46" i="2"/>
  <c r="AP45" i="2"/>
  <c r="AM132" i="2"/>
  <c r="U36" i="2"/>
  <c r="W165" i="2"/>
  <c r="W167" i="2" s="1"/>
  <c r="U67" i="2"/>
  <c r="U69" i="2" s="1"/>
  <c r="U75" i="2" s="1"/>
  <c r="U170" i="2" s="1"/>
  <c r="U165" i="2"/>
  <c r="U167" i="2" s="1"/>
  <c r="W36" i="2"/>
  <c r="AA67" i="2"/>
  <c r="AA69" i="2" s="1"/>
  <c r="V132" i="2"/>
  <c r="T78" i="2"/>
  <c r="T80" i="2" s="1"/>
  <c r="X132" i="2"/>
  <c r="Y67" i="2"/>
  <c r="Y69" i="2" s="1"/>
  <c r="Y75" i="2" s="1"/>
  <c r="AO69" i="2"/>
  <c r="AQ141" i="2"/>
  <c r="AQ143" i="2" s="1"/>
  <c r="AA134" i="2"/>
  <c r="AA141" i="2" s="1"/>
  <c r="AA143" i="2" s="1"/>
  <c r="Z132" i="2"/>
  <c r="AP141" i="2"/>
  <c r="AP143" i="2" s="1"/>
  <c r="Y134" i="2"/>
  <c r="Y141" i="2" s="1"/>
  <c r="Y143" i="2" s="1"/>
  <c r="AR108" i="2"/>
  <c r="AP108" i="2"/>
  <c r="AQ131" i="2"/>
  <c r="AQ108" i="2"/>
  <c r="AC55" i="2"/>
  <c r="AP131" i="2"/>
  <c r="AP67" i="2"/>
  <c r="AP69" i="2" s="1"/>
  <c r="AB131" i="2"/>
  <c r="AQ67" i="2"/>
  <c r="AQ69" i="2" s="1"/>
  <c r="AC151" i="2"/>
  <c r="AC51" i="2"/>
  <c r="AC46" i="2" s="1"/>
  <c r="AC74" i="2"/>
  <c r="AC41" i="2"/>
  <c r="AC42" i="2" s="1"/>
  <c r="AE35" i="2"/>
  <c r="AE36" i="2" s="1"/>
  <c r="AC35" i="2"/>
  <c r="AC36" i="2" s="1"/>
  <c r="AJ108" i="2"/>
  <c r="AF108" i="2"/>
  <c r="AE163" i="2"/>
  <c r="AC29" i="2"/>
  <c r="AC30" i="2" s="1"/>
  <c r="AD131" i="2"/>
  <c r="AE51" i="2"/>
  <c r="AE46" i="2" s="1"/>
  <c r="AB108" i="2"/>
  <c r="AD108" i="2"/>
  <c r="AC163" i="2"/>
  <c r="AH108" i="2"/>
  <c r="AC66" i="2"/>
  <c r="AE55" i="2"/>
  <c r="AC134" i="2"/>
  <c r="AC141" i="2" s="1"/>
  <c r="AC143" i="2" s="1"/>
  <c r="AC152" i="2" s="1"/>
  <c r="AE151" i="2"/>
  <c r="AB165" i="2"/>
  <c r="AB167" i="2" s="1"/>
  <c r="AC166" i="2" s="1"/>
  <c r="AD165" i="2"/>
  <c r="AD167" i="2" s="1"/>
  <c r="AE166" i="2" s="1"/>
  <c r="AS108" i="2"/>
  <c r="AE74" i="2"/>
  <c r="AE66" i="2"/>
  <c r="AE29" i="2"/>
  <c r="AE30" i="2" s="1"/>
  <c r="AE134" i="2"/>
  <c r="AE141" i="2" s="1"/>
  <c r="AE143" i="2" s="1"/>
  <c r="AE152" i="2" s="1"/>
  <c r="AE41" i="2"/>
  <c r="AE42" i="2" s="1"/>
  <c r="AB67" i="2"/>
  <c r="AB69" i="2" s="1"/>
  <c r="AB75" i="2" s="1"/>
  <c r="AD67" i="2"/>
  <c r="AD69" i="2" s="1"/>
  <c r="AD75" i="2" s="1"/>
  <c r="AF131" i="2"/>
  <c r="AR165" i="2"/>
  <c r="AR167" i="2" s="1"/>
  <c r="AS165" i="2"/>
  <c r="AS167" i="2" s="1"/>
  <c r="AR67" i="2"/>
  <c r="AR69" i="2" s="1"/>
  <c r="AG55" i="2"/>
  <c r="AG74" i="2"/>
  <c r="AS67" i="2"/>
  <c r="AS69" i="2" s="1"/>
  <c r="AS131" i="2"/>
  <c r="AR131" i="2"/>
  <c r="AG35" i="2"/>
  <c r="AI55" i="2"/>
  <c r="AI29" i="2"/>
  <c r="AI163" i="2"/>
  <c r="AG151" i="2"/>
  <c r="AG66" i="2"/>
  <c r="AG41" i="2"/>
  <c r="AG29" i="2"/>
  <c r="AG30" i="2" s="1"/>
  <c r="AG134" i="2"/>
  <c r="AG141" i="2" s="1"/>
  <c r="AG143" i="2" s="1"/>
  <c r="AG152" i="2" s="1"/>
  <c r="AG163" i="2"/>
  <c r="AI41" i="2"/>
  <c r="AK42" i="2" s="1"/>
  <c r="AI66" i="2"/>
  <c r="AI74" i="2"/>
  <c r="AI151" i="2"/>
  <c r="AI134" i="2"/>
  <c r="AI141" i="2" s="1"/>
  <c r="AI143" i="2" s="1"/>
  <c r="AI152" i="2" s="1"/>
  <c r="AH36" i="2"/>
  <c r="AI32" i="2"/>
  <c r="AI35" i="2"/>
  <c r="AF36" i="2"/>
  <c r="AF165" i="2"/>
  <c r="AF167" i="2" s="1"/>
  <c r="AG166" i="2" s="1"/>
  <c r="AF42" i="2"/>
  <c r="AF30" i="2"/>
  <c r="AH131" i="2"/>
  <c r="AF67" i="2"/>
  <c r="AF69" i="2" s="1"/>
  <c r="AF75" i="2" s="1"/>
  <c r="AH30" i="2"/>
  <c r="P49" i="2"/>
  <c r="AH42" i="2"/>
  <c r="AF51" i="2"/>
  <c r="AG51" i="2" s="1"/>
  <c r="AH51" i="2"/>
  <c r="AH47" i="2" s="1"/>
  <c r="AU108" i="2"/>
  <c r="AJ165" i="2"/>
  <c r="AJ167" i="2" s="1"/>
  <c r="AT67" i="2"/>
  <c r="AT69" i="2" s="1"/>
  <c r="AU67" i="2"/>
  <c r="AU165" i="2"/>
  <c r="AU167" i="2" s="1"/>
  <c r="AT165" i="2"/>
  <c r="AT167" i="2" s="1"/>
  <c r="AT131" i="2"/>
  <c r="AT108" i="2"/>
  <c r="AU131" i="2"/>
  <c r="AH165" i="2"/>
  <c r="AH167" i="2" s="1"/>
  <c r="AI166" i="2" s="1"/>
  <c r="AJ131" i="2"/>
  <c r="AJ67" i="2"/>
  <c r="AJ69" i="2" s="1"/>
  <c r="AH67" i="2"/>
  <c r="AH69" i="2" s="1"/>
  <c r="AH75" i="2" s="1"/>
  <c r="AJ75" i="2" l="1"/>
  <c r="AS75" i="2"/>
  <c r="AS70" i="2"/>
  <c r="AU152" i="2"/>
  <c r="AA165" i="2"/>
  <c r="AA167" i="2" s="1"/>
  <c r="AA152" i="2"/>
  <c r="AN170" i="2"/>
  <c r="Y165" i="2"/>
  <c r="Y167" i="2" s="1"/>
  <c r="Y152" i="2"/>
  <c r="AT75" i="2"/>
  <c r="AT170" i="2" s="1"/>
  <c r="AT70" i="2"/>
  <c r="AR75" i="2"/>
  <c r="AR170" i="2" s="1"/>
  <c r="AR70" i="2"/>
  <c r="AP75" i="2"/>
  <c r="AP78" i="2" s="1"/>
  <c r="AP80" i="2" s="1"/>
  <c r="AP70" i="2"/>
  <c r="AO75" i="2"/>
  <c r="AO78" i="2" s="1"/>
  <c r="AO80" i="2" s="1"/>
  <c r="AO70" i="2"/>
  <c r="AI30" i="2"/>
  <c r="AK30" i="2"/>
  <c r="AQ75" i="2"/>
  <c r="AQ78" i="2" s="1"/>
  <c r="AQ80" i="2" s="1"/>
  <c r="AQ70" i="2"/>
  <c r="W78" i="2"/>
  <c r="W170" i="2"/>
  <c r="Y78" i="2"/>
  <c r="Y170" i="2"/>
  <c r="AJ78" i="2"/>
  <c r="AJ170" i="2"/>
  <c r="AD78" i="2"/>
  <c r="AD80" i="2" s="1"/>
  <c r="AD170" i="2"/>
  <c r="AF78" i="2"/>
  <c r="AF80" i="2" s="1"/>
  <c r="AF170" i="2"/>
  <c r="AH78" i="2"/>
  <c r="AH80" i="2" s="1"/>
  <c r="AH170" i="2"/>
  <c r="AB78" i="2"/>
  <c r="AB80" i="2" s="1"/>
  <c r="AB170" i="2"/>
  <c r="AP165" i="2"/>
  <c r="AP167" i="2" s="1"/>
  <c r="AP152" i="2"/>
  <c r="AS78" i="2"/>
  <c r="AS80" i="2" s="1"/>
  <c r="AS170" i="2"/>
  <c r="AQ165" i="2"/>
  <c r="AQ167" i="2" s="1"/>
  <c r="AQ152" i="2"/>
  <c r="AR78" i="2"/>
  <c r="AR80" i="2" s="1"/>
  <c r="AG42" i="2"/>
  <c r="AC45" i="2"/>
  <c r="AU69" i="2"/>
  <c r="AV67" i="2"/>
  <c r="AH46" i="2"/>
  <c r="AC47" i="2"/>
  <c r="AI51" i="2"/>
  <c r="AJ50" i="2" s="1"/>
  <c r="AJ49" i="2" s="1"/>
  <c r="AF46" i="2"/>
  <c r="AG46" i="2"/>
  <c r="AG36" i="2"/>
  <c r="Y46" i="2"/>
  <c r="Y45" i="2"/>
  <c r="Y47" i="2"/>
  <c r="AF45" i="2"/>
  <c r="AF47" i="2"/>
  <c r="AE45" i="2"/>
  <c r="AE47" i="2"/>
  <c r="W47" i="2"/>
  <c r="W45" i="2"/>
  <c r="AG45" i="2"/>
  <c r="AG47" i="2"/>
  <c r="AA46" i="2"/>
  <c r="AA47" i="2"/>
  <c r="AA45" i="2"/>
  <c r="AH45" i="2"/>
  <c r="AI42" i="2"/>
  <c r="AO106" i="2"/>
  <c r="AO108" i="2" s="1"/>
  <c r="AP132" i="2"/>
  <c r="AC67" i="2"/>
  <c r="AC69" i="2" s="1"/>
  <c r="AC75" i="2" s="1"/>
  <c r="AB132" i="2"/>
  <c r="AQ132" i="2"/>
  <c r="AD132" i="2"/>
  <c r="AE165" i="2"/>
  <c r="AE167" i="2" s="1"/>
  <c r="AE67" i="2"/>
  <c r="AE69" i="2" s="1"/>
  <c r="AE75" i="2" s="1"/>
  <c r="AS132" i="2"/>
  <c r="AC165" i="2"/>
  <c r="AC167" i="2" s="1"/>
  <c r="AJ80" i="2"/>
  <c r="AI36" i="2"/>
  <c r="AF132" i="2"/>
  <c r="AG67" i="2"/>
  <c r="AG69" i="2" s="1"/>
  <c r="AG75" i="2" s="1"/>
  <c r="AR132" i="2"/>
  <c r="AI67" i="2"/>
  <c r="AI69" i="2" s="1"/>
  <c r="AI75" i="2" s="1"/>
  <c r="AI165" i="2"/>
  <c r="AI167" i="2" s="1"/>
  <c r="AG165" i="2"/>
  <c r="AG167" i="2" s="1"/>
  <c r="AH132" i="2"/>
  <c r="AU132" i="2"/>
  <c r="AJ132" i="2"/>
  <c r="AT132" i="2"/>
  <c r="AA74" i="2"/>
  <c r="AA75" i="2" s="1"/>
  <c r="AU75" i="2" l="1"/>
  <c r="AU70" i="2"/>
  <c r="C3" i="4" s="1"/>
  <c r="AQ170" i="2"/>
  <c r="AO170" i="2"/>
  <c r="AP170" i="2"/>
  <c r="AT78" i="2"/>
  <c r="AT80" i="2" s="1"/>
  <c r="AJ70" i="2"/>
  <c r="AI46" i="2"/>
  <c r="AG78" i="2"/>
  <c r="AG170" i="2"/>
  <c r="AU78" i="2"/>
  <c r="AV78" i="2" s="1"/>
  <c r="AU170" i="2"/>
  <c r="AE78" i="2"/>
  <c r="AE170" i="2"/>
  <c r="AC78" i="2"/>
  <c r="AC170" i="2"/>
  <c r="AA78" i="2"/>
  <c r="AA170" i="2"/>
  <c r="AI78" i="2"/>
  <c r="C13" i="1" s="1"/>
  <c r="C14" i="1" s="1"/>
  <c r="AI170" i="2"/>
  <c r="AI47" i="2"/>
  <c r="C12" i="1"/>
  <c r="AI45" i="2"/>
  <c r="AU80" i="2"/>
  <c r="AN106" i="2"/>
  <c r="AN108" i="2" s="1"/>
  <c r="AL106" i="2"/>
  <c r="AL108" i="2" s="1"/>
  <c r="AO112" i="2" l="1"/>
  <c r="AO172" i="2" s="1"/>
  <c r="AO114" i="2" l="1"/>
  <c r="AN112" i="2"/>
  <c r="AN172" i="2" s="1"/>
  <c r="AN114" i="2" l="1"/>
  <c r="AL114" i="2" l="1"/>
  <c r="AO121" i="2" l="1"/>
  <c r="AN121" i="2" l="1"/>
  <c r="AO131" i="2"/>
  <c r="AO132" i="2" l="1"/>
  <c r="AN131" i="2"/>
  <c r="AL121" i="2"/>
  <c r="AL131" i="2" l="1"/>
  <c r="AN132" i="2"/>
  <c r="AL132" i="2" l="1"/>
  <c r="AL141" i="2" l="1"/>
  <c r="AV141" i="2" s="1"/>
  <c r="AL143" i="2" l="1"/>
  <c r="AL152" i="2" l="1"/>
  <c r="AV152" i="2" s="1"/>
  <c r="AV143" i="2"/>
  <c r="AL165" i="2"/>
  <c r="AL16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tc={37F240A7-FB46-4200-894A-744820E5BB7A}</author>
  </authors>
  <commentList>
    <comment ref="C10" authorId="0" shapeId="0" xr:uid="{37F240A7-FB46-4200-894A-744820E5BB7A}">
      <text>
        <t>[Threaded comment]
Your version of Excel allows you to read this threaded comment; however, any edits to it will get removed if the file is opened in a newer version of Excel. Learn more: https://go.microsoft.com/fwlink/?linkid=870924
Comment:
    See p. 55 of 92 in cons. BS &amp; IS footnotes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tc={BC1DA2D3-4DB3-4ECA-86FE-F5F8D607B147}</author>
    <author>tc={4843ABAC-5F4C-4425-878F-3440AFC2B5F9}</author>
    <author>tc={43CBF7D3-559E-4AD7-AAFB-3AFF16E29A9F}</author>
    <author>tc={08986981-5150-44AE-8452-690EED44282D}</author>
    <author>tc={0E6E36FA-81DC-4DE8-9D4F-98BC7F1CABE7}</author>
    <author>tc={5B6FF176-DBFE-4480-A9D8-BFB4B0C7DD3D}</author>
    <author>tc={13FFB521-84E1-413C-BEFD-9F01652862D2}</author>
    <author>tc={7768FAD9-FADE-459A-B6A4-6FC3991DF1EC}</author>
    <author>tc={2CAF7811-A9DB-4EC3-8C93-F3BF6D2BBD17}</author>
    <author>tc={2747DA48-3F80-4A88-9EF0-865E4DF1A0A5}</author>
    <author>tc={DEB219C1-5A3A-4E7A-BB5F-A1D984B11E27}</author>
    <author>tc={0E20C36D-4D97-4D5C-A50D-B7E41FBA32B2}</author>
  </authors>
  <commentList>
    <comment ref="V14" authorId="0" shapeId="0" xr:uid="{BC1DA2D3-4DB3-4ECA-86FE-F5F8D607B147}">
      <text>
        <t>[Threaded comment]
Your version of Excel allows you to read this threaded comment; however, any edits to it will get removed if the file is opened in a newer version of Excel. Learn more: https://go.microsoft.com/fwlink/?linkid=870924
Comment:
    Zodiac Aerospace deliveries first 4 months</t>
      </text>
    </comment>
    <comment ref="T32" authorId="1" shapeId="0" xr:uid="{4843ABAC-5F4C-4425-878F-3440AFC2B5F9}">
      <text>
        <t>[Threaded comment]
Your version of Excel allows you to read this threaded comment; however, any edits to it will get removed if the file is opened in a newer version of Excel. Learn more: https://go.microsoft.com/fwlink/?linkid=870924
Comment:
    Recasted due to prior org structure</t>
      </text>
    </comment>
    <comment ref="T78" authorId="2" shapeId="0" xr:uid="{43CBF7D3-559E-4AD7-AAFB-3AFF16E29A9F}">
      <text>
        <t>[Threaded comment]
Your version of Excel allows you to read this threaded comment; however, any edits to it will get removed if the file is opened in a newer version of Excel. Learn more: https://go.microsoft.com/fwlink/?linkid=870924
Comment:
    Added 773 due to discontinued operations/disposal gain</t>
      </text>
    </comment>
    <comment ref="AL78" authorId="3" shapeId="0" xr:uid="{08986981-5150-44AE-8452-690EED44282D}">
      <text>
        <t>[Threaded comment]
Your version of Excel allows you to read this threaded comment; however, any edits to it will get removed if the file is opened in a newer version of Excel. Learn more: https://go.microsoft.com/fwlink/?linkid=870924
Comment:
    Subtracted Eur. 421 for discontinued disposal</t>
      </text>
    </comment>
    <comment ref="AN78" authorId="4" shapeId="0" xr:uid="{0E6E36FA-81DC-4DE8-9D4F-98BC7F1CABE7}">
      <text>
        <t>[Threaded comment]
Your version of Excel allows you to read this threaded comment; however, any edits to it will get removed if the file is opened in a newer version of Excel. Learn more: https://go.microsoft.com/fwlink/?linkid=870924
Comment:
    Subtracted Eur. 831 for discontinued disposal</t>
      </text>
    </comment>
    <comment ref="T79" authorId="5" shapeId="0" xr:uid="{5B6FF176-DBFE-4480-A9D8-BFB4B0C7DD3D}">
      <text>
        <t>[Threaded comment]
Your version of Excel allows you to read this threaded comment; however, any edits to it will get removed if the file is opened in a newer version of Excel. Learn more: https://go.microsoft.com/fwlink/?linkid=870924
Comment:
    Profits to owners of parent. Not included: discontinued operations</t>
      </text>
    </comment>
    <comment ref="AN111" authorId="6" shapeId="0" xr:uid="{13FFB521-84E1-413C-BEFD-9F01652862D2}">
      <text>
        <t>[Threaded comment]
Your version of Excel allows you to read this threaded comment; however, any edits to it will get removed if the file is opened in a newer version of Excel. Learn more: https://go.microsoft.com/fwlink/?linkid=870924
Comment:
    Also includes unrealized gains on available-for0sale financial assets</t>
      </text>
    </comment>
    <comment ref="AL112" authorId="7" shapeId="0" xr:uid="{7768FAD9-FADE-459A-B6A4-6FC3991DF1EC}">
      <text>
        <t>[Threaded comment]
Your version of Excel allows you to read this threaded comment; however, any edits to it will get removed if the file is opened in a newer version of Excel. Learn more: https://go.microsoft.com/fwlink/?linkid=870924
Comment:
    Added 41 million eur for available for sale financial assets
Reply:
    Unrealized gains</t>
      </text>
    </comment>
    <comment ref="AN140" authorId="8" shapeId="0" xr:uid="{2CAF7811-A9DB-4EC3-8C93-F3BF6D2BBD17}">
      <text>
        <t>[Threaded comment]
Your version of Excel allows you to read this threaded comment; however, any edits to it will get removed if the file is opened in a newer version of Excel. Learn more: https://go.microsoft.com/fwlink/?linkid=870924
Comment:
    Incl. profit attibutable to noncontrolling</t>
      </text>
    </comment>
    <comment ref="T141" authorId="9" shapeId="0" xr:uid="{2747DA48-3F80-4A88-9EF0-865E4DF1A0A5}">
      <text>
        <t>[Threaded comment]
Your version of Excel allows you to read this threaded comment; however, any edits to it will get removed if the file is opened in a newer version of Excel. Learn more: https://go.microsoft.com/fwlink/?linkid=870924
Comment:
    Deducted loss from discontinued op’s and disposal gain</t>
      </text>
    </comment>
    <comment ref="AN164" authorId="10" shapeId="0" xr:uid="{DEB219C1-5A3A-4E7A-BB5F-A1D984B11E27}">
      <text>
        <t>[Threaded comment]
Your version of Excel allows you to read this threaded comment; however, any edits to it will get removed if the file is opened in a newer version of Excel. Learn more: https://go.microsoft.com/fwlink/?linkid=870924
Comment:
    Includes cash used in discontinued (14), CF used in financing activities of discontinueds (-52), cf used in discontinueds (-198), ForEx (-17)</t>
      </text>
    </comment>
    <comment ref="AN167" authorId="11" shapeId="0" xr:uid="{0E20C36D-4D97-4D5C-A50D-B7E41FBA32B2}">
      <text>
        <t xml:space="preserve">[Threaded comment]
Your version of Excel allows you to read this threaded comment; however, any edits to it will get removed if the file is opened in a newer version of Excel. Learn more: https://go.microsoft.com/fwlink/?linkid=870924
Comment:
    Also includes Eur. 180 for discontinueds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<sst xmlns="http://schemas.openxmlformats.org/spreadsheetml/2006/main" count="255" uniqueCount="236">
  <si>
    <t>Price</t>
  </si>
  <si>
    <t>Market Cap</t>
  </si>
  <si>
    <t>Shares outstanding (M)</t>
  </si>
  <si>
    <t>Propulsion</t>
  </si>
  <si>
    <t>Equipment &amp; defense</t>
  </si>
  <si>
    <t>Aircraft interiors</t>
  </si>
  <si>
    <t>Holding Company &amp; others</t>
  </si>
  <si>
    <t>Q1'2024</t>
  </si>
  <si>
    <t>Q2'2024</t>
  </si>
  <si>
    <t>Q3'2024</t>
  </si>
  <si>
    <t>Q4'2024</t>
  </si>
  <si>
    <t>Q1'2025</t>
  </si>
  <si>
    <t>Q2'2025</t>
  </si>
  <si>
    <t>Consolidated</t>
  </si>
  <si>
    <t>Revenue</t>
  </si>
  <si>
    <t>LEAP engines</t>
  </si>
  <si>
    <t>CFM56 engines</t>
  </si>
  <si>
    <t>High thrust engines</t>
  </si>
  <si>
    <t>Helicopter turbines</t>
  </si>
  <si>
    <t>M88 engines</t>
  </si>
  <si>
    <t>A320 neo nacelles</t>
  </si>
  <si>
    <t>A320 landing gear sets</t>
  </si>
  <si>
    <t>A320 emegency slides</t>
  </si>
  <si>
    <t>A330 neo nacelles</t>
  </si>
  <si>
    <t>A350 landing gear sets</t>
  </si>
  <si>
    <t xml:space="preserve">A350 lavatories </t>
  </si>
  <si>
    <t>787 landing gear sets</t>
  </si>
  <si>
    <t>787 primary power distribution systems</t>
  </si>
  <si>
    <t>biz &amp; regional jets small nacelles</t>
  </si>
  <si>
    <t>Business class seats</t>
  </si>
  <si>
    <t xml:space="preserve">1H'2025 </t>
  </si>
  <si>
    <t>Other Income</t>
  </si>
  <si>
    <t>Income from operations</t>
  </si>
  <si>
    <t xml:space="preserve">Changes in inventories of finished goods &amp; work-in-progress </t>
  </si>
  <si>
    <t>Capitalized production</t>
  </si>
  <si>
    <t>Raw materials and consumables used</t>
  </si>
  <si>
    <t>Personnel costs</t>
  </si>
  <si>
    <t>Taxes</t>
  </si>
  <si>
    <t>Depreciation, amortization and increased in provisions</t>
  </si>
  <si>
    <t>Asset impairment</t>
  </si>
  <si>
    <t>Other recurring operating income and expenses</t>
  </si>
  <si>
    <t>Share in profit from joint ventures</t>
  </si>
  <si>
    <t>Recurring operating income</t>
  </si>
  <si>
    <t>OpEx</t>
  </si>
  <si>
    <t>Profit from operations</t>
  </si>
  <si>
    <t>Cost of net debt</t>
  </si>
  <si>
    <t>ForEx gans (losses)</t>
  </si>
  <si>
    <t>Other financial income/expense</t>
  </si>
  <si>
    <t>Income (loss) from financing</t>
  </si>
  <si>
    <t>EBT</t>
  </si>
  <si>
    <t>Income tax expense</t>
  </si>
  <si>
    <t>Net income</t>
  </si>
  <si>
    <t xml:space="preserve">Attributable to owners </t>
  </si>
  <si>
    <t>Attributable to non-controlling</t>
  </si>
  <si>
    <t>Basic shares outstanding</t>
  </si>
  <si>
    <t>Diluted Shares outstanding</t>
  </si>
  <si>
    <t>1H'2024</t>
  </si>
  <si>
    <t>X</t>
  </si>
  <si>
    <t>ASSETS</t>
  </si>
  <si>
    <t>Goodwill</t>
  </si>
  <si>
    <t>Intangible assets</t>
  </si>
  <si>
    <t xml:space="preserve">PPE </t>
  </si>
  <si>
    <t>Right-of-use assets</t>
  </si>
  <si>
    <t>non-current financial assets</t>
  </si>
  <si>
    <t>Investments in equity-accounted companies</t>
  </si>
  <si>
    <t>Non-current derivatives</t>
  </si>
  <si>
    <t>Deferred tax assets</t>
  </si>
  <si>
    <t>Other non-current financial assets</t>
  </si>
  <si>
    <t>FY2024</t>
  </si>
  <si>
    <t>Noncurrent assets</t>
  </si>
  <si>
    <t>Current financial assets</t>
  </si>
  <si>
    <t xml:space="preserve">Current derivatives (positive fair value) </t>
  </si>
  <si>
    <t>Inventories/work-in-progress</t>
  </si>
  <si>
    <t>Contract costs</t>
  </si>
  <si>
    <t>Trade and other receivables</t>
  </si>
  <si>
    <t>Contract assets</t>
  </si>
  <si>
    <t>Tax assets</t>
  </si>
  <si>
    <t>Cash &amp; equivalents</t>
  </si>
  <si>
    <t>Current assets</t>
  </si>
  <si>
    <t>Total Assets</t>
  </si>
  <si>
    <t>Share capital</t>
  </si>
  <si>
    <t>Consolidated reserves and retained earnings</t>
  </si>
  <si>
    <t>Profit (loss) for the period</t>
  </si>
  <si>
    <t>Equity attributable ot parent</t>
  </si>
  <si>
    <t>Noncontrolling interests</t>
  </si>
  <si>
    <t>Total Equity</t>
  </si>
  <si>
    <t>Provisions</t>
  </si>
  <si>
    <t>Borrowings subject to specific conditions</t>
  </si>
  <si>
    <t>Non-current interest bearing financial liabilities</t>
  </si>
  <si>
    <t>Non current derivatives</t>
  </si>
  <si>
    <t>Deferred tax liabilities</t>
  </si>
  <si>
    <t>Other non-current financial liabilities</t>
  </si>
  <si>
    <t>Noncurrent liabilities</t>
  </si>
  <si>
    <t>Provisions (current)</t>
  </si>
  <si>
    <t>Current interest bearing liabilities</t>
  </si>
  <si>
    <t>Trade and other payables</t>
  </si>
  <si>
    <t>Contract liabilities</t>
  </si>
  <si>
    <t>Tax liabilities</t>
  </si>
  <si>
    <t>Other current financial liabilities</t>
  </si>
  <si>
    <t>Current liabilities</t>
  </si>
  <si>
    <t>Total liabilities</t>
  </si>
  <si>
    <t>Check</t>
  </si>
  <si>
    <t>CFS</t>
  </si>
  <si>
    <t>Profit attributable to owners of the parent</t>
  </si>
  <si>
    <t>Revenue (adjusted)</t>
  </si>
  <si>
    <t>Depreciation, amortization, impairment</t>
  </si>
  <si>
    <t>Share in profit/loss from equity-acc. Companies</t>
  </si>
  <si>
    <t>Change in fair value of currency and interest rate derivatives</t>
  </si>
  <si>
    <t>Capital gains and losses on asset disposals</t>
  </si>
  <si>
    <t>Profit attributable to non-controllings</t>
  </si>
  <si>
    <t>Other</t>
  </si>
  <si>
    <t>CF from operations (add-backs)</t>
  </si>
  <si>
    <t>Change in working capital</t>
  </si>
  <si>
    <t>Operating Cash</t>
  </si>
  <si>
    <t>Capitalization of R&amp;D expenditure</t>
  </si>
  <si>
    <t>Payments for the purchase of intangible assets, net</t>
  </si>
  <si>
    <t>Payments for PPE</t>
  </si>
  <si>
    <t>Payments for the acquisition of investments or businesses</t>
  </si>
  <si>
    <t>Other movements</t>
  </si>
  <si>
    <t>Proceeds (payments) arising from the sale (acquisition) of financial assets, net</t>
  </si>
  <si>
    <t>Investing Cash</t>
  </si>
  <si>
    <t>Change in share capital - owners of parents</t>
  </si>
  <si>
    <t>Change in share capital - noncontrolling interests</t>
  </si>
  <si>
    <t>Acquisitions and disposals of treasury shares</t>
  </si>
  <si>
    <t>Repayment borrowings</t>
  </si>
  <si>
    <t>Increase in borrowings</t>
  </si>
  <si>
    <t>Change in repayable advances</t>
  </si>
  <si>
    <t>Changes in ST borrowngs</t>
  </si>
  <si>
    <t>Dividends paid to owners of parent</t>
  </si>
  <si>
    <t>Dividends to non-controlling</t>
  </si>
  <si>
    <t>Financing Cash</t>
  </si>
  <si>
    <t>Increase/decrease in cash</t>
  </si>
  <si>
    <t>Opening Cash</t>
  </si>
  <si>
    <t>Closing Cash</t>
  </si>
  <si>
    <t>Accounting Lesson</t>
  </si>
  <si>
    <t>IAS38- capitalizing R&amp;D</t>
  </si>
  <si>
    <t>FY2023</t>
  </si>
  <si>
    <t>No. Units delivered</t>
  </si>
  <si>
    <t>1H'2023</t>
  </si>
  <si>
    <t>Q1'2023</t>
  </si>
  <si>
    <t>Q2'2023</t>
  </si>
  <si>
    <t>Q3'2023</t>
  </si>
  <si>
    <t>Q4'2023</t>
  </si>
  <si>
    <t>Operating Income</t>
  </si>
  <si>
    <t>One-off item</t>
  </si>
  <si>
    <t xml:space="preserve">Profit (loss) from operations. </t>
  </si>
  <si>
    <t>Revenue-level information</t>
  </si>
  <si>
    <t>mgn</t>
  </si>
  <si>
    <t>2H'2024</t>
  </si>
  <si>
    <t>2H'2023</t>
  </si>
  <si>
    <t>Q1'2022</t>
  </si>
  <si>
    <t>Q2'2022</t>
  </si>
  <si>
    <t>Q3'2022</t>
  </si>
  <si>
    <t>Q4'2022</t>
  </si>
  <si>
    <t>FY2022</t>
  </si>
  <si>
    <t>FY2021</t>
  </si>
  <si>
    <t>Total liabilities held for sale</t>
  </si>
  <si>
    <t>Total assets held for sale</t>
  </si>
  <si>
    <t>Proceeds from sale of investments or businesses</t>
  </si>
  <si>
    <t>1H'2022</t>
  </si>
  <si>
    <t>1H'2021</t>
  </si>
  <si>
    <t>2H'2022</t>
  </si>
  <si>
    <t>TTM Earnings</t>
  </si>
  <si>
    <t>TTM EPS</t>
  </si>
  <si>
    <t>PE</t>
  </si>
  <si>
    <t>2H'2021</t>
  </si>
  <si>
    <t>FY2019</t>
  </si>
  <si>
    <t>FY2020</t>
  </si>
  <si>
    <t>A380 nacelles</t>
  </si>
  <si>
    <t>A320 thrust reversers</t>
  </si>
  <si>
    <t>Spaceflex V2 (A320 lavs and galleys)</t>
  </si>
  <si>
    <t>BV</t>
  </si>
  <si>
    <t>BV/Share</t>
  </si>
  <si>
    <t>1H'2020</t>
  </si>
  <si>
    <t>2H'2020</t>
  </si>
  <si>
    <t>1H'2019</t>
  </si>
  <si>
    <t>2H'2019</t>
  </si>
  <si>
    <t>FY2018</t>
  </si>
  <si>
    <t>FY2017</t>
  </si>
  <si>
    <t>FY2016</t>
  </si>
  <si>
    <t xml:space="preserve">1H'2017 </t>
  </si>
  <si>
    <t>1H'2018</t>
  </si>
  <si>
    <t>A330 thrust reversers</t>
  </si>
  <si>
    <t>2H'2018</t>
  </si>
  <si>
    <t>2H'2017</t>
  </si>
  <si>
    <t>FY2015</t>
  </si>
  <si>
    <t>Basic EPS (from continuing)</t>
  </si>
  <si>
    <t>Diluted EPS (from continuing)</t>
  </si>
  <si>
    <t>Effect of ForEx + CF from discontinued's</t>
  </si>
  <si>
    <t>Propulsion share of revenue</t>
  </si>
  <si>
    <t>Equipment/Defense share of revenue</t>
  </si>
  <si>
    <t>Interiors share of revenue</t>
  </si>
  <si>
    <t xml:space="preserve">Y/Y growth </t>
  </si>
  <si>
    <t>CAGR</t>
  </si>
  <si>
    <t>Q3'2025</t>
  </si>
  <si>
    <t xml:space="preserve">CEO: </t>
  </si>
  <si>
    <t>Olivier Andries</t>
  </si>
  <si>
    <t xml:space="preserve">Worked in French Ministry of Industry + Treasury Dept </t>
  </si>
  <si>
    <t>Director, Strategy EADS</t>
  </si>
  <si>
    <t>52wh</t>
  </si>
  <si>
    <t>52wl</t>
  </si>
  <si>
    <t>Cash</t>
  </si>
  <si>
    <t>Debt</t>
  </si>
  <si>
    <t>EV</t>
  </si>
  <si>
    <t>TTM Revenue</t>
  </si>
  <si>
    <t>Multiple</t>
  </si>
  <si>
    <t>Implied FCF</t>
  </si>
  <si>
    <t>Convertibles</t>
  </si>
  <si>
    <t>&lt;= These converted on May 30, 2024</t>
  </si>
  <si>
    <t xml:space="preserve">Financial Analysis: </t>
  </si>
  <si>
    <t>EBITDA</t>
  </si>
  <si>
    <t>Net Debt</t>
  </si>
  <si>
    <t>CEO, Aircraft Engines</t>
  </si>
  <si>
    <t>Stéphane Cueille</t>
  </si>
  <si>
    <t>French Defense Procurement agency</t>
  </si>
  <si>
    <t>Safran Nacelles - 2013</t>
  </si>
  <si>
    <t xml:space="preserve">PhD in Physics + ret. Colonel french armament engineering corps </t>
  </si>
  <si>
    <t>CEO, Electronics &amp; Defence</t>
  </si>
  <si>
    <t>Franck Saudo</t>
  </si>
  <si>
    <t>head of financial markets, Ministre de l'economie</t>
  </si>
  <si>
    <t>https://www.valueinvestorsclub.com/idea/SAFRAN_SA/5053975887</t>
  </si>
  <si>
    <t xml:space="preserve">VIC pitch: </t>
  </si>
  <si>
    <t>Holding share of revenue</t>
  </si>
  <si>
    <t>Debt-to-equity</t>
  </si>
  <si>
    <t>Margin</t>
  </si>
  <si>
    <t>Return on Assets</t>
  </si>
  <si>
    <t>Return on Equity</t>
  </si>
  <si>
    <t>5-year Revenue CAGR</t>
  </si>
  <si>
    <t>Gross Profit</t>
  </si>
  <si>
    <t>Total Debt/Equity</t>
  </si>
  <si>
    <t>Book Value Per Share</t>
  </si>
  <si>
    <t>52 Week Change</t>
  </si>
  <si>
    <t>Trailing P/E</t>
  </si>
  <si>
    <t>Price/Sales</t>
  </si>
  <si>
    <t>Price/Book</t>
  </si>
  <si>
    <t>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</si>
</sst>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2]\ * #,##0.00_);_([$€-2]\ * \(#,##0.00\);_([$€-2]\ * &quot;-&quot;??_);_(@_)"/>
    <numFmt numFmtId="165" formatCode="_([$€-2]\ * #,##0_);_([$€-2]\ * \(#,##0\);_([$€-2]\ * &quot;-&quot;_);_(@_)"/>
    <numFmt numFmtId="166" formatCode="_(* #,##0_);_(* \(#,##0\);_(* &quot;-&quot;??_);_(@_)"/>
    <numFmt numFmtId="167" formatCode="0.0%"/>
    <numFmt numFmtId="168" formatCode="0.00\x"/>
    <numFmt numFmtId="170" formatCode="_([$€-2]\ * #,##0_);_([$€-2]\ * \(#,##0\);_([$€-2]\ * &quot;-&quot;??_);_(@_)"/>
  </numFmts>
  <fonts count="24" x14ac:knownFonts="1">
    <font>
      <sz val="11"/>
      <color theme="1"/>
      <name val="Aptos Narrow"/>
      <family val="2"/>
      <scheme val="minor"/>
    </font>
    <font>
      <sz val="11"/>
      <color theme="1"/>
      <name val="Aptos Narrow"/>
      <family val="2"/>
      <scheme val="minor"/>
    </font>
    <font>
      <sz val="9"/>
      <color theme="1"/>
      <name val="Calibri"/>
      <family val="2"/>
    </font>
    <font>
      <sz val="9"/>
      <color rgb="FF0000FF"/>
      <name val="Calibri"/>
      <family val="2"/>
    </font>
    <font>
      <u/>
      <sz val="9"/>
      <color theme="1"/>
      <name val="Calibri"/>
      <family val="2"/>
    </font>
    <font>
      <u val="singleAccounting"/>
      <sz val="9"/>
      <color rgb="FF0000FF"/>
      <name val="Calibri"/>
      <family val="2"/>
    </font>
    <font>
      <b/>
      <sz val="9"/>
      <color theme="1"/>
      <name val="Calibri"/>
      <family val="2"/>
    </font>
    <font>
      <sz val="9"/>
      <name val="Calibri"/>
      <family val="2"/>
    </font>
    <font>
      <b/>
      <i/>
      <sz val="9"/>
      <color theme="1"/>
      <name val="Calibri"/>
      <family val="2"/>
    </font>
    <font>
      <b/>
      <u/>
      <sz val="9"/>
      <color theme="1"/>
      <name val="Calibri"/>
      <family val="2"/>
    </font>
    <font>
      <i/>
      <sz val="9"/>
      <color theme="1"/>
      <name val="Calibri"/>
      <family val="2"/>
    </font>
    <font>
      <sz val="9"/>
      <color rgb="FFC00000"/>
      <name val="Calibri"/>
      <family val="2"/>
    </font>
    <font>
      <u val="singleAccounting"/>
      <sz val="9"/>
      <color rgb="FFC00000"/>
      <name val="Calibri"/>
      <family val="2"/>
    </font>
    <font>
      <sz val="8"/>
      <name val="Aptos Narrow"/>
      <family val="2"/>
      <scheme val="minor"/>
    </font>
    <font>
      <sz val="9"/>
      <color rgb="FFFF0000"/>
      <name val="Calibri"/>
      <family val="2"/>
    </font>
    <font>
      <u val="singleAccounting"/>
      <sz val="9"/>
      <color rgb="FFFF0000"/>
      <name val="Calibri"/>
      <family val="2"/>
    </font>
    <font>
      <sz val="9"/>
      <color theme="5" tint="-0.249977111117893"/>
      <name val="Calibri"/>
      <family val="2"/>
    </font>
    <font>
      <u val="singleAccounting"/>
      <sz val="9"/>
      <color theme="5" tint="-0.249977111117893"/>
      <name val="Calibri"/>
      <family val="2"/>
    </font>
    <font>
      <b/>
      <u/>
      <sz val="11"/>
      <color theme="1"/>
      <name val="Calibri"/>
      <family val="2"/>
    </font>
    <font>
      <sz val="11"/>
      <color theme="1"/>
      <name val="Calibri"/>
      <family val="2"/>
    </font>
    <font>
      <b/>
      <sz val="11"/>
      <color theme="1"/>
      <name val="Calibri"/>
      <family val="2"/>
    </font>
    <font>
      <b/>
      <sz val="9"/>
      <color theme="5" tint="-0.249977111117893"/>
      <name val="Calibri"/>
      <family val="2"/>
    </font>
    <font>
      <b/>
      <sz val="9"/>
      <color rgb="FFC00000"/>
      <name val="Calibri"/>
      <family val="2"/>
    </font>
    <font>
      <b/>
      <sz val="9"/>
      <color rgb="FFFF0000"/>
      <name val="Calibri"/>
      <family val="2"/>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9">
    <xf numFmtId="0" fontId="0" fillId="0" borderId="0" xfId="0"/>
    <xf numFmtId="0" fontId="2" fillId="0" borderId="0" xfId="0" applyFont="1"/>
    <xf numFmtId="166" fontId="3" fillId="0" borderId="0" xfId="1" applyNumberFormat="1" applyFont="1"/>
    <xf numFmtId="0" fontId="4" fillId="0" borderId="0" xfId="0" applyFont="1"/>
    <xf numFmtId="166" fontId="5" fillId="0" borderId="0" xfId="1" applyNumberFormat="1" applyFont="1"/>
    <xf numFmtId="166" fontId="2" fillId="0" borderId="0" xfId="0" applyNumberFormat="1" applyFont="1"/>
    <xf numFmtId="0" fontId="2" fillId="0" borderId="0" xfId="0" applyFont="1" applyAlignment="1">
      <alignment horizontal="left" indent="1"/>
    </xf>
    <xf numFmtId="0" fontId="2" fillId="0" borderId="0" xfId="0" applyFont="1" applyAlignment="1">
      <alignment horizontal="left"/>
    </xf>
    <xf numFmtId="0" fontId="6" fillId="0" borderId="0" xfId="0" applyFont="1"/>
    <xf numFmtId="0" fontId="6" fillId="0" borderId="0" xfId="0" applyFont="1" applyAlignment="1">
      <alignment horizontal="left" indent="1"/>
    </xf>
    <xf numFmtId="166" fontId="7" fillId="0" borderId="0" xfId="1" applyNumberFormat="1" applyFont="1"/>
    <xf numFmtId="0" fontId="8" fillId="0" borderId="0" xfId="0" applyFont="1" applyAlignment="1">
      <alignment horizontal="left" indent="1"/>
    </xf>
    <xf numFmtId="0" fontId="9" fillId="0" borderId="0" xfId="0" applyFont="1"/>
    <xf numFmtId="0" fontId="10" fillId="0" borderId="0" xfId="0" applyFont="1" applyAlignment="1">
      <alignment horizontal="left" indent="2"/>
    </xf>
    <xf numFmtId="167" fontId="2" fillId="0" borderId="0" xfId="2" applyNumberFormat="1" applyFont="1"/>
    <xf numFmtId="166" fontId="11" fillId="0" borderId="0" xfId="0" applyNumberFormat="1" applyFont="1"/>
    <xf numFmtId="166" fontId="11" fillId="0" borderId="0" xfId="1" applyNumberFormat="1" applyFont="1"/>
    <xf numFmtId="166" fontId="12" fillId="0" borderId="0" xfId="1" applyNumberFormat="1" applyFont="1"/>
    <xf numFmtId="166" fontId="3" fillId="0" borderId="0" xfId="1" applyNumberFormat="1" applyFont="1" applyFill="1"/>
    <xf numFmtId="166" fontId="5" fillId="0" borderId="0" xfId="1" applyNumberFormat="1" applyFont="1" applyFill="1"/>
    <xf numFmtId="167" fontId="2" fillId="0" borderId="0" xfId="2" applyNumberFormat="1" applyFont="1" applyFill="1"/>
    <xf numFmtId="43" fontId="2" fillId="0" borderId="0" xfId="1" applyFont="1"/>
    <xf numFmtId="43" fontId="2" fillId="0" borderId="0" xfId="1" applyFont="1" applyFill="1"/>
    <xf numFmtId="166" fontId="6" fillId="0" borderId="0" xfId="0" applyNumberFormat="1" applyFont="1"/>
    <xf numFmtId="166" fontId="3" fillId="2" borderId="0" xfId="1" applyNumberFormat="1" applyFont="1" applyFill="1"/>
    <xf numFmtId="0" fontId="2" fillId="0" borderId="0" xfId="0" applyFont="1" applyAlignment="1">
      <alignment horizontal="center"/>
    </xf>
    <xf numFmtId="166" fontId="11" fillId="2" borderId="0" xfId="1" applyNumberFormat="1" applyFont="1" applyFill="1"/>
    <xf numFmtId="166" fontId="14" fillId="0" borderId="0" xfId="0" applyNumberFormat="1" applyFont="1"/>
    <xf numFmtId="43" fontId="3" fillId="0" borderId="0" xfId="1" applyFont="1" applyFill="1"/>
    <xf numFmtId="166" fontId="15" fillId="0" borderId="0" xfId="1" applyNumberFormat="1" applyFont="1"/>
    <xf numFmtId="166" fontId="16" fillId="0" borderId="0" xfId="1" applyNumberFormat="1" applyFont="1"/>
    <xf numFmtId="166" fontId="17" fillId="0" borderId="0" xfId="1" applyNumberFormat="1" applyFont="1"/>
    <xf numFmtId="166" fontId="14" fillId="0" borderId="0" xfId="1" applyNumberFormat="1" applyFont="1" applyFill="1"/>
    <xf numFmtId="166" fontId="15" fillId="0" borderId="0" xfId="1" applyNumberFormat="1" applyFont="1" applyFill="1"/>
    <xf numFmtId="166" fontId="3" fillId="0" borderId="0" xfId="0" applyNumberFormat="1" applyFont="1"/>
    <xf numFmtId="166" fontId="12" fillId="0" borderId="0" xfId="1" applyNumberFormat="1" applyFont="1" applyFill="1"/>
    <xf numFmtId="166" fontId="11" fillId="0" borderId="0" xfId="1" applyNumberFormat="1" applyFont="1" applyFill="1"/>
    <xf numFmtId="0" fontId="10" fillId="0" borderId="0" xfId="0" applyFont="1"/>
    <xf numFmtId="167" fontId="7" fillId="0" borderId="0" xfId="2" applyNumberFormat="1" applyFont="1" applyFill="1"/>
    <xf numFmtId="0" fontId="4" fillId="0" borderId="0" xfId="0" applyFont="1" applyAlignment="1">
      <alignment horizontal="center"/>
    </xf>
    <xf numFmtId="10" fontId="2" fillId="0" borderId="0" xfId="2" applyNumberFormat="1" applyFont="1"/>
    <xf numFmtId="0" fontId="2" fillId="3" borderId="0" xfId="0" applyFont="1" applyFill="1"/>
    <xf numFmtId="166" fontId="5" fillId="3" borderId="0" xfId="1" applyNumberFormat="1" applyFont="1" applyFill="1"/>
    <xf numFmtId="166" fontId="12" fillId="3" borderId="0" xfId="1" applyNumberFormat="1" applyFont="1" applyFill="1"/>
    <xf numFmtId="166" fontId="3" fillId="3" borderId="0" xfId="1" applyNumberFormat="1" applyFont="1" applyFill="1"/>
    <xf numFmtId="166" fontId="11" fillId="3" borderId="0" xfId="1" applyNumberFormat="1" applyFont="1" applyFill="1"/>
    <xf numFmtId="0" fontId="18" fillId="0" borderId="0" xfId="0" applyFont="1"/>
    <xf numFmtId="0" fontId="19" fillId="0" borderId="0" xfId="0" applyFont="1"/>
    <xf numFmtId="164" fontId="19" fillId="2" borderId="0" xfId="0" applyNumberFormat="1" applyFont="1" applyFill="1"/>
    <xf numFmtId="164" fontId="19" fillId="0" borderId="0" xfId="0" applyNumberFormat="1" applyFont="1"/>
    <xf numFmtId="3" fontId="19" fillId="0" borderId="0" xfId="0" applyNumberFormat="1" applyFont="1"/>
    <xf numFmtId="165" fontId="19" fillId="0" borderId="0" xfId="0" applyNumberFormat="1" applyFont="1"/>
    <xf numFmtId="0" fontId="19" fillId="0" borderId="0" xfId="0" applyFont="1" applyAlignment="1">
      <alignment horizontal="left" indent="1"/>
    </xf>
    <xf numFmtId="0" fontId="20" fillId="0" borderId="0" xfId="0" applyFont="1"/>
    <xf numFmtId="165" fontId="20" fillId="0" borderId="0" xfId="0" applyNumberFormat="1" applyFont="1"/>
    <xf numFmtId="168" fontId="20" fillId="0" borderId="0" xfId="0" applyNumberFormat="1" applyFont="1"/>
    <xf numFmtId="0" fontId="2" fillId="0" borderId="0" xfId="0" applyFont="1" applyAlignment="1">
      <alignment horizontal="left" indent="2"/>
    </xf>
    <xf numFmtId="10" fontId="2" fillId="2" borderId="0" xfId="2" applyNumberFormat="1" applyFont="1" applyFill="1"/>
    <xf numFmtId="166" fontId="21" fillId="0" borderId="0" xfId="0" applyNumberFormat="1" applyFont="1"/>
    <xf numFmtId="166" fontId="22" fillId="0" borderId="0" xfId="1" applyNumberFormat="1" applyFont="1"/>
    <xf numFmtId="166" fontId="23" fillId="0" borderId="0" xfId="0" applyNumberFormat="1" applyFont="1"/>
    <xf numFmtId="10" fontId="6" fillId="0" borderId="0" xfId="2" applyNumberFormat="1" applyFont="1"/>
    <xf numFmtId="9" fontId="2" fillId="0" borderId="0" xfId="2" applyFont="1"/>
    <xf numFmtId="10" fontId="2" fillId="0" borderId="0" xfId="2" applyNumberFormat="1" applyFont="1" applyFill="1"/>
    <xf numFmtId="0" fontId="10" fillId="0" borderId="0" xfId="0" applyFont="1" applyAlignment="1">
      <alignment horizontal="left" indent="1"/>
    </xf>
    <xf numFmtId="0" fontId="0" fillId="0" borderId="1" xfId="0" applyBorder="1"/>
    <xf numFmtId="9" fontId="0" fillId="0" borderId="0" xfId="0" applyNumberFormat="1"/>
    <xf numFmtId="9" fontId="7" fillId="0" borderId="0" xfId="2" applyFont="1"/>
    <xf numFmtId="170"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microsoft.com/office/2017/10/relationships/person" Target="persons/perso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latin typeface="Calibri" panose="020F0502020204030204" pitchFamily="34" charset="0"/>
                <a:ea typeface="Calibri" panose="020F0502020204030204" pitchFamily="34" charset="0"/>
                <a:cs typeface="Calibri" panose="020F0502020204030204" pitchFamily="34" charset="0"/>
              </a:rPr>
              <a:t>Safran Revenues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1812011157523"/>
          <c:y val="0.19363865767221949"/>
          <c:w val="0.84891131801743713"/>
          <c:h val="0.72300669656926708"/>
        </c:manualLayout>
      </c:layout>
      <c:barChart>
        <c:barDir val="col"/>
        <c:grouping val="clustered"/>
        <c:varyColors val="0"/>
        <c:ser>
          <c:idx val="0"/>
          <c:order val="0"/>
          <c:spPr>
            <a:solidFill>
              <a:schemeClr val="tx1">
                <a:lumMod val="50000"/>
                <a:lumOff val="50000"/>
              </a:schemeClr>
            </a:solidFill>
            <a:ln>
              <a:noFill/>
            </a:ln>
            <a:effectLst/>
          </c:spPr>
          <c:invertIfNegative val="0"/>
          <c:cat>
            <c:strRef>
              <c:f>Sheet2!$AL$2:$AU$2</c:f>
              <c:strCache>
                <c:ptCount val="10"/>
                <c:pt idx="0">
                  <c:v>FY2015</c:v>
                </c:pt>
                <c:pt idx="1">
                  <c:v>FY2016</c:v>
                </c:pt>
                <c:pt idx="2">
                  <c:v>FY2017</c:v>
                </c:pt>
                <c:pt idx="3">
                  <c:v>FY2018</c:v>
                </c:pt>
                <c:pt idx="4">
                  <c:v>FY2019</c:v>
                </c:pt>
                <c:pt idx="5">
                  <c:v>FY2020</c:v>
                </c:pt>
                <c:pt idx="6">
                  <c:v>FY2021</c:v>
                </c:pt>
                <c:pt idx="7">
                  <c:v>FY2022</c:v>
                </c:pt>
                <c:pt idx="8">
                  <c:v>FY2023</c:v>
                </c:pt>
                <c:pt idx="9">
                  <c:v>FY2024</c:v>
                </c:pt>
              </c:strCache>
            </c:strRef>
          </c:cat>
          <c:val>
            <c:numRef>
              <c:f>Sheet2!$AL$51:$AU$51</c:f>
              <c:numCache>
                <c:formatCode>_(* #,##0_);_(* \(#,##0\);_(* "-"??_);_(@_)</c:formatCode>
                <c:ptCount val="10"/>
                <c:pt idx="0">
                  <c:v>15536</c:v>
                </c:pt>
                <c:pt idx="1">
                  <c:v>15781</c:v>
                </c:pt>
                <c:pt idx="2">
                  <c:v>15953</c:v>
                </c:pt>
                <c:pt idx="3">
                  <c:v>17251</c:v>
                </c:pt>
                <c:pt idx="4">
                  <c:v>24640</c:v>
                </c:pt>
                <c:pt idx="5">
                  <c:v>16498</c:v>
                </c:pt>
                <c:pt idx="6">
                  <c:v>15250</c:v>
                </c:pt>
                <c:pt idx="7">
                  <c:v>19035</c:v>
                </c:pt>
                <c:pt idx="8">
                  <c:v>23199</c:v>
                </c:pt>
                <c:pt idx="9">
                  <c:v>27317</c:v>
                </c:pt>
              </c:numCache>
            </c:numRef>
          </c:val>
          <c:extLst>
            <c:ext xmlns:c16="http://schemas.microsoft.com/office/drawing/2014/chart" uri="{C3380CC4-5D6E-409C-BE32-E72D297353CC}">
              <c16:uniqueId val="{00000000-E580-4F42-BE2B-E96732A9CF0F}"/>
            </c:ext>
          </c:extLst>
        </c:ser>
        <c:dLbls>
          <c:showLegendKey val="0"/>
          <c:showVal val="0"/>
          <c:showCatName val="0"/>
          <c:showSerName val="0"/>
          <c:showPercent val="0"/>
          <c:showBubbleSize val="0"/>
        </c:dLbls>
        <c:gapWidth val="150"/>
        <c:axId val="1592540032"/>
        <c:axId val="1592534752"/>
      </c:barChart>
      <c:catAx>
        <c:axId val="15925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92534752"/>
        <c:crosses val="autoZero"/>
        <c:auto val="1"/>
        <c:lblAlgn val="ctr"/>
        <c:lblOffset val="100"/>
        <c:noMultiLvlLbl val="0"/>
      </c:catAx>
      <c:valAx>
        <c:axId val="1592534752"/>
        <c:scaling>
          <c:orientation val="minMax"/>
        </c:scaling>
        <c:delete val="0"/>
        <c:axPos val="l"/>
        <c:majorGridlines>
          <c:spPr>
            <a:ln w="9525" cap="flat" cmpd="sng" algn="ctr">
              <a:solidFill>
                <a:schemeClr val="bg1">
                  <a:lumMod val="95000"/>
                </a:schemeClr>
              </a:solidFill>
              <a:prstDash val="dash"/>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92540032"/>
        <c:crosses val="autoZero"/>
        <c:crossBetween val="between"/>
      </c:valAx>
      <c:spPr>
        <a:no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43</xdr:col>
      <xdr:colOff>549088</xdr:colOff>
      <xdr:row>36</xdr:row>
      <xdr:rowOff>89647</xdr:rowOff>
    </xdr:from>
    <xdr:ext cx="1548694" cy="264560"/>
    <xdr:sp macro="" textlink="">
      <xdr:nvSpPr>
        <xdr:cNvPr id="2" name="TextBox 1">
          <a:extLst>
            <a:ext uri="{FF2B5EF4-FFF2-40B4-BE49-F238E27FC236}">
              <a16:creationId xmlns:a16="http://schemas.microsoft.com/office/drawing/2014/main" id="{EFEC5C78-59F4-68BD-07FE-A92E5D229DBA}"/>
            </a:ext>
          </a:extLst>
        </xdr:cNvPr>
        <xdr:cNvSpPr txBox="1"/>
      </xdr:nvSpPr>
      <xdr:spPr>
        <a:xfrm>
          <a:off x="28362088" y="5692588"/>
          <a:ext cx="1548694" cy="26456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2"/>
              </a:solidFill>
            </a:rPr>
            <a:t>What</a:t>
          </a:r>
          <a:r>
            <a:rPr lang="en-US" sz="1100" b="1" baseline="0">
              <a:solidFill>
                <a:schemeClr val="accent2"/>
              </a:solidFill>
            </a:rPr>
            <a:t> happened here?? </a:t>
          </a:r>
          <a:endParaRPr lang="en-US" sz="1100" b="1">
            <a:solidFill>
              <a:schemeClr val="accent2"/>
            </a:solidFill>
          </a:endParaRPr>
        </a:p>
      </xdr:txBody>
    </xdr:sp>
    <xdr:clientData/>
  </xdr:oneCellAnchor>
  <xdr:twoCellAnchor>
    <xdr:from>
      <xdr:col>50</xdr:col>
      <xdr:colOff>216477</xdr:colOff>
      <xdr:row>2</xdr:row>
      <xdr:rowOff>127000</xdr:rowOff>
    </xdr:from>
    <xdr:to>
      <xdr:col>58</xdr:col>
      <xdr:colOff>328084</xdr:colOff>
      <xdr:row>28</xdr:row>
      <xdr:rowOff>21166</xdr:rowOff>
    </xdr:to>
    <xdr:graphicFrame macro="">
      <xdr:nvGraphicFramePr>
        <xdr:cNvPr id="3" name="Chart 2">
          <a:extLst>
            <a:ext uri="{FF2B5EF4-FFF2-40B4-BE49-F238E27FC236}">
              <a16:creationId xmlns:a16="http://schemas.microsoft.com/office/drawing/2014/main" id="{CF056159-945B-A989-EF8B-B886A661B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oaquin Goquiolay" id="{40B2073E-DC1D-4000-AFDE-6EE87AC0E56B}" userId="9dc8c86c708ee123"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https://www.bing.com/financeapi/forcetrigger?t=ae9y1h&amp;q=XPAR%3aSAF&amp;form=skydnc</v>
    <v>Learn more on Bing</v>
  </rv>
  <rv s="1">
    <v>en-US</v>
    <v>ae9y1h</v>
    <v>268435456</v>
    <v>1</v>
    <v>Powered by Refinitiv</v>
    <v>0</v>
    <v>Safran SA (XPAR:SAF)</v>
    <v>2</v>
    <v>3</v>
    <v>Finance</v>
    <v>4</v>
    <v>350.8</v>
    <v>190.7</v>
    <v>1.1520999999999999</v>
    <v>4.5999999999999996</v>
    <v>1.4308000000000001E-2</v>
    <v>EUR</v>
    <v>Safran SA is a France-based high-technology company that carries out research, design, development, testing, manufacturing, sales, maintenance, and support operations for its high-technology activities. The Company’s segments are: Aerospace Propulsion, Aircraft Equipment and Aircraft Interiors. The Aerospace Propulsion segment designs, develops, produces, and markets, propulsion and mechanical power transmission systems for commercial aircraft, military transport, training and combat aircraft, civil and military helicopters, satellites, and drones. It also includes maintenance, repair, and overhaul (MRO) activities and the sale of spare parts. The Aircraft Equipment segment operates in five main sectors: Landing and braking systems, Engine systems and equipment, Electrical systems, and engineering, Aerosystems, and Electronics &amp; Defense. The Aircraft Interiors segment covers seats and cabin fittings, closets, in-flight entertainment systems and flight-deck equipment.</v>
    <v>103710</v>
    <v>Euronext Paris</v>
    <v>XPAR</v>
    <v>XPAR</v>
    <v>2, Boulevard du General Martial Valin, PARIS, ILE-DE-FRANCE, 75015 FR</v>
    <v>327.7</v>
    <v>Aerospace &amp; Defense</v>
    <v>Stock</v>
    <v>46085.614861111113</v>
    <v>0</v>
    <v>319.2</v>
    <v>136296700000</v>
    <v>Safran SA</v>
    <v>Safran SA</v>
    <v>321.60000000000002</v>
    <v>16.2271</v>
    <v>321.5</v>
    <v>326.10000000000002</v>
    <v>418344600</v>
    <v>SAF</v>
    <v>Safran SA (XPAR:SAF)</v>
    <v>211585</v>
    <v>552650</v>
    <v>1956</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_([$€-x-euro2] * #,##0.00_);_([$€-x-euro2] * (#,##0.00);_([$€-x-euro2] * "-"??_);_(@_)</rpv>
    </rSty>
    <rSty dxfid="5">
      <rpv i="0">#,##0.00</rpv>
    </rSty>
    <rSty>
      <rpv i="1">1</rpv>
    </rSty>
    <rSty dxfid="4">
      <rpv i="0">#,##0</rpv>
    </rSty>
    <rSty dxfid="3"/>
    <rSty dxfid="1">
      <rpv i="0">_([$€-x-euro2] * #,##0_);_([$€-x-euro2] * (#,##0);_([$€-x-euro2] *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0" dT="2026-01-04T14:41:06.20" personId="{40B2073E-DC1D-4000-AFDE-6EE87AC0E56B}" id="{37F240A7-FB46-4200-894A-744820E5BB7A}">
    <text>See p. 55 of 92 in cons. BS &amp; IS footnotes</text>
  </threadedComment>
</ThreadedComments>
</file>

<file path=xl/threadedComments/threadedComment2.xml><?xml version="1.0" encoding="utf-8"?>
<ThreadedComments xmlns="http://schemas.microsoft.com/office/spreadsheetml/2018/threadedcomments" xmlns:x="http://schemas.openxmlformats.org/spreadsheetml/2006/main">
  <threadedComment ref="V14" dT="2025-09-02T15:02:48.17" personId="{40B2073E-DC1D-4000-AFDE-6EE87AC0E56B}" id="{BC1DA2D3-4DB3-4ECA-86FE-F5F8D607B147}">
    <text>Zodiac Aerospace deliveries first 4 months</text>
  </threadedComment>
  <threadedComment ref="T32" dT="2025-09-02T15:27:55.78" personId="{40B2073E-DC1D-4000-AFDE-6EE87AC0E56B}" id="{4843ABAC-5F4C-4425-878F-3440AFC2B5F9}">
    <text>Recasted due to prior org structure</text>
  </threadedComment>
  <threadedComment ref="T78" dT="2025-09-02T15:35:24.28" personId="{40B2073E-DC1D-4000-AFDE-6EE87AC0E56B}" id="{43CBF7D3-559E-4AD7-AAFB-3AFF16E29A9F}">
    <text>Added 773 due to discontinued operations/disposal gain</text>
  </threadedComment>
  <threadedComment ref="AL78" dT="2025-09-02T05:54:01.52" personId="{40B2073E-DC1D-4000-AFDE-6EE87AC0E56B}" id="{08986981-5150-44AE-8452-690EED44282D}">
    <text>Subtracted Eur. 421 for discontinued disposal</text>
  </threadedComment>
  <threadedComment ref="AN78" dT="2025-09-02T05:54:01.52" personId="{40B2073E-DC1D-4000-AFDE-6EE87AC0E56B}" id="{0E6E36FA-81DC-4DE8-9D4F-98BC7F1CABE7}">
    <text>Subtracted Eur. 831 for discontinued disposal</text>
  </threadedComment>
  <threadedComment ref="T79" dT="2025-09-02T15:37:53.90" personId="{40B2073E-DC1D-4000-AFDE-6EE87AC0E56B}" id="{5B6FF176-DBFE-4480-A9D8-BFB4B0C7DD3D}">
    <text>Profits to owners of parent. Not included: discontinued operations</text>
  </threadedComment>
  <threadedComment ref="AN111" dT="2025-09-02T06:06:37.62" personId="{40B2073E-DC1D-4000-AFDE-6EE87AC0E56B}" id="{13FFB521-84E1-413C-BEFD-9F01652862D2}">
    <text>Also includes unrealized gains on available-for0sale financial assets</text>
  </threadedComment>
  <threadedComment ref="AL112" dT="2025-09-02T17:55:34.41" personId="{40B2073E-DC1D-4000-AFDE-6EE87AC0E56B}" id="{7768FAD9-FADE-459A-B6A4-6FC3991DF1EC}">
    <text>Added 41 million eur for available for sale financial assets</text>
  </threadedComment>
  <threadedComment ref="AL112" dT="2025-09-02T17:55:39.81" personId="{40B2073E-DC1D-4000-AFDE-6EE87AC0E56B}" id="{FEE671DC-E3AB-45F2-9DD0-1100104EA48E}" parentId="{7768FAD9-FADE-459A-B6A4-6FC3991DF1EC}">
    <text>Unrealized gains</text>
  </threadedComment>
  <threadedComment ref="AN140" dT="2025-09-02T06:16:48.55" personId="{40B2073E-DC1D-4000-AFDE-6EE87AC0E56B}" id="{2CAF7811-A9DB-4EC3-8C93-F3BF6D2BBD17}">
    <text>Incl. profit attibutable to noncontrolling</text>
  </threadedComment>
  <threadedComment ref="T141" dT="2025-09-02T15:47:20.49" personId="{40B2073E-DC1D-4000-AFDE-6EE87AC0E56B}" id="{2747DA48-3F80-4A88-9EF0-865E4DF1A0A5}">
    <text>Deducted loss from discontinued op’s and disposal gain</text>
  </threadedComment>
  <threadedComment ref="AN164" dT="2025-09-02T06:28:03.98" personId="{40B2073E-DC1D-4000-AFDE-6EE87AC0E56B}" id="{DEB219C1-5A3A-4E7A-BB5F-A1D984B11E27}">
    <text>Includes cash used in discontinued (14), CF used in financing activities of discontinueds (-52), cf used in discontinueds (-198), ForEx (-17)</text>
  </threadedComment>
  <threadedComment ref="AN167" dT="2025-09-02T06:29:43.00" personId="{40B2073E-DC1D-4000-AFDE-6EE87AC0E56B}" id="{0E20C36D-4D97-4D5C-A50D-B7E41FBA32B2}">
    <text xml:space="preserve">Also includes Eur. 180 for discontinueds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9762-30C3-4CB0-9F37-838A1BDE5E41}">
  <dimension ref="B2:F26"/>
  <sheetViews>
    <sheetView topLeftCell="A4" zoomScale="115" zoomScaleNormal="115" workbookViewId="0">
      <selection activeCell="C19" sqref="C19"/>
    </sheetView>
  </sheetViews>
  <sheetFormatPr defaultRowHeight="15" x14ac:dyDescent="0.25"/>
  <cols>
    <col min="1" max="1" width="9.140625" style="47"/>
    <col min="2" max="2" width="22" style="47" bestFit="1" customWidth="1"/>
    <col min="3" max="3" width="17.85546875" style="47" bestFit="1" customWidth="1"/>
    <col min="4" max="4" width="9.140625" style="47"/>
    <col min="5" max="5" width="19.7109375" style="47" bestFit="1" customWidth="1"/>
    <col min="6" max="16384" width="9.140625" style="47"/>
  </cols>
  <sheetData>
    <row r="2" spans="2:6" x14ac:dyDescent="0.25">
      <c r="B2" s="46" t="e" vm="1">
        <v>#VALUE!</v>
      </c>
    </row>
    <row r="3" spans="2:6" x14ac:dyDescent="0.25">
      <c r="B3" s="47" t="s">
        <v>0</v>
      </c>
      <c r="C3" s="48" cm="1">
        <f t="array" aca="1" ref="C3" ca="1">_FV(B2,"Price")</f>
        <v>326.10000000000002</v>
      </c>
      <c r="E3" s="47" t="s">
        <v>195</v>
      </c>
      <c r="F3" s="53" t="s">
        <v>196</v>
      </c>
    </row>
    <row r="4" spans="2:6" x14ac:dyDescent="0.25">
      <c r="B4" s="47" t="s">
        <v>199</v>
      </c>
      <c r="C4" s="49" cm="1">
        <f t="array" aca="1" ref="C4" ca="1">_FV(B2,"52 week high",TRUE)</f>
        <v>350.8</v>
      </c>
      <c r="F4" s="47" t="s">
        <v>197</v>
      </c>
    </row>
    <row r="5" spans="2:6" x14ac:dyDescent="0.25">
      <c r="B5" s="47" t="s">
        <v>200</v>
      </c>
      <c r="C5" s="49" cm="1">
        <f t="array" aca="1" ref="C5" ca="1">_FV(B2,"52 week low",TRUE)</f>
        <v>190.7</v>
      </c>
      <c r="F5" s="47" t="s">
        <v>198</v>
      </c>
    </row>
    <row r="6" spans="2:6" x14ac:dyDescent="0.25">
      <c r="B6" s="47" t="s">
        <v>2</v>
      </c>
      <c r="C6" s="50" cm="1">
        <f t="array" aca="1" ref="C6" ca="1">_FV(B2,"Shares outstanding",TRUE)/1000000</f>
        <v>418.34460000000001</v>
      </c>
      <c r="E6" s="47" t="s">
        <v>212</v>
      </c>
      <c r="F6" s="53" t="s">
        <v>213</v>
      </c>
    </row>
    <row r="7" spans="2:6" x14ac:dyDescent="0.25">
      <c r="B7" s="47" t="s">
        <v>1</v>
      </c>
      <c r="C7" s="51" cm="1">
        <f t="array" aca="1" ref="C7" ca="1">_FV(B2,"Market cap",TRUE)/1000000</f>
        <v>136296.70000000001</v>
      </c>
      <c r="F7" s="47" t="s">
        <v>214</v>
      </c>
    </row>
    <row r="8" spans="2:6" x14ac:dyDescent="0.25">
      <c r="B8" s="52" t="s">
        <v>201</v>
      </c>
      <c r="C8" s="51">
        <f>Sheet2!AJ105</f>
        <v>6707</v>
      </c>
      <c r="F8" s="47" t="s">
        <v>215</v>
      </c>
    </row>
    <row r="9" spans="2:6" x14ac:dyDescent="0.25">
      <c r="B9" s="52" t="s">
        <v>202</v>
      </c>
      <c r="C9" s="51">
        <f>Sheet2!AJ117+Sheet2!AJ123</f>
        <v>4838</v>
      </c>
      <c r="F9" s="47" t="s">
        <v>216</v>
      </c>
    </row>
    <row r="10" spans="2:6" x14ac:dyDescent="0.25">
      <c r="B10" s="52" t="s">
        <v>207</v>
      </c>
      <c r="C10" s="51"/>
      <c r="D10" s="47" t="s">
        <v>208</v>
      </c>
      <c r="E10" s="47" t="s">
        <v>217</v>
      </c>
      <c r="F10" s="53" t="s">
        <v>218</v>
      </c>
    </row>
    <row r="11" spans="2:6" x14ac:dyDescent="0.25">
      <c r="B11" s="53" t="s">
        <v>203</v>
      </c>
      <c r="C11" s="54">
        <f ca="1">C7-C8+C9+C10</f>
        <v>134427.70000000001</v>
      </c>
      <c r="F11" s="47" t="s">
        <v>219</v>
      </c>
    </row>
    <row r="12" spans="2:6" x14ac:dyDescent="0.25">
      <c r="B12" s="47" t="s">
        <v>204</v>
      </c>
      <c r="C12" s="49">
        <f>Sheet2!AJ51+Sheet2!AI51</f>
        <v>29039</v>
      </c>
    </row>
    <row r="13" spans="2:6" x14ac:dyDescent="0.25">
      <c r="B13" s="47" t="s">
        <v>162</v>
      </c>
      <c r="C13" s="49">
        <f>Sheet2!AJ78+Sheet2!AI78</f>
        <v>4431</v>
      </c>
    </row>
    <row r="14" spans="2:6" x14ac:dyDescent="0.25">
      <c r="B14" s="47" t="s">
        <v>163</v>
      </c>
      <c r="C14" s="49">
        <f ca="1">C13/C6</f>
        <v>10.591746612720708</v>
      </c>
    </row>
    <row r="15" spans="2:6" x14ac:dyDescent="0.25">
      <c r="B15" s="53" t="s">
        <v>164</v>
      </c>
      <c r="C15" s="55" cm="1">
        <f t="array" aca="1" ref="C15" ca="1">_FV(B2,"P/E",TRUE)</f>
        <v>16.2271</v>
      </c>
    </row>
    <row r="17" spans="2:3" x14ac:dyDescent="0.25">
      <c r="B17" s="47" t="s">
        <v>171</v>
      </c>
      <c r="C17" s="49">
        <f>Sheet2!AJ112</f>
        <v>13222</v>
      </c>
    </row>
    <row r="18" spans="2:3" x14ac:dyDescent="0.25">
      <c r="B18" s="47" t="s">
        <v>172</v>
      </c>
      <c r="C18" s="49">
        <f ca="1">C17/C6</f>
        <v>31.605523293476239</v>
      </c>
    </row>
    <row r="19" spans="2:3" x14ac:dyDescent="0.25">
      <c r="B19" s="47" t="s">
        <v>205</v>
      </c>
      <c r="C19" s="55">
        <f ca="1">C3/C18</f>
        <v>10.317816824988656</v>
      </c>
    </row>
    <row r="21" spans="2:3" x14ac:dyDescent="0.25">
      <c r="B21" s="47" t="s">
        <v>134</v>
      </c>
    </row>
    <row r="22" spans="2:3" x14ac:dyDescent="0.25">
      <c r="B22" s="47" t="s">
        <v>135</v>
      </c>
    </row>
    <row r="25" spans="2:3" x14ac:dyDescent="0.25">
      <c r="B25" s="47" t="s">
        <v>221</v>
      </c>
    </row>
    <row r="26" spans="2:3" x14ac:dyDescent="0.25">
      <c r="B26" s="47" t="s">
        <v>220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F659E-293B-4F3B-BB74-DF4EFA834F46}">
  <dimension ref="B2:C15"/>
  <sheetViews>
    <sheetView showGridLines="0" tabSelected="1" workbookViewId="0">
      <selection activeCell="G20" sqref="G20"/>
    </sheetView>
  </sheetViews>
  <sheetFormatPr defaultRowHeight="15" x14ac:dyDescent="0.25"/>
  <cols>
    <col min="2" max="2" width="19.85546875" bestFit="1" customWidth="1"/>
    <col min="3" max="3" width="12" bestFit="1" customWidth="1"/>
  </cols>
  <sheetData>
    <row r="2" spans="2:3" x14ac:dyDescent="0.25">
      <c r="C2" t="e" vm="1">
        <f>Main!B2</f>
        <v>#VALUE!</v>
      </c>
    </row>
    <row r="3" spans="2:3" x14ac:dyDescent="0.25">
      <c r="B3" t="s">
        <v>235</v>
      </c>
      <c r="C3" s="66">
        <f>Sheet2!AU70</f>
        <v>0.15124837638908933</v>
      </c>
    </row>
    <row r="4" spans="2:3" x14ac:dyDescent="0.25">
      <c r="B4" t="s">
        <v>225</v>
      </c>
      <c r="C4" s="66">
        <f>(Sheet2!AU69*(1-0.3))/AVERAGE(Sheet2!AU108,Sheet2!AT108)</f>
        <v>5.5638983693591194E-2</v>
      </c>
    </row>
    <row r="5" spans="2:3" x14ac:dyDescent="0.25">
      <c r="B5" t="s">
        <v>226</v>
      </c>
      <c r="C5" s="66">
        <f>Sheet2!AU79/AVERAGE(Sheet2!AU114,Sheet2!AT114)</f>
        <v>-5.8475430675492046E-2</v>
      </c>
    </row>
    <row r="6" spans="2:3" x14ac:dyDescent="0.25">
      <c r="B6" t="s">
        <v>14</v>
      </c>
      <c r="C6" s="68">
        <f>Sheet2!AU52</f>
        <v>27716</v>
      </c>
    </row>
    <row r="7" spans="2:3" x14ac:dyDescent="0.25">
      <c r="B7" t="s">
        <v>227</v>
      </c>
    </row>
    <row r="8" spans="2:3" x14ac:dyDescent="0.25">
      <c r="B8" t="s">
        <v>228</v>
      </c>
    </row>
    <row r="9" spans="2:3" x14ac:dyDescent="0.25">
      <c r="B9" t="s">
        <v>229</v>
      </c>
      <c r="C9" s="55">
        <f>(Sheet2!AJ123+Sheet2!AJ117)/Sheet2!AJ114</f>
        <v>0.35113949775003628</v>
      </c>
    </row>
    <row r="10" spans="2:3" x14ac:dyDescent="0.25">
      <c r="B10" t="s">
        <v>230</v>
      </c>
    </row>
    <row r="11" spans="2:3" x14ac:dyDescent="0.25">
      <c r="B11" s="65" t="s">
        <v>231</v>
      </c>
      <c r="C11" s="65"/>
    </row>
    <row r="12" spans="2:3" x14ac:dyDescent="0.25">
      <c r="B12" t="s">
        <v>1</v>
      </c>
    </row>
    <row r="13" spans="2:3" x14ac:dyDescent="0.25">
      <c r="B13" t="s">
        <v>232</v>
      </c>
    </row>
    <row r="14" spans="2:3" x14ac:dyDescent="0.25">
      <c r="B14" t="s">
        <v>233</v>
      </c>
    </row>
    <row r="15" spans="2:3" x14ac:dyDescent="0.25">
      <c r="B15" t="s">
        <v>234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D87E-A65A-4932-86CD-5A8043B1ACC6}">
  <dimension ref="B2:AV172"/>
  <sheetViews>
    <sheetView topLeftCell="B1" zoomScale="130" zoomScaleNormal="130" workbookViewId="0">
      <pane xSplit="2" ySplit="2" topLeftCell="AJ109" activePane="bottomRight" state="frozen"/>
      <selection activeCell="B1" sqref="B1"/>
      <selection pane="topRight" activeCell="C1" sqref="C1"/>
      <selection pane="bottomLeft" activeCell="B3" sqref="B3"/>
      <selection pane="bottomRight" activeCell="AT77" sqref="AT77"/>
    </sheetView>
  </sheetViews>
  <sheetFormatPr defaultRowHeight="12" x14ac:dyDescent="0.2"/>
  <cols>
    <col min="1" max="1" width="9.140625" style="1"/>
    <col min="2" max="2" width="2.140625" style="1" bestFit="1" customWidth="1"/>
    <col min="3" max="3" width="43.42578125" style="1" customWidth="1"/>
    <col min="4" max="16" width="9.140625" style="1"/>
    <col min="17" max="17" width="10.5703125" style="1" bestFit="1" customWidth="1"/>
    <col min="18" max="18" width="10.5703125" style="1" customWidth="1"/>
    <col min="19" max="19" width="4.5703125" style="1" customWidth="1"/>
    <col min="20" max="28" width="9.140625" style="1"/>
    <col min="29" max="29" width="10.5703125" style="1" customWidth="1"/>
    <col min="30" max="36" width="9.140625" style="1"/>
    <col min="37" max="37" width="8.5703125" style="1" customWidth="1"/>
    <col min="38" max="47" width="9.140625" style="1"/>
    <col min="48" max="48" width="7.5703125" style="1" bestFit="1" customWidth="1"/>
    <col min="49" max="16384" width="9.140625" style="1"/>
  </cols>
  <sheetData>
    <row r="2" spans="3:48" s="25" customFormat="1" x14ac:dyDescent="0.2">
      <c r="D2" s="25" t="s">
        <v>150</v>
      </c>
      <c r="E2" s="25" t="s">
        <v>151</v>
      </c>
      <c r="F2" s="25" t="s">
        <v>152</v>
      </c>
      <c r="G2" s="25" t="s">
        <v>153</v>
      </c>
      <c r="H2" s="25" t="s">
        <v>139</v>
      </c>
      <c r="I2" s="25" t="s">
        <v>140</v>
      </c>
      <c r="J2" s="25" t="s">
        <v>141</v>
      </c>
      <c r="K2" s="25" t="s">
        <v>142</v>
      </c>
      <c r="L2" s="25" t="s">
        <v>7</v>
      </c>
      <c r="M2" s="25" t="s">
        <v>8</v>
      </c>
      <c r="N2" s="25" t="s">
        <v>9</v>
      </c>
      <c r="O2" s="25" t="s">
        <v>10</v>
      </c>
      <c r="P2" s="25" t="s">
        <v>11</v>
      </c>
      <c r="Q2" s="25" t="s">
        <v>12</v>
      </c>
      <c r="R2" s="25" t="s">
        <v>194</v>
      </c>
      <c r="T2" s="25" t="s">
        <v>180</v>
      </c>
      <c r="U2" s="25" t="s">
        <v>184</v>
      </c>
      <c r="V2" s="25" t="s">
        <v>181</v>
      </c>
      <c r="W2" s="25" t="s">
        <v>183</v>
      </c>
      <c r="X2" s="25" t="s">
        <v>175</v>
      </c>
      <c r="Y2" s="25" t="s">
        <v>176</v>
      </c>
      <c r="Z2" s="25" t="s">
        <v>173</v>
      </c>
      <c r="AA2" s="25" t="s">
        <v>174</v>
      </c>
      <c r="AB2" s="25" t="s">
        <v>160</v>
      </c>
      <c r="AC2" s="25" t="s">
        <v>165</v>
      </c>
      <c r="AD2" s="25" t="s">
        <v>159</v>
      </c>
      <c r="AE2" s="25" t="s">
        <v>161</v>
      </c>
      <c r="AF2" s="25" t="s">
        <v>138</v>
      </c>
      <c r="AG2" s="25" t="s">
        <v>149</v>
      </c>
      <c r="AH2" s="25" t="s">
        <v>56</v>
      </c>
      <c r="AI2" s="25" t="s">
        <v>148</v>
      </c>
      <c r="AJ2" s="25" t="s">
        <v>30</v>
      </c>
      <c r="AL2" s="25" t="s">
        <v>185</v>
      </c>
      <c r="AM2" s="25" t="s">
        <v>179</v>
      </c>
      <c r="AN2" s="25" t="s">
        <v>178</v>
      </c>
      <c r="AO2" s="25" t="s">
        <v>177</v>
      </c>
      <c r="AP2" s="25" t="s">
        <v>166</v>
      </c>
      <c r="AQ2" s="25" t="s">
        <v>167</v>
      </c>
      <c r="AR2" s="25" t="s">
        <v>155</v>
      </c>
      <c r="AS2" s="25" t="s">
        <v>154</v>
      </c>
      <c r="AT2" s="25" t="s">
        <v>136</v>
      </c>
      <c r="AU2" s="25" t="s">
        <v>68</v>
      </c>
      <c r="AV2" s="39" t="s">
        <v>193</v>
      </c>
    </row>
    <row r="3" spans="3:48" x14ac:dyDescent="0.2">
      <c r="C3" s="3" t="s">
        <v>137</v>
      </c>
    </row>
    <row r="4" spans="3:48" x14ac:dyDescent="0.2">
      <c r="C4" s="1" t="s">
        <v>15</v>
      </c>
      <c r="D4" s="2">
        <v>239</v>
      </c>
      <c r="E4" s="16">
        <f t="shared" ref="E4:E18" si="0">AB4-D4</f>
        <v>160</v>
      </c>
      <c r="F4" s="2">
        <v>347</v>
      </c>
      <c r="G4" s="16">
        <f t="shared" ref="G4:G18" si="1">AE4-F4</f>
        <v>324</v>
      </c>
      <c r="H4" s="2">
        <v>366</v>
      </c>
      <c r="I4" s="16">
        <f t="shared" ref="I4:I18" si="2">AF4-H4</f>
        <v>419</v>
      </c>
      <c r="J4" s="2">
        <v>389</v>
      </c>
      <c r="K4" s="16">
        <f t="shared" ref="K4:K18" si="3">AG4-J4</f>
        <v>396</v>
      </c>
      <c r="L4" s="2">
        <v>387</v>
      </c>
      <c r="M4" s="15">
        <f t="shared" ref="M4:M18" si="4">AH4-L4</f>
        <v>277</v>
      </c>
      <c r="N4" s="2">
        <v>365</v>
      </c>
      <c r="O4" s="15">
        <f t="shared" ref="O4:O18" si="5">AU4-N4-M4-L4</f>
        <v>378</v>
      </c>
      <c r="P4" s="2">
        <v>319</v>
      </c>
      <c r="Q4" s="15">
        <f t="shared" ref="Q4:Q18" si="6">AJ4-P4</f>
        <v>345</v>
      </c>
      <c r="R4" s="2">
        <v>511</v>
      </c>
      <c r="T4" s="2">
        <v>147</v>
      </c>
      <c r="U4" s="16">
        <f t="shared" ref="U4:U20" si="7">AN4-T4</f>
        <v>312</v>
      </c>
      <c r="V4" s="2">
        <v>438</v>
      </c>
      <c r="W4" s="16">
        <f t="shared" ref="W4:W20" si="8">AO4-V4</f>
        <v>680</v>
      </c>
      <c r="X4" s="2">
        <v>861</v>
      </c>
      <c r="Y4" s="16">
        <f t="shared" ref="Y4:Y20" si="9">AP4-X4</f>
        <v>875</v>
      </c>
      <c r="Z4" s="2">
        <v>450</v>
      </c>
      <c r="AA4" s="16">
        <f t="shared" ref="AA4:AA20" si="10">AQ4-Z4</f>
        <v>365</v>
      </c>
      <c r="AB4" s="2">
        <v>399</v>
      </c>
      <c r="AC4" s="16">
        <f t="shared" ref="AC4:AC18" si="11">AR4-AB4</f>
        <v>446</v>
      </c>
      <c r="AD4" s="2">
        <v>465</v>
      </c>
      <c r="AE4" s="16">
        <f t="shared" ref="AE4:AE18" si="12">AS4-AD4</f>
        <v>671</v>
      </c>
      <c r="AF4" s="2">
        <v>785</v>
      </c>
      <c r="AG4" s="16">
        <f t="shared" ref="AG4:AG18" si="13">AT4-AF4</f>
        <v>785</v>
      </c>
      <c r="AH4" s="2">
        <v>664</v>
      </c>
      <c r="AI4" s="16">
        <f t="shared" ref="AI4:AI18" si="14">AU4-AH4</f>
        <v>743</v>
      </c>
      <c r="AJ4" s="2">
        <v>664</v>
      </c>
      <c r="AK4" s="2"/>
      <c r="AL4" s="18">
        <v>0</v>
      </c>
      <c r="AM4" s="18">
        <v>77</v>
      </c>
      <c r="AN4" s="18">
        <v>459</v>
      </c>
      <c r="AO4" s="18">
        <v>1118</v>
      </c>
      <c r="AP4" s="18">
        <v>1736</v>
      </c>
      <c r="AQ4" s="18">
        <v>815</v>
      </c>
      <c r="AR4" s="18">
        <v>845</v>
      </c>
      <c r="AS4" s="18">
        <v>1136</v>
      </c>
      <c r="AT4" s="2">
        <v>1570</v>
      </c>
      <c r="AU4" s="2">
        <v>1407</v>
      </c>
    </row>
    <row r="5" spans="3:48" x14ac:dyDescent="0.2">
      <c r="C5" s="1" t="s">
        <v>16</v>
      </c>
      <c r="D5" s="2">
        <v>15</v>
      </c>
      <c r="E5" s="16">
        <f t="shared" si="0"/>
        <v>34</v>
      </c>
      <c r="F5" s="2">
        <v>17</v>
      </c>
      <c r="G5" s="16">
        <f t="shared" si="1"/>
        <v>16</v>
      </c>
      <c r="H5" s="2">
        <v>15</v>
      </c>
      <c r="I5" s="16">
        <f t="shared" si="2"/>
        <v>9</v>
      </c>
      <c r="J5" s="2">
        <v>14</v>
      </c>
      <c r="K5" s="16">
        <f t="shared" si="3"/>
        <v>14</v>
      </c>
      <c r="L5" s="2">
        <v>12</v>
      </c>
      <c r="M5" s="15">
        <f t="shared" si="4"/>
        <v>16</v>
      </c>
      <c r="N5" s="2">
        <v>13</v>
      </c>
      <c r="O5" s="15">
        <f t="shared" si="5"/>
        <v>19</v>
      </c>
      <c r="P5" s="2">
        <v>12</v>
      </c>
      <c r="Q5" s="15">
        <f t="shared" si="6"/>
        <v>16</v>
      </c>
      <c r="R5" s="2">
        <v>15</v>
      </c>
      <c r="T5" s="2">
        <v>710</v>
      </c>
      <c r="U5" s="16">
        <f t="shared" si="7"/>
        <v>734</v>
      </c>
      <c r="V5" s="2">
        <v>591</v>
      </c>
      <c r="W5" s="16">
        <f t="shared" si="8"/>
        <v>453</v>
      </c>
      <c r="X5" s="2">
        <v>258</v>
      </c>
      <c r="Y5" s="16">
        <f t="shared" si="9"/>
        <v>133</v>
      </c>
      <c r="Z5" s="2">
        <v>84</v>
      </c>
      <c r="AA5" s="16">
        <f t="shared" si="10"/>
        <v>73</v>
      </c>
      <c r="AB5" s="2">
        <v>49</v>
      </c>
      <c r="AC5" s="16">
        <f t="shared" si="11"/>
        <v>58</v>
      </c>
      <c r="AD5" s="2">
        <v>27</v>
      </c>
      <c r="AE5" s="16">
        <f t="shared" si="12"/>
        <v>33</v>
      </c>
      <c r="AF5" s="2">
        <v>24</v>
      </c>
      <c r="AG5" s="16">
        <f t="shared" si="13"/>
        <v>28</v>
      </c>
      <c r="AH5" s="2">
        <v>28</v>
      </c>
      <c r="AI5" s="16">
        <f t="shared" si="14"/>
        <v>32</v>
      </c>
      <c r="AJ5" s="2">
        <v>28</v>
      </c>
      <c r="AK5" s="2"/>
      <c r="AL5" s="18">
        <v>1612</v>
      </c>
      <c r="AM5" s="18">
        <v>1693</v>
      </c>
      <c r="AN5" s="18">
        <v>1444</v>
      </c>
      <c r="AO5" s="18">
        <v>1044</v>
      </c>
      <c r="AP5" s="18">
        <v>391</v>
      </c>
      <c r="AQ5" s="18">
        <v>157</v>
      </c>
      <c r="AR5" s="18">
        <v>107</v>
      </c>
      <c r="AS5" s="18">
        <v>60</v>
      </c>
      <c r="AT5" s="2">
        <v>52</v>
      </c>
      <c r="AU5" s="2">
        <v>60</v>
      </c>
    </row>
    <row r="6" spans="3:48" x14ac:dyDescent="0.2">
      <c r="C6" s="1" t="s">
        <v>17</v>
      </c>
      <c r="D6" s="2">
        <v>48</v>
      </c>
      <c r="E6" s="16">
        <f t="shared" si="0"/>
        <v>90</v>
      </c>
      <c r="F6" s="2">
        <v>40</v>
      </c>
      <c r="G6" s="16">
        <f t="shared" si="1"/>
        <v>50</v>
      </c>
      <c r="H6" s="2">
        <v>37</v>
      </c>
      <c r="I6" s="16">
        <f t="shared" si="2"/>
        <v>46</v>
      </c>
      <c r="J6" s="2">
        <v>58</v>
      </c>
      <c r="K6" s="16">
        <f t="shared" si="3"/>
        <v>49</v>
      </c>
      <c r="L6" s="2">
        <v>56</v>
      </c>
      <c r="M6" s="15">
        <f t="shared" si="4"/>
        <v>35</v>
      </c>
      <c r="N6" s="2">
        <v>51</v>
      </c>
      <c r="O6" s="15">
        <f t="shared" si="5"/>
        <v>53</v>
      </c>
      <c r="P6" s="2">
        <v>48</v>
      </c>
      <c r="Q6" s="15">
        <f t="shared" si="6"/>
        <v>43</v>
      </c>
      <c r="R6" s="2">
        <v>55</v>
      </c>
      <c r="T6" s="2">
        <v>256</v>
      </c>
      <c r="U6" s="16">
        <f t="shared" si="7"/>
        <v>230</v>
      </c>
      <c r="V6" s="2">
        <v>201</v>
      </c>
      <c r="W6" s="16">
        <f t="shared" si="8"/>
        <v>234</v>
      </c>
      <c r="X6" s="2">
        <v>234</v>
      </c>
      <c r="Y6" s="16">
        <f t="shared" si="9"/>
        <v>255</v>
      </c>
      <c r="Z6" s="2">
        <v>197</v>
      </c>
      <c r="AA6" s="16">
        <f t="shared" si="10"/>
        <v>172</v>
      </c>
      <c r="AB6" s="2">
        <v>138</v>
      </c>
      <c r="AC6" s="16">
        <f t="shared" si="11"/>
        <v>97</v>
      </c>
      <c r="AD6" s="2">
        <v>91</v>
      </c>
      <c r="AE6" s="16">
        <f t="shared" si="12"/>
        <v>90</v>
      </c>
      <c r="AF6" s="2">
        <v>83</v>
      </c>
      <c r="AG6" s="16">
        <f t="shared" si="13"/>
        <v>107</v>
      </c>
      <c r="AH6" s="2">
        <v>91</v>
      </c>
      <c r="AI6" s="16">
        <f t="shared" si="14"/>
        <v>104</v>
      </c>
      <c r="AJ6" s="2">
        <v>91</v>
      </c>
      <c r="AK6" s="2"/>
      <c r="AL6" s="18">
        <v>695</v>
      </c>
      <c r="AM6" s="18">
        <v>686</v>
      </c>
      <c r="AN6" s="18">
        <v>486</v>
      </c>
      <c r="AO6" s="18">
        <v>435</v>
      </c>
      <c r="AP6" s="18">
        <v>489</v>
      </c>
      <c r="AQ6" s="18">
        <v>369</v>
      </c>
      <c r="AR6" s="18">
        <v>235</v>
      </c>
      <c r="AS6" s="18">
        <v>181</v>
      </c>
      <c r="AT6" s="2">
        <v>190</v>
      </c>
      <c r="AU6" s="2">
        <v>195</v>
      </c>
    </row>
    <row r="7" spans="3:48" x14ac:dyDescent="0.2">
      <c r="C7" s="1" t="s">
        <v>18</v>
      </c>
      <c r="D7" s="2">
        <v>110</v>
      </c>
      <c r="E7" s="16">
        <f t="shared" si="0"/>
        <v>174</v>
      </c>
      <c r="F7" s="2">
        <v>128</v>
      </c>
      <c r="G7" s="16">
        <f t="shared" si="1"/>
        <v>153</v>
      </c>
      <c r="H7" s="2">
        <v>136</v>
      </c>
      <c r="I7" s="16">
        <f t="shared" si="2"/>
        <v>138</v>
      </c>
      <c r="J7" s="2">
        <v>140</v>
      </c>
      <c r="K7" s="16">
        <f t="shared" si="3"/>
        <v>174</v>
      </c>
      <c r="L7" s="2">
        <v>136</v>
      </c>
      <c r="M7" s="15">
        <f t="shared" si="4"/>
        <v>169</v>
      </c>
      <c r="N7" s="2">
        <v>181</v>
      </c>
      <c r="O7" s="15">
        <f t="shared" si="5"/>
        <v>196</v>
      </c>
      <c r="P7" s="2">
        <v>153</v>
      </c>
      <c r="Q7" s="15">
        <f t="shared" si="6"/>
        <v>152</v>
      </c>
      <c r="R7" s="2">
        <v>192</v>
      </c>
      <c r="T7" s="2">
        <v>314</v>
      </c>
      <c r="U7" s="16">
        <f t="shared" si="7"/>
        <v>358</v>
      </c>
      <c r="V7" s="2">
        <v>335</v>
      </c>
      <c r="W7" s="16">
        <f t="shared" si="8"/>
        <v>438</v>
      </c>
      <c r="X7" s="2">
        <v>335</v>
      </c>
      <c r="Y7" s="16">
        <f t="shared" si="9"/>
        <v>361</v>
      </c>
      <c r="Z7" s="2">
        <v>275</v>
      </c>
      <c r="AA7" s="16">
        <f t="shared" si="10"/>
        <v>354</v>
      </c>
      <c r="AB7" s="2">
        <v>284</v>
      </c>
      <c r="AC7" s="16">
        <f t="shared" si="11"/>
        <v>290</v>
      </c>
      <c r="AD7" s="2">
        <v>227</v>
      </c>
      <c r="AE7" s="16">
        <f t="shared" si="12"/>
        <v>281</v>
      </c>
      <c r="AF7" s="2">
        <v>274</v>
      </c>
      <c r="AG7" s="16">
        <f t="shared" si="13"/>
        <v>314</v>
      </c>
      <c r="AH7" s="2">
        <v>305</v>
      </c>
      <c r="AI7" s="16">
        <f t="shared" si="14"/>
        <v>377</v>
      </c>
      <c r="AJ7" s="2">
        <v>305</v>
      </c>
      <c r="AK7" s="2"/>
      <c r="AL7" s="18">
        <v>625</v>
      </c>
      <c r="AM7" s="18">
        <v>714</v>
      </c>
      <c r="AN7" s="18">
        <v>672</v>
      </c>
      <c r="AO7" s="18">
        <v>773</v>
      </c>
      <c r="AP7" s="18">
        <v>696</v>
      </c>
      <c r="AQ7" s="18">
        <v>629</v>
      </c>
      <c r="AR7" s="18">
        <v>574</v>
      </c>
      <c r="AS7" s="18">
        <v>508</v>
      </c>
      <c r="AT7" s="2">
        <v>588</v>
      </c>
      <c r="AU7" s="2">
        <v>682</v>
      </c>
    </row>
    <row r="8" spans="3:48" x14ac:dyDescent="0.2">
      <c r="C8" s="1" t="s">
        <v>19</v>
      </c>
      <c r="D8" s="2">
        <v>12</v>
      </c>
      <c r="E8" s="16">
        <f t="shared" si="0"/>
        <v>19</v>
      </c>
      <c r="F8" s="2">
        <v>9</v>
      </c>
      <c r="G8" s="16">
        <f t="shared" si="1"/>
        <v>22</v>
      </c>
      <c r="H8" s="2">
        <v>17</v>
      </c>
      <c r="I8" s="16">
        <f t="shared" si="2"/>
        <v>14</v>
      </c>
      <c r="J8" s="2">
        <v>8</v>
      </c>
      <c r="K8" s="16">
        <f t="shared" si="3"/>
        <v>3</v>
      </c>
      <c r="L8" s="2">
        <v>8</v>
      </c>
      <c r="M8" s="15">
        <f t="shared" si="4"/>
        <v>6</v>
      </c>
      <c r="N8" s="2">
        <v>10</v>
      </c>
      <c r="O8" s="15">
        <f t="shared" si="5"/>
        <v>16</v>
      </c>
      <c r="P8" s="2">
        <v>2</v>
      </c>
      <c r="Q8" s="15">
        <f t="shared" si="6"/>
        <v>12</v>
      </c>
      <c r="R8" s="2">
        <v>7</v>
      </c>
      <c r="T8" s="2">
        <v>12</v>
      </c>
      <c r="U8" s="16">
        <f t="shared" si="7"/>
        <v>21</v>
      </c>
      <c r="V8" s="2">
        <v>4</v>
      </c>
      <c r="W8" s="16">
        <f t="shared" si="8"/>
        <v>19</v>
      </c>
      <c r="X8" s="2">
        <v>22</v>
      </c>
      <c r="Y8" s="16">
        <f t="shared" si="9"/>
        <v>40</v>
      </c>
      <c r="Z8" s="2">
        <v>19</v>
      </c>
      <c r="AA8" s="16">
        <f t="shared" si="10"/>
        <v>14</v>
      </c>
      <c r="AB8" s="2">
        <v>31</v>
      </c>
      <c r="AC8" s="16">
        <f t="shared" si="11"/>
        <v>33</v>
      </c>
      <c r="AD8" s="2">
        <v>20</v>
      </c>
      <c r="AE8" s="16">
        <f t="shared" si="12"/>
        <v>31</v>
      </c>
      <c r="AF8" s="2">
        <v>31</v>
      </c>
      <c r="AG8" s="16">
        <f t="shared" si="13"/>
        <v>11</v>
      </c>
      <c r="AH8" s="2">
        <v>14</v>
      </c>
      <c r="AI8" s="16">
        <f t="shared" si="14"/>
        <v>26</v>
      </c>
      <c r="AJ8" s="2">
        <v>14</v>
      </c>
      <c r="AK8" s="2"/>
      <c r="AL8" s="18">
        <v>12</v>
      </c>
      <c r="AM8" s="18">
        <v>11</v>
      </c>
      <c r="AN8" s="18">
        <v>33</v>
      </c>
      <c r="AO8" s="18">
        <v>23</v>
      </c>
      <c r="AP8" s="18">
        <v>62</v>
      </c>
      <c r="AQ8" s="18">
        <v>33</v>
      </c>
      <c r="AR8" s="18">
        <v>64</v>
      </c>
      <c r="AS8" s="18">
        <v>51</v>
      </c>
      <c r="AT8" s="2">
        <v>42</v>
      </c>
      <c r="AU8" s="2">
        <v>40</v>
      </c>
    </row>
    <row r="9" spans="3:48" x14ac:dyDescent="0.2">
      <c r="C9" s="1" t="s">
        <v>20</v>
      </c>
      <c r="D9" s="2">
        <v>141</v>
      </c>
      <c r="E9" s="16">
        <f t="shared" si="0"/>
        <v>123</v>
      </c>
      <c r="F9" s="2">
        <v>153</v>
      </c>
      <c r="G9" s="16">
        <f t="shared" si="1"/>
        <v>151</v>
      </c>
      <c r="H9" s="2">
        <v>135</v>
      </c>
      <c r="I9" s="16">
        <f t="shared" si="2"/>
        <v>140</v>
      </c>
      <c r="J9" s="2">
        <v>153</v>
      </c>
      <c r="K9" s="16">
        <f t="shared" si="3"/>
        <v>151</v>
      </c>
      <c r="L9" s="2">
        <v>135</v>
      </c>
      <c r="M9" s="15">
        <f t="shared" si="4"/>
        <v>162</v>
      </c>
      <c r="N9" s="2">
        <v>142</v>
      </c>
      <c r="O9" s="15">
        <f t="shared" si="5"/>
        <v>183</v>
      </c>
      <c r="P9" s="2">
        <v>155</v>
      </c>
      <c r="Q9" s="15">
        <f t="shared" si="6"/>
        <v>142</v>
      </c>
      <c r="R9" s="2">
        <v>166</v>
      </c>
      <c r="T9" s="2">
        <v>263</v>
      </c>
      <c r="U9" s="16">
        <f t="shared" si="7"/>
        <v>-28</v>
      </c>
      <c r="V9" s="2">
        <v>176</v>
      </c>
      <c r="W9" s="16">
        <f t="shared" si="8"/>
        <v>262</v>
      </c>
      <c r="X9" s="2">
        <v>280</v>
      </c>
      <c r="Y9" s="16">
        <f t="shared" si="9"/>
        <v>322</v>
      </c>
      <c r="Z9" s="2">
        <v>248</v>
      </c>
      <c r="AA9" s="16">
        <f t="shared" si="10"/>
        <v>226</v>
      </c>
      <c r="AB9" s="2">
        <v>264</v>
      </c>
      <c r="AC9" s="16">
        <f t="shared" si="11"/>
        <v>312</v>
      </c>
      <c r="AD9" s="2">
        <v>284</v>
      </c>
      <c r="AE9" s="16">
        <f t="shared" si="12"/>
        <v>304</v>
      </c>
      <c r="AF9" s="2">
        <v>275</v>
      </c>
      <c r="AG9" s="16">
        <f t="shared" si="13"/>
        <v>304</v>
      </c>
      <c r="AH9" s="2">
        <v>297</v>
      </c>
      <c r="AI9" s="16">
        <f t="shared" si="14"/>
        <v>325</v>
      </c>
      <c r="AJ9" s="2">
        <v>297</v>
      </c>
      <c r="AK9" s="2"/>
      <c r="AL9" s="18">
        <v>0</v>
      </c>
      <c r="AM9" s="18">
        <v>0</v>
      </c>
      <c r="AN9" s="18">
        <v>235</v>
      </c>
      <c r="AO9" s="18">
        <v>438</v>
      </c>
      <c r="AP9" s="18">
        <v>602</v>
      </c>
      <c r="AQ9" s="18">
        <v>474</v>
      </c>
      <c r="AR9" s="18">
        <v>576</v>
      </c>
      <c r="AS9" s="18">
        <v>588</v>
      </c>
      <c r="AT9" s="2">
        <v>579</v>
      </c>
      <c r="AU9" s="2">
        <v>622</v>
      </c>
    </row>
    <row r="10" spans="3:48" x14ac:dyDescent="0.2">
      <c r="C10" s="1" t="s">
        <v>21</v>
      </c>
      <c r="D10" s="24">
        <v>346</v>
      </c>
      <c r="E10" s="26">
        <f t="shared" si="0"/>
        <v>-346</v>
      </c>
      <c r="F10" s="24">
        <v>8</v>
      </c>
      <c r="G10" s="26">
        <f t="shared" si="1"/>
        <v>-8</v>
      </c>
      <c r="H10" s="2">
        <v>126</v>
      </c>
      <c r="I10" s="16">
        <f t="shared" si="2"/>
        <v>145</v>
      </c>
      <c r="J10" s="2">
        <v>126</v>
      </c>
      <c r="K10" s="16">
        <f t="shared" si="3"/>
        <v>184</v>
      </c>
      <c r="L10" s="2">
        <v>167</v>
      </c>
      <c r="M10" s="15">
        <f t="shared" si="4"/>
        <v>137</v>
      </c>
      <c r="N10" s="2">
        <v>159</v>
      </c>
      <c r="O10" s="15">
        <f t="shared" si="5"/>
        <v>138</v>
      </c>
      <c r="P10" s="2">
        <v>171</v>
      </c>
      <c r="Q10" s="15">
        <f t="shared" si="6"/>
        <v>133</v>
      </c>
      <c r="R10" s="2">
        <v>186</v>
      </c>
      <c r="T10" s="2"/>
      <c r="U10" s="16">
        <f t="shared" si="7"/>
        <v>0</v>
      </c>
      <c r="V10" s="2"/>
      <c r="W10" s="16">
        <f t="shared" si="8"/>
        <v>0</v>
      </c>
      <c r="X10" s="2">
        <v>0</v>
      </c>
      <c r="Y10" s="16">
        <f t="shared" si="9"/>
        <v>0</v>
      </c>
      <c r="Z10" s="2">
        <v>0</v>
      </c>
      <c r="AA10" s="16">
        <f t="shared" si="10"/>
        <v>0</v>
      </c>
      <c r="AB10" s="2">
        <v>0</v>
      </c>
      <c r="AC10" s="16">
        <f t="shared" si="11"/>
        <v>0</v>
      </c>
      <c r="AD10" s="2">
        <v>0</v>
      </c>
      <c r="AE10" s="16">
        <f t="shared" si="12"/>
        <v>0</v>
      </c>
      <c r="AF10" s="2">
        <v>271</v>
      </c>
      <c r="AG10" s="16">
        <f t="shared" si="13"/>
        <v>310</v>
      </c>
      <c r="AH10" s="2">
        <v>304</v>
      </c>
      <c r="AI10" s="16">
        <f t="shared" si="14"/>
        <v>297</v>
      </c>
      <c r="AJ10" s="2">
        <v>304</v>
      </c>
      <c r="AK10" s="2"/>
      <c r="AL10" s="18">
        <v>0</v>
      </c>
      <c r="AM10" s="18">
        <v>0</v>
      </c>
      <c r="AN10" s="18">
        <v>0</v>
      </c>
      <c r="AO10" s="18">
        <v>0</v>
      </c>
      <c r="AP10" s="18">
        <v>0</v>
      </c>
      <c r="AQ10" s="18">
        <v>0</v>
      </c>
      <c r="AR10" s="18">
        <v>0</v>
      </c>
      <c r="AS10" s="18">
        <v>0</v>
      </c>
      <c r="AT10" s="2">
        <v>581</v>
      </c>
      <c r="AU10" s="2">
        <v>601</v>
      </c>
    </row>
    <row r="11" spans="3:48" x14ac:dyDescent="0.2">
      <c r="C11" s="1" t="s">
        <v>22</v>
      </c>
      <c r="D11" s="2">
        <v>1106</v>
      </c>
      <c r="E11" s="16">
        <f t="shared" si="0"/>
        <v>602</v>
      </c>
      <c r="F11" s="2">
        <v>1335</v>
      </c>
      <c r="G11" s="16">
        <f t="shared" si="1"/>
        <v>1039</v>
      </c>
      <c r="H11" s="2">
        <v>779</v>
      </c>
      <c r="I11" s="16">
        <f t="shared" si="2"/>
        <v>678</v>
      </c>
      <c r="J11" s="2">
        <v>1165</v>
      </c>
      <c r="K11" s="16">
        <f t="shared" si="3"/>
        <v>1328</v>
      </c>
      <c r="L11" s="2">
        <v>1080</v>
      </c>
      <c r="M11" s="15">
        <f t="shared" si="4"/>
        <v>882</v>
      </c>
      <c r="N11" s="2">
        <v>1256</v>
      </c>
      <c r="O11" s="15">
        <f t="shared" si="5"/>
        <v>1223</v>
      </c>
      <c r="P11" s="2">
        <v>1186</v>
      </c>
      <c r="Q11" s="15">
        <f t="shared" si="6"/>
        <v>776</v>
      </c>
      <c r="R11" s="2">
        <v>1186</v>
      </c>
      <c r="T11" s="2"/>
      <c r="U11" s="16">
        <f t="shared" si="7"/>
        <v>0</v>
      </c>
      <c r="V11" s="2">
        <v>1296</v>
      </c>
      <c r="W11" s="16">
        <f t="shared" si="8"/>
        <v>2330</v>
      </c>
      <c r="X11" s="2">
        <v>2398</v>
      </c>
      <c r="Y11" s="16">
        <f t="shared" si="9"/>
        <v>2523</v>
      </c>
      <c r="Z11" s="2">
        <v>1524</v>
      </c>
      <c r="AA11" s="16">
        <f t="shared" si="10"/>
        <v>1425</v>
      </c>
      <c r="AB11" s="2">
        <v>1708</v>
      </c>
      <c r="AC11" s="16">
        <f t="shared" si="11"/>
        <v>1890</v>
      </c>
      <c r="AD11" s="2">
        <v>2080</v>
      </c>
      <c r="AE11" s="16">
        <f t="shared" si="12"/>
        <v>2374</v>
      </c>
      <c r="AF11" s="2">
        <v>1457</v>
      </c>
      <c r="AG11" s="16">
        <f t="shared" si="13"/>
        <v>2493</v>
      </c>
      <c r="AH11" s="2">
        <v>1962</v>
      </c>
      <c r="AI11" s="16">
        <f t="shared" si="14"/>
        <v>2479</v>
      </c>
      <c r="AJ11" s="2">
        <v>1962</v>
      </c>
      <c r="AK11" s="2"/>
      <c r="AL11" s="18">
        <v>0</v>
      </c>
      <c r="AM11" s="18">
        <v>0</v>
      </c>
      <c r="AN11" s="18">
        <v>0</v>
      </c>
      <c r="AO11" s="24">
        <v>3626</v>
      </c>
      <c r="AP11" s="18">
        <v>4921</v>
      </c>
      <c r="AQ11" s="18">
        <v>2949</v>
      </c>
      <c r="AR11" s="18">
        <v>3598</v>
      </c>
      <c r="AS11" s="18">
        <v>4454</v>
      </c>
      <c r="AT11" s="2">
        <v>3950</v>
      </c>
      <c r="AU11" s="2">
        <v>4441</v>
      </c>
    </row>
    <row r="12" spans="3:48" x14ac:dyDescent="0.2">
      <c r="C12" s="1" t="s">
        <v>23</v>
      </c>
      <c r="D12" s="2">
        <v>12</v>
      </c>
      <c r="E12" s="16">
        <f t="shared" si="0"/>
        <v>-6</v>
      </c>
      <c r="F12" s="2">
        <v>10</v>
      </c>
      <c r="G12" s="16">
        <f t="shared" si="1"/>
        <v>550</v>
      </c>
      <c r="H12" s="2">
        <v>8</v>
      </c>
      <c r="I12" s="16">
        <f t="shared" si="2"/>
        <v>18</v>
      </c>
      <c r="J12" s="2">
        <v>12</v>
      </c>
      <c r="K12" s="16">
        <f t="shared" si="3"/>
        <v>16</v>
      </c>
      <c r="L12" s="2">
        <v>16</v>
      </c>
      <c r="M12" s="15">
        <f t="shared" si="4"/>
        <v>13</v>
      </c>
      <c r="N12" s="2">
        <v>13</v>
      </c>
      <c r="O12" s="15">
        <f t="shared" si="5"/>
        <v>20</v>
      </c>
      <c r="P12" s="2">
        <v>20</v>
      </c>
      <c r="Q12" s="15">
        <f t="shared" si="6"/>
        <v>9</v>
      </c>
      <c r="R12" s="2">
        <v>14</v>
      </c>
      <c r="T12" s="2"/>
      <c r="U12" s="16">
        <f t="shared" si="7"/>
        <v>0</v>
      </c>
      <c r="V12" s="2"/>
      <c r="W12" s="16">
        <f t="shared" si="8"/>
        <v>0</v>
      </c>
      <c r="X12" s="2">
        <v>51</v>
      </c>
      <c r="Y12" s="16">
        <f t="shared" si="9"/>
        <v>41</v>
      </c>
      <c r="Z12" s="2">
        <v>20</v>
      </c>
      <c r="AA12" s="16">
        <f t="shared" si="10"/>
        <v>16</v>
      </c>
      <c r="AB12" s="2">
        <v>6</v>
      </c>
      <c r="AC12" s="16">
        <f t="shared" si="11"/>
        <v>14</v>
      </c>
      <c r="AD12" s="2">
        <v>28</v>
      </c>
      <c r="AE12" s="16">
        <f t="shared" si="12"/>
        <v>560</v>
      </c>
      <c r="AF12" s="2">
        <v>26</v>
      </c>
      <c r="AG12" s="16">
        <f t="shared" si="13"/>
        <v>28</v>
      </c>
      <c r="AH12" s="2">
        <v>29</v>
      </c>
      <c r="AI12" s="16">
        <f t="shared" si="14"/>
        <v>33</v>
      </c>
      <c r="AJ12" s="2">
        <v>29</v>
      </c>
      <c r="AK12" s="2"/>
      <c r="AL12" s="18">
        <v>0</v>
      </c>
      <c r="AM12" s="18">
        <v>65</v>
      </c>
      <c r="AN12" s="18">
        <v>0</v>
      </c>
      <c r="AO12" s="18">
        <v>0</v>
      </c>
      <c r="AP12" s="18">
        <v>92</v>
      </c>
      <c r="AQ12" s="18">
        <v>36</v>
      </c>
      <c r="AR12" s="18">
        <v>20</v>
      </c>
      <c r="AS12" s="18">
        <v>588</v>
      </c>
      <c r="AT12" s="2">
        <v>54</v>
      </c>
      <c r="AU12" s="2">
        <v>62</v>
      </c>
    </row>
    <row r="13" spans="3:48" x14ac:dyDescent="0.2">
      <c r="C13" s="1" t="s">
        <v>24</v>
      </c>
      <c r="D13" s="2">
        <v>10</v>
      </c>
      <c r="E13" s="16">
        <f t="shared" si="0"/>
        <v>10</v>
      </c>
      <c r="F13" s="2">
        <v>8</v>
      </c>
      <c r="G13" s="16">
        <f t="shared" si="1"/>
        <v>12</v>
      </c>
      <c r="H13" s="2">
        <v>12</v>
      </c>
      <c r="I13" s="16">
        <f t="shared" si="2"/>
        <v>11</v>
      </c>
      <c r="J13" s="2">
        <v>11</v>
      </c>
      <c r="K13" s="16">
        <f t="shared" si="3"/>
        <v>12</v>
      </c>
      <c r="L13" s="2">
        <v>15</v>
      </c>
      <c r="M13" s="15">
        <f t="shared" si="4"/>
        <v>11</v>
      </c>
      <c r="N13" s="2">
        <v>11</v>
      </c>
      <c r="O13" s="15">
        <f t="shared" si="5"/>
        <v>11</v>
      </c>
      <c r="P13" s="2">
        <v>13</v>
      </c>
      <c r="Q13" s="15">
        <f t="shared" si="6"/>
        <v>13</v>
      </c>
      <c r="R13" s="2">
        <v>9</v>
      </c>
      <c r="T13" s="2">
        <v>43</v>
      </c>
      <c r="U13" s="16">
        <f t="shared" si="7"/>
        <v>38</v>
      </c>
      <c r="V13" s="2">
        <v>40</v>
      </c>
      <c r="W13" s="16">
        <f t="shared" si="8"/>
        <v>40</v>
      </c>
      <c r="X13" s="2">
        <v>41</v>
      </c>
      <c r="Y13" s="16">
        <f t="shared" si="9"/>
        <v>41</v>
      </c>
      <c r="Z13" s="2">
        <v>26</v>
      </c>
      <c r="AA13" s="16">
        <f t="shared" si="10"/>
        <v>26</v>
      </c>
      <c r="AB13" s="2">
        <v>20</v>
      </c>
      <c r="AC13" s="16">
        <f t="shared" si="11"/>
        <v>19</v>
      </c>
      <c r="AD13" s="2">
        <v>23</v>
      </c>
      <c r="AE13" s="16">
        <f t="shared" si="12"/>
        <v>20</v>
      </c>
      <c r="AF13" s="2">
        <v>23</v>
      </c>
      <c r="AG13" s="16">
        <f t="shared" si="13"/>
        <v>23</v>
      </c>
      <c r="AH13" s="2">
        <v>26</v>
      </c>
      <c r="AI13" s="16">
        <f t="shared" si="14"/>
        <v>22</v>
      </c>
      <c r="AJ13" s="2">
        <v>26</v>
      </c>
      <c r="AK13" s="2"/>
      <c r="AL13" s="18">
        <v>0</v>
      </c>
      <c r="AM13" s="18">
        <v>0</v>
      </c>
      <c r="AN13" s="18">
        <v>81</v>
      </c>
      <c r="AO13" s="18">
        <v>80</v>
      </c>
      <c r="AP13" s="18">
        <v>82</v>
      </c>
      <c r="AQ13" s="18">
        <v>52</v>
      </c>
      <c r="AR13" s="18">
        <v>39</v>
      </c>
      <c r="AS13" s="18">
        <v>43</v>
      </c>
      <c r="AT13" s="2">
        <v>46</v>
      </c>
      <c r="AU13" s="2">
        <v>48</v>
      </c>
    </row>
    <row r="14" spans="3:48" x14ac:dyDescent="0.2">
      <c r="C14" s="1" t="s">
        <v>25</v>
      </c>
      <c r="D14" s="2">
        <v>71</v>
      </c>
      <c r="E14" s="16">
        <f t="shared" si="0"/>
        <v>65</v>
      </c>
      <c r="F14" s="2">
        <v>53</v>
      </c>
      <c r="G14" s="16">
        <f t="shared" si="1"/>
        <v>97</v>
      </c>
      <c r="H14" s="2">
        <v>106</v>
      </c>
      <c r="I14" s="16">
        <f t="shared" si="2"/>
        <v>114</v>
      </c>
      <c r="J14" s="2">
        <v>99</v>
      </c>
      <c r="K14" s="16">
        <f t="shared" si="3"/>
        <v>95</v>
      </c>
      <c r="L14" s="2">
        <v>81</v>
      </c>
      <c r="M14" s="15">
        <f t="shared" si="4"/>
        <v>112</v>
      </c>
      <c r="N14" s="2">
        <v>139</v>
      </c>
      <c r="O14" s="15">
        <f t="shared" si="5"/>
        <v>116</v>
      </c>
      <c r="P14" s="2">
        <v>51</v>
      </c>
      <c r="Q14" s="15">
        <f t="shared" si="6"/>
        <v>142</v>
      </c>
      <c r="R14" s="2">
        <v>126</v>
      </c>
      <c r="T14" s="2"/>
      <c r="U14" s="16">
        <f t="shared" si="7"/>
        <v>0</v>
      </c>
      <c r="V14" s="24">
        <v>241</v>
      </c>
      <c r="W14" s="16">
        <f t="shared" si="8"/>
        <v>310</v>
      </c>
      <c r="X14" s="2">
        <v>400</v>
      </c>
      <c r="Y14" s="16">
        <f t="shared" si="9"/>
        <v>371</v>
      </c>
      <c r="Z14" s="2">
        <v>199</v>
      </c>
      <c r="AA14" s="16">
        <f t="shared" si="10"/>
        <v>153</v>
      </c>
      <c r="AB14" s="2">
        <v>136</v>
      </c>
      <c r="AC14" s="16">
        <f t="shared" si="11"/>
        <v>128</v>
      </c>
      <c r="AD14" s="2">
        <v>188</v>
      </c>
      <c r="AE14" s="16">
        <f t="shared" si="12"/>
        <v>150</v>
      </c>
      <c r="AF14" s="2">
        <v>220</v>
      </c>
      <c r="AG14" s="16">
        <f t="shared" si="13"/>
        <v>194</v>
      </c>
      <c r="AH14" s="2">
        <v>193</v>
      </c>
      <c r="AI14" s="16">
        <f t="shared" si="14"/>
        <v>255</v>
      </c>
      <c r="AJ14" s="2">
        <v>193</v>
      </c>
      <c r="AK14" s="2"/>
      <c r="AL14" s="18">
        <v>32</v>
      </c>
      <c r="AM14" s="18">
        <v>56</v>
      </c>
      <c r="AN14" s="18">
        <v>0</v>
      </c>
      <c r="AO14" s="24">
        <v>551</v>
      </c>
      <c r="AP14" s="18">
        <v>771</v>
      </c>
      <c r="AQ14" s="18">
        <v>352</v>
      </c>
      <c r="AR14" s="18">
        <v>264</v>
      </c>
      <c r="AS14" s="18">
        <v>338</v>
      </c>
      <c r="AT14" s="2">
        <v>414</v>
      </c>
      <c r="AU14" s="2">
        <v>448</v>
      </c>
    </row>
    <row r="15" spans="3:48" x14ac:dyDescent="0.2">
      <c r="C15" s="1" t="s">
        <v>26</v>
      </c>
      <c r="D15" s="2">
        <v>0</v>
      </c>
      <c r="E15" s="16">
        <f t="shared" si="0"/>
        <v>25</v>
      </c>
      <c r="F15" s="2">
        <v>6</v>
      </c>
      <c r="G15" s="16">
        <f t="shared" si="1"/>
        <v>14</v>
      </c>
      <c r="H15" s="2">
        <v>6</v>
      </c>
      <c r="I15" s="16">
        <f t="shared" si="2"/>
        <v>4</v>
      </c>
      <c r="J15" s="2">
        <v>6</v>
      </c>
      <c r="K15" s="16">
        <f t="shared" si="3"/>
        <v>14</v>
      </c>
      <c r="L15" s="2">
        <v>11</v>
      </c>
      <c r="M15" s="15">
        <f t="shared" si="4"/>
        <v>9</v>
      </c>
      <c r="N15" s="2">
        <v>14</v>
      </c>
      <c r="O15" s="15">
        <f t="shared" si="5"/>
        <v>7</v>
      </c>
      <c r="P15" s="2">
        <v>16</v>
      </c>
      <c r="Q15" s="15">
        <f t="shared" si="6"/>
        <v>4</v>
      </c>
      <c r="R15" s="2">
        <v>18</v>
      </c>
      <c r="T15" s="2">
        <v>66</v>
      </c>
      <c r="U15" s="16">
        <f t="shared" si="7"/>
        <v>68</v>
      </c>
      <c r="V15" s="2">
        <v>74</v>
      </c>
      <c r="W15" s="16">
        <f t="shared" si="8"/>
        <v>70</v>
      </c>
      <c r="X15" s="2">
        <v>84</v>
      </c>
      <c r="Y15" s="16">
        <f t="shared" si="9"/>
        <v>81</v>
      </c>
      <c r="Z15" s="2">
        <v>62</v>
      </c>
      <c r="AA15" s="26">
        <f t="shared" si="10"/>
        <v>58</v>
      </c>
      <c r="AB15" s="2">
        <v>25</v>
      </c>
      <c r="AC15" s="16">
        <f t="shared" si="11"/>
        <v>16</v>
      </c>
      <c r="AD15" s="2">
        <v>1</v>
      </c>
      <c r="AE15" s="16">
        <f t="shared" si="12"/>
        <v>20</v>
      </c>
      <c r="AF15" s="2">
        <v>10</v>
      </c>
      <c r="AG15" s="16">
        <f t="shared" si="13"/>
        <v>20</v>
      </c>
      <c r="AH15" s="2">
        <v>20</v>
      </c>
      <c r="AI15" s="16">
        <f t="shared" si="14"/>
        <v>21</v>
      </c>
      <c r="AJ15" s="2">
        <v>20</v>
      </c>
      <c r="AK15" s="2"/>
      <c r="AL15" s="18">
        <v>0</v>
      </c>
      <c r="AM15" s="18">
        <v>0</v>
      </c>
      <c r="AN15" s="18">
        <v>134</v>
      </c>
      <c r="AO15" s="18">
        <v>144</v>
      </c>
      <c r="AP15" s="18">
        <v>165</v>
      </c>
      <c r="AQ15" s="18">
        <v>120</v>
      </c>
      <c r="AR15" s="18">
        <v>41</v>
      </c>
      <c r="AS15" s="18">
        <v>21</v>
      </c>
      <c r="AT15" s="2">
        <v>30</v>
      </c>
      <c r="AU15" s="2">
        <v>41</v>
      </c>
    </row>
    <row r="16" spans="3:48" x14ac:dyDescent="0.2">
      <c r="C16" s="1" t="s">
        <v>27</v>
      </c>
      <c r="D16" s="2">
        <v>8</v>
      </c>
      <c r="E16" s="16">
        <f t="shared" si="0"/>
        <v>126</v>
      </c>
      <c r="F16" s="2">
        <v>31</v>
      </c>
      <c r="G16" s="16">
        <f t="shared" si="1"/>
        <v>52</v>
      </c>
      <c r="H16" s="2">
        <v>61</v>
      </c>
      <c r="I16" s="16">
        <f t="shared" si="2"/>
        <v>66</v>
      </c>
      <c r="J16" s="2">
        <v>65</v>
      </c>
      <c r="K16" s="16">
        <f t="shared" si="3"/>
        <v>90</v>
      </c>
      <c r="L16" s="2">
        <v>88</v>
      </c>
      <c r="M16" s="15">
        <f t="shared" si="4"/>
        <v>81</v>
      </c>
      <c r="N16" s="2">
        <v>86</v>
      </c>
      <c r="O16" s="15">
        <f t="shared" si="5"/>
        <v>89</v>
      </c>
      <c r="P16" s="2">
        <v>88</v>
      </c>
      <c r="Q16" s="15">
        <f t="shared" si="6"/>
        <v>81</v>
      </c>
      <c r="R16" s="2">
        <v>97</v>
      </c>
      <c r="T16" s="2"/>
      <c r="U16" s="16">
        <f t="shared" si="7"/>
        <v>0</v>
      </c>
      <c r="V16" s="2">
        <v>296</v>
      </c>
      <c r="W16" s="16">
        <f t="shared" si="8"/>
        <v>424</v>
      </c>
      <c r="X16" s="2">
        <v>561</v>
      </c>
      <c r="Y16" s="16">
        <f t="shared" si="9"/>
        <v>493</v>
      </c>
      <c r="Z16" s="2">
        <v>417</v>
      </c>
      <c r="AA16" s="16">
        <f t="shared" si="10"/>
        <v>340</v>
      </c>
      <c r="AB16" s="2">
        <v>134</v>
      </c>
      <c r="AC16" s="16">
        <f t="shared" si="11"/>
        <v>25</v>
      </c>
      <c r="AD16" s="2">
        <v>29</v>
      </c>
      <c r="AE16" s="16">
        <f t="shared" si="12"/>
        <v>83</v>
      </c>
      <c r="AF16" s="2">
        <v>127</v>
      </c>
      <c r="AG16" s="16">
        <f t="shared" si="13"/>
        <v>155</v>
      </c>
      <c r="AH16" s="2">
        <v>169</v>
      </c>
      <c r="AI16" s="16">
        <f t="shared" si="14"/>
        <v>175</v>
      </c>
      <c r="AJ16" s="2">
        <v>169</v>
      </c>
      <c r="AK16" s="2"/>
      <c r="AL16" s="18">
        <v>127</v>
      </c>
      <c r="AM16" s="18">
        <v>128</v>
      </c>
      <c r="AN16" s="18">
        <v>0</v>
      </c>
      <c r="AO16" s="24">
        <v>720</v>
      </c>
      <c r="AP16" s="18">
        <v>1054</v>
      </c>
      <c r="AQ16" s="18">
        <v>757</v>
      </c>
      <c r="AR16" s="18">
        <v>159</v>
      </c>
      <c r="AS16" s="18">
        <v>112</v>
      </c>
      <c r="AT16" s="2">
        <v>282</v>
      </c>
      <c r="AU16" s="2">
        <v>344</v>
      </c>
    </row>
    <row r="17" spans="2:48" x14ac:dyDescent="0.2">
      <c r="C17" s="1" t="s">
        <v>28</v>
      </c>
      <c r="D17" s="2">
        <v>117</v>
      </c>
      <c r="E17" s="16">
        <f t="shared" si="0"/>
        <v>70</v>
      </c>
      <c r="F17" s="2">
        <v>113</v>
      </c>
      <c r="G17" s="16">
        <f t="shared" si="1"/>
        <v>133</v>
      </c>
      <c r="H17" s="2">
        <v>134</v>
      </c>
      <c r="I17" s="16">
        <f t="shared" si="2"/>
        <v>136</v>
      </c>
      <c r="J17" s="2">
        <v>137</v>
      </c>
      <c r="K17" s="16">
        <f t="shared" si="3"/>
        <v>105</v>
      </c>
      <c r="L17" s="2">
        <v>121</v>
      </c>
      <c r="M17" s="15">
        <f t="shared" si="4"/>
        <v>275</v>
      </c>
      <c r="N17" s="2">
        <v>169</v>
      </c>
      <c r="O17" s="15">
        <f t="shared" si="5"/>
        <v>189</v>
      </c>
      <c r="P17" s="2">
        <v>181</v>
      </c>
      <c r="Q17" s="15">
        <f t="shared" si="6"/>
        <v>215</v>
      </c>
      <c r="R17" s="2">
        <v>195</v>
      </c>
      <c r="T17" s="2">
        <v>234</v>
      </c>
      <c r="U17" s="16">
        <f t="shared" si="7"/>
        <v>243</v>
      </c>
      <c r="V17" s="2">
        <v>309</v>
      </c>
      <c r="W17" s="16">
        <f t="shared" si="8"/>
        <v>339</v>
      </c>
      <c r="X17" s="2">
        <v>304</v>
      </c>
      <c r="Y17" s="16">
        <f t="shared" si="9"/>
        <v>331</v>
      </c>
      <c r="Z17" s="2">
        <v>246</v>
      </c>
      <c r="AA17" s="16">
        <f t="shared" si="10"/>
        <v>189</v>
      </c>
      <c r="AB17" s="2">
        <v>187</v>
      </c>
      <c r="AC17" s="16">
        <f t="shared" si="11"/>
        <v>205</v>
      </c>
      <c r="AD17" s="2">
        <v>270</v>
      </c>
      <c r="AE17" s="16">
        <f t="shared" si="12"/>
        <v>246</v>
      </c>
      <c r="AF17" s="2">
        <v>270</v>
      </c>
      <c r="AG17" s="16">
        <f t="shared" si="13"/>
        <v>242</v>
      </c>
      <c r="AH17" s="2">
        <v>396</v>
      </c>
      <c r="AI17" s="16">
        <f t="shared" si="14"/>
        <v>358</v>
      </c>
      <c r="AJ17" s="2">
        <v>396</v>
      </c>
      <c r="AK17" s="2"/>
      <c r="AL17" s="18">
        <v>711</v>
      </c>
      <c r="AM17" s="18">
        <v>600</v>
      </c>
      <c r="AN17" s="18">
        <v>477</v>
      </c>
      <c r="AO17" s="18">
        <v>648</v>
      </c>
      <c r="AP17" s="18">
        <v>635</v>
      </c>
      <c r="AQ17" s="18">
        <v>435</v>
      </c>
      <c r="AR17" s="18">
        <v>392</v>
      </c>
      <c r="AS17" s="18">
        <v>516</v>
      </c>
      <c r="AT17" s="2">
        <v>512</v>
      </c>
      <c r="AU17" s="2">
        <v>754</v>
      </c>
    </row>
    <row r="18" spans="2:48" x14ac:dyDescent="0.2">
      <c r="C18" s="1" t="s">
        <v>29</v>
      </c>
      <c r="D18" s="2">
        <v>346</v>
      </c>
      <c r="E18" s="16">
        <f t="shared" si="0"/>
        <v>341</v>
      </c>
      <c r="F18" s="2">
        <v>377</v>
      </c>
      <c r="G18" s="16">
        <f t="shared" si="1"/>
        <v>509</v>
      </c>
      <c r="H18" s="2">
        <v>324</v>
      </c>
      <c r="I18" s="16">
        <f t="shared" si="2"/>
        <v>112</v>
      </c>
      <c r="J18" s="2">
        <v>174</v>
      </c>
      <c r="K18" s="16">
        <f t="shared" si="3"/>
        <v>373</v>
      </c>
      <c r="L18" s="2">
        <v>242</v>
      </c>
      <c r="M18" s="15">
        <f t="shared" si="4"/>
        <v>508</v>
      </c>
      <c r="N18" s="2">
        <v>592</v>
      </c>
      <c r="O18" s="15">
        <f t="shared" si="5"/>
        <v>1140</v>
      </c>
      <c r="P18" s="2">
        <v>704</v>
      </c>
      <c r="Q18" s="15">
        <f t="shared" si="6"/>
        <v>46</v>
      </c>
      <c r="R18" s="2">
        <v>428</v>
      </c>
      <c r="T18" s="2"/>
      <c r="U18" s="16">
        <f t="shared" si="7"/>
        <v>0</v>
      </c>
      <c r="V18" s="2">
        <v>1495</v>
      </c>
      <c r="W18" s="16">
        <f t="shared" si="8"/>
        <v>1919</v>
      </c>
      <c r="X18" s="2">
        <v>2537</v>
      </c>
      <c r="Y18" s="16">
        <f t="shared" si="9"/>
        <v>3097</v>
      </c>
      <c r="Z18" s="2">
        <v>1689</v>
      </c>
      <c r="AA18" s="16">
        <f t="shared" si="10"/>
        <v>1046</v>
      </c>
      <c r="AB18" s="2">
        <v>687</v>
      </c>
      <c r="AC18" s="16">
        <f t="shared" si="11"/>
        <v>1410</v>
      </c>
      <c r="AD18" s="2">
        <v>818</v>
      </c>
      <c r="AE18" s="16">
        <f t="shared" si="12"/>
        <v>886</v>
      </c>
      <c r="AF18" s="2">
        <v>436</v>
      </c>
      <c r="AG18" s="16">
        <f t="shared" si="13"/>
        <v>547</v>
      </c>
      <c r="AH18" s="2">
        <v>750</v>
      </c>
      <c r="AI18" s="16">
        <f t="shared" si="14"/>
        <v>1732</v>
      </c>
      <c r="AJ18" s="2">
        <v>750</v>
      </c>
      <c r="AK18" s="2"/>
      <c r="AL18" s="18">
        <v>0</v>
      </c>
      <c r="AM18" s="18">
        <v>0</v>
      </c>
      <c r="AN18" s="18">
        <v>0</v>
      </c>
      <c r="AO18" s="24">
        <v>3414</v>
      </c>
      <c r="AP18" s="18">
        <v>5634</v>
      </c>
      <c r="AQ18" s="18">
        <v>2735</v>
      </c>
      <c r="AR18" s="18">
        <v>2097</v>
      </c>
      <c r="AS18" s="18">
        <v>1704</v>
      </c>
      <c r="AT18" s="2">
        <v>983</v>
      </c>
      <c r="AU18" s="2">
        <v>2482</v>
      </c>
    </row>
    <row r="19" spans="2:48" x14ac:dyDescent="0.2">
      <c r="C19" s="1" t="s">
        <v>168</v>
      </c>
      <c r="D19" s="2"/>
      <c r="E19" s="16"/>
      <c r="F19" s="2"/>
      <c r="G19" s="16"/>
      <c r="H19" s="2"/>
      <c r="I19" s="16"/>
      <c r="J19" s="2"/>
      <c r="K19" s="16"/>
      <c r="L19" s="2"/>
      <c r="M19" s="15"/>
      <c r="N19" s="2"/>
      <c r="O19" s="15"/>
      <c r="P19" s="2"/>
      <c r="Q19" s="15"/>
      <c r="R19" s="15"/>
      <c r="T19" s="2">
        <v>21</v>
      </c>
      <c r="U19" s="16">
        <f t="shared" si="7"/>
        <v>85</v>
      </c>
      <c r="V19" s="2">
        <v>20</v>
      </c>
      <c r="W19" s="16">
        <f t="shared" si="8"/>
        <v>56</v>
      </c>
      <c r="X19" s="2">
        <v>12</v>
      </c>
      <c r="Y19" s="16">
        <f t="shared" si="9"/>
        <v>12</v>
      </c>
      <c r="Z19" s="2">
        <v>8</v>
      </c>
      <c r="AA19" s="16">
        <f t="shared" si="10"/>
        <v>9</v>
      </c>
      <c r="AB19" s="2"/>
      <c r="AC19" s="16"/>
      <c r="AD19" s="2"/>
      <c r="AE19" s="16"/>
      <c r="AF19" s="2"/>
      <c r="AG19" s="16"/>
      <c r="AH19" s="2"/>
      <c r="AI19" s="16"/>
      <c r="AJ19" s="2"/>
      <c r="AK19" s="2"/>
      <c r="AL19" s="18">
        <v>104</v>
      </c>
      <c r="AM19" s="18">
        <v>99</v>
      </c>
      <c r="AN19" s="18">
        <v>106</v>
      </c>
      <c r="AO19" s="18">
        <v>76</v>
      </c>
      <c r="AP19" s="18">
        <v>24</v>
      </c>
      <c r="AQ19" s="18">
        <v>17</v>
      </c>
      <c r="AR19" s="18"/>
      <c r="AS19" s="18"/>
      <c r="AT19" s="2"/>
      <c r="AU19" s="2"/>
    </row>
    <row r="20" spans="2:48" x14ac:dyDescent="0.2">
      <c r="C20" s="1" t="s">
        <v>169</v>
      </c>
      <c r="D20" s="2"/>
      <c r="E20" s="16"/>
      <c r="F20" s="2"/>
      <c r="G20" s="16"/>
      <c r="H20" s="2"/>
      <c r="I20" s="16"/>
      <c r="J20" s="2"/>
      <c r="K20" s="16"/>
      <c r="L20" s="2"/>
      <c r="M20" s="15"/>
      <c r="N20" s="2"/>
      <c r="O20" s="15"/>
      <c r="P20" s="2"/>
      <c r="Q20" s="15"/>
      <c r="R20" s="15"/>
      <c r="T20" s="2"/>
      <c r="U20" s="16">
        <f t="shared" si="7"/>
        <v>504</v>
      </c>
      <c r="V20" s="2"/>
      <c r="W20" s="16">
        <f t="shared" si="8"/>
        <v>310</v>
      </c>
      <c r="X20" s="2">
        <v>105</v>
      </c>
      <c r="Y20" s="16">
        <f t="shared" si="9"/>
        <v>38</v>
      </c>
      <c r="Z20" s="2">
        <v>29</v>
      </c>
      <c r="AA20" s="16">
        <f t="shared" si="10"/>
        <v>15</v>
      </c>
      <c r="AB20" s="2"/>
      <c r="AC20" s="16"/>
      <c r="AD20" s="2"/>
      <c r="AE20" s="16"/>
      <c r="AF20" s="2"/>
      <c r="AG20" s="16"/>
      <c r="AH20" s="2"/>
      <c r="AI20" s="16"/>
      <c r="AJ20" s="2"/>
      <c r="AK20" s="2"/>
      <c r="AL20" s="18">
        <v>564</v>
      </c>
      <c r="AM20" s="18">
        <v>548</v>
      </c>
      <c r="AN20" s="18">
        <v>504</v>
      </c>
      <c r="AO20" s="18">
        <v>310</v>
      </c>
      <c r="AP20" s="18">
        <v>143</v>
      </c>
      <c r="AQ20" s="18">
        <v>44</v>
      </c>
      <c r="AR20" s="18"/>
      <c r="AS20" s="18"/>
      <c r="AT20" s="2"/>
      <c r="AU20" s="2"/>
    </row>
    <row r="21" spans="2:48" x14ac:dyDescent="0.2">
      <c r="C21" s="1" t="s">
        <v>182</v>
      </c>
      <c r="D21" s="2"/>
      <c r="E21" s="16"/>
      <c r="F21" s="2"/>
      <c r="G21" s="16"/>
      <c r="H21" s="2"/>
      <c r="I21" s="16"/>
      <c r="J21" s="2"/>
      <c r="K21" s="16"/>
      <c r="L21" s="2"/>
      <c r="M21" s="15"/>
      <c r="N21" s="2"/>
      <c r="O21" s="15"/>
      <c r="P21" s="2"/>
      <c r="Q21" s="15"/>
      <c r="R21" s="15"/>
      <c r="T21" s="2">
        <v>52</v>
      </c>
      <c r="U21" s="16"/>
      <c r="V21" s="2">
        <v>50</v>
      </c>
      <c r="W21" s="16"/>
      <c r="X21" s="2"/>
      <c r="Y21" s="16"/>
      <c r="Z21" s="2"/>
      <c r="AA21" s="16"/>
      <c r="AB21" s="2"/>
      <c r="AC21" s="16"/>
      <c r="AD21" s="2"/>
      <c r="AE21" s="16"/>
      <c r="AF21" s="2"/>
      <c r="AG21" s="16"/>
      <c r="AH21" s="2"/>
      <c r="AI21" s="16"/>
      <c r="AJ21" s="2"/>
      <c r="AK21" s="2"/>
      <c r="AL21" s="18">
        <v>130</v>
      </c>
      <c r="AM21" s="18">
        <v>91</v>
      </c>
      <c r="AN21" s="18"/>
      <c r="AO21" s="18"/>
      <c r="AP21" s="18"/>
      <c r="AQ21" s="18"/>
      <c r="AR21" s="18"/>
      <c r="AS21" s="18"/>
      <c r="AT21" s="2"/>
      <c r="AU21" s="2"/>
    </row>
    <row r="22" spans="2:48" x14ac:dyDescent="0.2">
      <c r="C22" s="1" t="s">
        <v>170</v>
      </c>
      <c r="D22" s="2"/>
      <c r="E22" s="16"/>
      <c r="F22" s="2"/>
      <c r="G22" s="16"/>
      <c r="H22" s="2"/>
      <c r="I22" s="16"/>
      <c r="J22" s="2"/>
      <c r="K22" s="16"/>
      <c r="L22" s="2"/>
      <c r="M22" s="15"/>
      <c r="N22" s="2"/>
      <c r="O22" s="15"/>
      <c r="P22" s="2"/>
      <c r="Q22" s="15"/>
      <c r="R22" s="15"/>
      <c r="T22" s="2"/>
      <c r="U22" s="16">
        <f>AN22-T22</f>
        <v>0</v>
      </c>
      <c r="V22" s="24">
        <v>178</v>
      </c>
      <c r="W22" s="16">
        <f>AO22-V22</f>
        <v>248</v>
      </c>
      <c r="X22" s="2">
        <v>197</v>
      </c>
      <c r="Y22" s="16">
        <f>AP22-X22</f>
        <v>172</v>
      </c>
      <c r="Z22" s="2">
        <v>167</v>
      </c>
      <c r="AA22" s="16">
        <f>AQ22-Z22</f>
        <v>144</v>
      </c>
      <c r="AB22" s="2"/>
      <c r="AC22" s="16"/>
      <c r="AD22" s="2"/>
      <c r="AE22" s="16"/>
      <c r="AF22" s="2"/>
      <c r="AG22" s="16"/>
      <c r="AH22" s="2"/>
      <c r="AI22" s="16"/>
      <c r="AJ22" s="2"/>
      <c r="AK22" s="2"/>
      <c r="AL22" s="18">
        <v>0</v>
      </c>
      <c r="AM22" s="18">
        <v>0</v>
      </c>
      <c r="AN22" s="18">
        <v>0</v>
      </c>
      <c r="AO22" s="24">
        <v>426</v>
      </c>
      <c r="AP22" s="18">
        <v>369</v>
      </c>
      <c r="AQ22" s="18">
        <v>311</v>
      </c>
      <c r="AR22" s="18"/>
      <c r="AS22" s="18"/>
      <c r="AT22" s="2"/>
      <c r="AU22" s="2"/>
    </row>
    <row r="23" spans="2:48" ht="5.25" customHeight="1" x14ac:dyDescent="0.2"/>
    <row r="24" spans="2:48" x14ac:dyDescent="0.2">
      <c r="B24" s="1" t="s">
        <v>57</v>
      </c>
      <c r="C24" s="12" t="s">
        <v>146</v>
      </c>
    </row>
    <row r="25" spans="2:48" x14ac:dyDescent="0.2">
      <c r="C25" s="8" t="s">
        <v>3</v>
      </c>
      <c r="S25" s="2"/>
      <c r="U25" s="16"/>
      <c r="AC25" s="2"/>
    </row>
    <row r="26" spans="2:48" x14ac:dyDescent="0.2">
      <c r="C26" s="6" t="s">
        <v>14</v>
      </c>
      <c r="D26" s="2">
        <v>1942</v>
      </c>
      <c r="E26" s="2">
        <v>2234</v>
      </c>
      <c r="F26" s="2">
        <v>2503</v>
      </c>
      <c r="G26" s="2">
        <v>2827</v>
      </c>
      <c r="H26" s="2">
        <v>2714</v>
      </c>
      <c r="I26" s="2">
        <v>2963</v>
      </c>
      <c r="J26" s="2">
        <v>3083</v>
      </c>
      <c r="K26" s="2">
        <v>3116</v>
      </c>
      <c r="L26" s="2">
        <v>3097</v>
      </c>
      <c r="M26" s="2">
        <v>3364</v>
      </c>
      <c r="N26" s="2">
        <v>3339</v>
      </c>
      <c r="O26" s="2">
        <v>3852</v>
      </c>
      <c r="P26" s="2">
        <v>3684</v>
      </c>
      <c r="Q26" s="2">
        <v>3857</v>
      </c>
      <c r="R26" s="2">
        <v>4044</v>
      </c>
      <c r="S26" s="2"/>
      <c r="T26" s="2">
        <v>4414</v>
      </c>
      <c r="U26" s="16">
        <f>AN26-T26</f>
        <v>4943</v>
      </c>
      <c r="V26" s="2">
        <v>4744</v>
      </c>
      <c r="W26" s="16">
        <f>AO26-V26</f>
        <v>5708</v>
      </c>
      <c r="X26" s="2">
        <v>5902</v>
      </c>
      <c r="Y26" s="16">
        <f>AP26-X26</f>
        <v>6143</v>
      </c>
      <c r="Z26" s="2">
        <v>4047</v>
      </c>
      <c r="AA26" s="16">
        <f>AQ26-Z26</f>
        <v>3616</v>
      </c>
      <c r="AB26" s="2">
        <v>3249</v>
      </c>
      <c r="AC26" s="16">
        <f>AR26-AB26</f>
        <v>4190</v>
      </c>
      <c r="AD26" s="2">
        <v>4176</v>
      </c>
      <c r="AE26" s="16">
        <f>AS26-AD26</f>
        <v>5330</v>
      </c>
      <c r="AF26" s="5">
        <f>H26+I26</f>
        <v>5677</v>
      </c>
      <c r="AG26" s="16">
        <f>AT26-AF26</f>
        <v>6199</v>
      </c>
      <c r="AH26" s="5">
        <f>L26+M26</f>
        <v>6461</v>
      </c>
      <c r="AI26" s="16">
        <f>AU26-AH26</f>
        <v>7191</v>
      </c>
      <c r="AJ26" s="2">
        <v>7541</v>
      </c>
      <c r="AK26" s="2"/>
      <c r="AL26" s="18">
        <v>9319</v>
      </c>
      <c r="AM26" s="18">
        <v>9391</v>
      </c>
      <c r="AN26" s="18">
        <v>9357</v>
      </c>
      <c r="AO26" s="18">
        <v>10452</v>
      </c>
      <c r="AP26" s="18">
        <v>12045</v>
      </c>
      <c r="AQ26" s="18">
        <v>7663</v>
      </c>
      <c r="AR26" s="18">
        <v>7439</v>
      </c>
      <c r="AS26" s="18">
        <v>9506</v>
      </c>
      <c r="AT26" s="2">
        <v>11876</v>
      </c>
      <c r="AU26" s="2">
        <v>13652</v>
      </c>
    </row>
    <row r="27" spans="2:48" x14ac:dyDescent="0.2">
      <c r="C27" s="6" t="s">
        <v>143</v>
      </c>
      <c r="D27" s="2"/>
      <c r="E27" s="2"/>
      <c r="F27" s="2"/>
      <c r="G27" s="2"/>
      <c r="H27" s="2"/>
      <c r="I27" s="2"/>
      <c r="J27" s="2"/>
      <c r="K27" s="2"/>
      <c r="L27" s="2"/>
      <c r="M27" s="2"/>
      <c r="N27" s="2"/>
      <c r="O27" s="2"/>
      <c r="P27" s="2"/>
      <c r="Q27" s="2"/>
      <c r="R27" s="2"/>
      <c r="S27" s="2"/>
      <c r="T27" s="2">
        <v>721</v>
      </c>
      <c r="U27" s="16">
        <f>AN27-T27</f>
        <v>795</v>
      </c>
      <c r="V27" s="2">
        <v>868</v>
      </c>
      <c r="W27" s="16">
        <f>AO27-V27</f>
        <v>1061</v>
      </c>
      <c r="X27" s="2">
        <v>1227</v>
      </c>
      <c r="Y27" s="16">
        <f>AP27-X27</f>
        <v>1258</v>
      </c>
      <c r="Z27" s="2">
        <v>699</v>
      </c>
      <c r="AA27" s="16">
        <f>AQ27-Z27</f>
        <v>493</v>
      </c>
      <c r="AB27" s="2">
        <v>504</v>
      </c>
      <c r="AC27" s="16">
        <f>AR27-AB27</f>
        <v>838</v>
      </c>
      <c r="AD27" s="2">
        <v>723</v>
      </c>
      <c r="AE27" s="16">
        <f>AS27-AD27</f>
        <v>987</v>
      </c>
      <c r="AF27" s="2">
        <v>1051</v>
      </c>
      <c r="AG27" s="16">
        <f>AT27-AF27</f>
        <v>1339</v>
      </c>
      <c r="AH27" s="2">
        <v>1285</v>
      </c>
      <c r="AI27" s="16">
        <f>AU27-AH27</f>
        <v>1534</v>
      </c>
      <c r="AJ27" s="2">
        <v>1758</v>
      </c>
      <c r="AK27" s="2"/>
      <c r="AL27" s="18">
        <v>1833</v>
      </c>
      <c r="AM27" s="18">
        <v>1786</v>
      </c>
      <c r="AN27" s="18">
        <v>1516</v>
      </c>
      <c r="AO27" s="18">
        <v>1929</v>
      </c>
      <c r="AP27" s="18">
        <v>2485</v>
      </c>
      <c r="AQ27" s="18">
        <v>1192</v>
      </c>
      <c r="AR27" s="18">
        <v>1342</v>
      </c>
      <c r="AS27" s="18">
        <v>1710</v>
      </c>
      <c r="AT27" s="2">
        <v>2390</v>
      </c>
      <c r="AU27" s="2">
        <v>2819</v>
      </c>
    </row>
    <row r="28" spans="2:48" ht="14.25" x14ac:dyDescent="0.35">
      <c r="C28" s="6" t="s">
        <v>144</v>
      </c>
      <c r="D28" s="2"/>
      <c r="E28" s="2"/>
      <c r="F28" s="2"/>
      <c r="G28" s="2"/>
      <c r="H28" s="2"/>
      <c r="I28" s="2"/>
      <c r="J28" s="2"/>
      <c r="K28" s="2"/>
      <c r="L28" s="2"/>
      <c r="M28" s="2"/>
      <c r="N28" s="2"/>
      <c r="O28" s="2"/>
      <c r="P28" s="2"/>
      <c r="Q28" s="2"/>
      <c r="R28" s="2"/>
      <c r="S28" s="2"/>
      <c r="T28" s="4">
        <v>0</v>
      </c>
      <c r="U28" s="17">
        <f>AN28-T28</f>
        <v>-40</v>
      </c>
      <c r="V28" s="4">
        <v>-1</v>
      </c>
      <c r="W28" s="17">
        <f>AO28-V28</f>
        <v>-30</v>
      </c>
      <c r="X28" s="4">
        <v>0</v>
      </c>
      <c r="Y28" s="17">
        <f>AP28-X28</f>
        <v>-7</v>
      </c>
      <c r="Z28" s="4">
        <v>-20</v>
      </c>
      <c r="AA28" s="17">
        <f>AQ28-Z28</f>
        <v>-137</v>
      </c>
      <c r="AB28" s="4">
        <v>-133</v>
      </c>
      <c r="AC28" s="17">
        <f>AR28-AB28</f>
        <v>-177</v>
      </c>
      <c r="AD28" s="4">
        <v>-129</v>
      </c>
      <c r="AE28" s="17">
        <f>AS28-AD28</f>
        <v>-15</v>
      </c>
      <c r="AF28" s="4">
        <v>-5</v>
      </c>
      <c r="AG28" s="17">
        <f>AT28-AF28</f>
        <v>-47</v>
      </c>
      <c r="AH28" s="4">
        <v>1</v>
      </c>
      <c r="AI28" s="17">
        <f>AU28-AH28</f>
        <v>-27</v>
      </c>
      <c r="AJ28" s="4">
        <v>1</v>
      </c>
      <c r="AK28" s="4"/>
      <c r="AL28" s="19">
        <v>-619</v>
      </c>
      <c r="AM28" s="19">
        <v>3</v>
      </c>
      <c r="AN28" s="19">
        <v>-40</v>
      </c>
      <c r="AO28" s="19">
        <v>-31</v>
      </c>
      <c r="AP28" s="19">
        <v>-7</v>
      </c>
      <c r="AQ28" s="19">
        <v>-157</v>
      </c>
      <c r="AR28" s="19">
        <v>-310</v>
      </c>
      <c r="AS28" s="19">
        <v>-144</v>
      </c>
      <c r="AT28" s="4">
        <v>-52</v>
      </c>
      <c r="AU28" s="4">
        <v>-26</v>
      </c>
    </row>
    <row r="29" spans="2:48" x14ac:dyDescent="0.2">
      <c r="C29" s="6" t="s">
        <v>145</v>
      </c>
      <c r="D29" s="2"/>
      <c r="E29" s="2"/>
      <c r="F29" s="2"/>
      <c r="G29" s="2"/>
      <c r="H29" s="2"/>
      <c r="I29" s="2"/>
      <c r="J29" s="2"/>
      <c r="K29" s="2"/>
      <c r="L29" s="2"/>
      <c r="M29" s="2"/>
      <c r="N29" s="2"/>
      <c r="O29" s="2"/>
      <c r="P29" s="2"/>
      <c r="Q29" s="2"/>
      <c r="R29" s="2"/>
      <c r="S29" s="2"/>
      <c r="T29" s="5">
        <f t="shared" ref="T29:V29" si="15">T27+T28</f>
        <v>721</v>
      </c>
      <c r="U29" s="5">
        <f t="shared" ref="U29" si="16">U27+U28</f>
        <v>755</v>
      </c>
      <c r="V29" s="5">
        <f t="shared" si="15"/>
        <v>867</v>
      </c>
      <c r="W29" s="5">
        <f t="shared" ref="W29" si="17">W27+W28</f>
        <v>1031</v>
      </c>
      <c r="X29" s="5">
        <f>X27+X28</f>
        <v>1227</v>
      </c>
      <c r="Y29" s="5">
        <f>Y27+Y28</f>
        <v>1251</v>
      </c>
      <c r="Z29" s="5">
        <f>Z27+Z28</f>
        <v>679</v>
      </c>
      <c r="AA29" s="5">
        <f>AA27+AA28</f>
        <v>356</v>
      </c>
      <c r="AB29" s="5">
        <f>AB27+AB28</f>
        <v>371</v>
      </c>
      <c r="AC29" s="5">
        <f t="shared" ref="AC29:AJ29" si="18">AC27+AC28</f>
        <v>661</v>
      </c>
      <c r="AD29" s="5">
        <f t="shared" si="18"/>
        <v>594</v>
      </c>
      <c r="AE29" s="5">
        <f t="shared" si="18"/>
        <v>972</v>
      </c>
      <c r="AF29" s="5">
        <f t="shared" si="18"/>
        <v>1046</v>
      </c>
      <c r="AG29" s="5">
        <f t="shared" si="18"/>
        <v>1292</v>
      </c>
      <c r="AH29" s="5">
        <f t="shared" si="18"/>
        <v>1286</v>
      </c>
      <c r="AI29" s="5">
        <f t="shared" si="18"/>
        <v>1507</v>
      </c>
      <c r="AJ29" s="5">
        <f t="shared" si="18"/>
        <v>1759</v>
      </c>
      <c r="AK29" s="5"/>
      <c r="AL29" s="5">
        <f t="shared" ref="AL29:AN29" si="19">AL27+AL28</f>
        <v>1214</v>
      </c>
      <c r="AM29" s="5">
        <f t="shared" ref="AM29" si="20">AM27+AM28</f>
        <v>1789</v>
      </c>
      <c r="AN29" s="5">
        <f t="shared" si="19"/>
        <v>1476</v>
      </c>
      <c r="AO29" s="5">
        <f t="shared" ref="AO29" si="21">AO27+AO28</f>
        <v>1898</v>
      </c>
      <c r="AP29" s="5">
        <f>AP27+AP28</f>
        <v>2478</v>
      </c>
      <c r="AQ29" s="5">
        <f t="shared" ref="AQ29" si="22">AQ27+AQ28</f>
        <v>1035</v>
      </c>
      <c r="AR29" s="5">
        <f>AR27+AR28</f>
        <v>1032</v>
      </c>
      <c r="AS29" s="5">
        <f>AS27+AS28</f>
        <v>1566</v>
      </c>
      <c r="AT29" s="5">
        <f>AT27+AT28</f>
        <v>2338</v>
      </c>
      <c r="AU29" s="5">
        <f>AU27+AU28</f>
        <v>2793</v>
      </c>
      <c r="AV29" s="40">
        <f>((AU29/AL29)^(1/(2024-2015)))-1</f>
        <v>9.6997923342923453E-2</v>
      </c>
    </row>
    <row r="30" spans="2:48" x14ac:dyDescent="0.2">
      <c r="C30" s="13" t="s">
        <v>147</v>
      </c>
      <c r="D30" s="2"/>
      <c r="E30" s="2"/>
      <c r="F30" s="2"/>
      <c r="G30" s="2"/>
      <c r="H30" s="2"/>
      <c r="I30" s="2"/>
      <c r="J30" s="2"/>
      <c r="K30" s="2"/>
      <c r="L30" s="2"/>
      <c r="M30" s="2"/>
      <c r="N30" s="2"/>
      <c r="O30" s="2"/>
      <c r="P30" s="2"/>
      <c r="Q30" s="2"/>
      <c r="R30" s="2"/>
      <c r="S30" s="2"/>
      <c r="T30" s="14">
        <f t="shared" ref="T30:V30" si="23">T29/T26</f>
        <v>0.16334390575441776</v>
      </c>
      <c r="U30" s="14">
        <f t="shared" ref="U30" si="24">U29/U26</f>
        <v>0.15274125025288288</v>
      </c>
      <c r="V30" s="14">
        <f t="shared" si="23"/>
        <v>0.18275716694772345</v>
      </c>
      <c r="W30" s="14">
        <f t="shared" ref="W30" si="25">W29/W26</f>
        <v>0.18062368605466012</v>
      </c>
      <c r="X30" s="14">
        <f>X29/X26</f>
        <v>0.20789562860047442</v>
      </c>
      <c r="Y30" s="14">
        <f>Y29/Y26</f>
        <v>0.20364642682728309</v>
      </c>
      <c r="Z30" s="14">
        <f>Z29/Z26</f>
        <v>0.16777860143316037</v>
      </c>
      <c r="AA30" s="14">
        <f>AA29/AA26</f>
        <v>9.8451327433628319E-2</v>
      </c>
      <c r="AB30" s="14">
        <f>AB29/AB26</f>
        <v>0.11418898122499231</v>
      </c>
      <c r="AC30" s="14">
        <f t="shared" ref="AC30:AJ30" si="26">AC29/AC26</f>
        <v>0.15775656324582338</v>
      </c>
      <c r="AD30" s="14">
        <f t="shared" si="26"/>
        <v>0.14224137931034483</v>
      </c>
      <c r="AE30" s="14">
        <f t="shared" si="26"/>
        <v>0.1823639774859287</v>
      </c>
      <c r="AF30" s="14">
        <f t="shared" si="26"/>
        <v>0.18425224590452705</v>
      </c>
      <c r="AG30" s="14">
        <f t="shared" si="26"/>
        <v>0.20842071301822876</v>
      </c>
      <c r="AH30" s="14">
        <f t="shared" si="26"/>
        <v>0.19904039622349481</v>
      </c>
      <c r="AI30" s="14">
        <f t="shared" si="26"/>
        <v>0.20956751494924211</v>
      </c>
      <c r="AJ30" s="14">
        <f t="shared" si="26"/>
        <v>0.23325818856915528</v>
      </c>
      <c r="AK30" s="14">
        <f>(AI29+AJ29)/(AJ26+AI26)</f>
        <v>0.22169427097474884</v>
      </c>
      <c r="AL30" s="20">
        <f t="shared" ref="AL30:AN30" si="27">AL29/AL26</f>
        <v>0.13027148835711985</v>
      </c>
      <c r="AM30" s="20">
        <f t="shared" ref="AM30" si="28">AM29/AM26</f>
        <v>0.19050154403151953</v>
      </c>
      <c r="AN30" s="20">
        <f t="shared" si="27"/>
        <v>0.15774286630330234</v>
      </c>
      <c r="AO30" s="20">
        <f t="shared" ref="AO30" si="29">AO29/AO26</f>
        <v>0.18159203980099503</v>
      </c>
      <c r="AP30" s="20">
        <f>AP29/AP26</f>
        <v>0.20572851805728518</v>
      </c>
      <c r="AQ30" s="20">
        <f t="shared" ref="AQ30" si="30">AQ29/AQ26</f>
        <v>0.1350645961111836</v>
      </c>
      <c r="AR30" s="20">
        <f>AR29/AR26</f>
        <v>0.13872832369942195</v>
      </c>
      <c r="AS30" s="20">
        <f>AS29/AS26</f>
        <v>0.16473806017252263</v>
      </c>
      <c r="AT30" s="14">
        <f>AT29/AT26</f>
        <v>0.19686763219939374</v>
      </c>
      <c r="AU30" s="14">
        <f>AU29/AU26</f>
        <v>0.20458540873132142</v>
      </c>
      <c r="AV30" s="40">
        <f>((AU30/AL30)^(1/(2024-2015)))-1</f>
        <v>5.1430538409751314E-2</v>
      </c>
    </row>
    <row r="31" spans="2:48" x14ac:dyDescent="0.2">
      <c r="C31" s="8" t="s">
        <v>4</v>
      </c>
      <c r="S31" s="2"/>
      <c r="AC31" s="2"/>
    </row>
    <row r="32" spans="2:48" x14ac:dyDescent="0.2">
      <c r="C32" s="6" t="s">
        <v>14</v>
      </c>
      <c r="D32" s="2">
        <v>1716</v>
      </c>
      <c r="E32" s="2">
        <v>1790</v>
      </c>
      <c r="F32" s="2">
        <v>1820</v>
      </c>
      <c r="G32" s="2">
        <v>2209</v>
      </c>
      <c r="H32" s="2">
        <v>1966</v>
      </c>
      <c r="I32" s="2">
        <v>2134</v>
      </c>
      <c r="J32" s="2">
        <v>2134</v>
      </c>
      <c r="K32" s="2">
        <v>3601</v>
      </c>
      <c r="L32" s="2">
        <v>2444</v>
      </c>
      <c r="M32" s="2">
        <v>2726</v>
      </c>
      <c r="N32" s="2">
        <v>2527</v>
      </c>
      <c r="O32" s="2">
        <v>1921</v>
      </c>
      <c r="P32" s="2">
        <v>2783</v>
      </c>
      <c r="Q32" s="2">
        <v>2826</v>
      </c>
      <c r="R32" s="2">
        <v>3004</v>
      </c>
      <c r="S32" s="2"/>
      <c r="T32" s="30">
        <f>2636+612</f>
        <v>3248</v>
      </c>
      <c r="U32" s="16">
        <f>AN32-T32</f>
        <v>2012</v>
      </c>
      <c r="V32" s="30">
        <f>2585+651</f>
        <v>3236</v>
      </c>
      <c r="W32" s="16">
        <f>AO32-V32</f>
        <v>2159</v>
      </c>
      <c r="X32" s="2">
        <v>4553</v>
      </c>
      <c r="Y32" s="16">
        <f>AP32-X32</f>
        <v>4703</v>
      </c>
      <c r="Z32" s="2">
        <v>3638</v>
      </c>
      <c r="AA32" s="16">
        <f>AQ32-Z32</f>
        <v>3255</v>
      </c>
      <c r="AB32" s="2">
        <v>2972</v>
      </c>
      <c r="AC32" s="16">
        <f>AR32-AB32</f>
        <v>3353</v>
      </c>
      <c r="AD32" s="2">
        <v>3506</v>
      </c>
      <c r="AE32" s="16">
        <f>AS32-AD32</f>
        <v>4029</v>
      </c>
      <c r="AF32" s="5">
        <f>H32+I32</f>
        <v>4100</v>
      </c>
      <c r="AG32" s="16">
        <f>AT32-AF32</f>
        <v>4735</v>
      </c>
      <c r="AH32" s="5">
        <f>L32+M32</f>
        <v>5170</v>
      </c>
      <c r="AI32" s="16">
        <f>AU32-AH32</f>
        <v>5448</v>
      </c>
      <c r="AJ32" s="2">
        <v>5609</v>
      </c>
      <c r="AK32" s="2"/>
      <c r="AL32" s="32">
        <f>4943+1266</f>
        <v>6209</v>
      </c>
      <c r="AM32" s="32">
        <f>5145+1238</f>
        <v>6383</v>
      </c>
      <c r="AN32" s="18">
        <v>5260</v>
      </c>
      <c r="AO32" s="18">
        <v>5395</v>
      </c>
      <c r="AP32" s="18">
        <v>9256</v>
      </c>
      <c r="AQ32" s="18">
        <v>6893</v>
      </c>
      <c r="AR32" s="18">
        <v>6325</v>
      </c>
      <c r="AS32" s="18">
        <v>7535</v>
      </c>
      <c r="AT32" s="2">
        <v>8835</v>
      </c>
      <c r="AU32" s="2">
        <v>10618</v>
      </c>
    </row>
    <row r="33" spans="3:48" x14ac:dyDescent="0.2">
      <c r="C33" s="6" t="s">
        <v>143</v>
      </c>
      <c r="D33" s="2"/>
      <c r="E33" s="2"/>
      <c r="F33" s="2"/>
      <c r="G33" s="2"/>
      <c r="H33" s="2"/>
      <c r="I33" s="2"/>
      <c r="J33" s="2"/>
      <c r="K33" s="2"/>
      <c r="L33" s="2"/>
      <c r="M33" s="2"/>
      <c r="N33" s="2"/>
      <c r="O33" s="2"/>
      <c r="P33" s="2"/>
      <c r="Q33" s="2"/>
      <c r="R33" s="2"/>
      <c r="S33" s="2"/>
      <c r="T33" s="30">
        <f>287+35</f>
        <v>322</v>
      </c>
      <c r="U33" s="16">
        <f>AN33-T33</f>
        <v>297</v>
      </c>
      <c r="V33" s="30">
        <f>347+45</f>
        <v>392</v>
      </c>
      <c r="W33" s="16">
        <f>AO33-V33</f>
        <v>378</v>
      </c>
      <c r="X33" s="2">
        <v>588</v>
      </c>
      <c r="Y33" s="16">
        <f>AP33-X33</f>
        <v>621</v>
      </c>
      <c r="Z33" s="2">
        <v>343</v>
      </c>
      <c r="AA33" s="16">
        <f>AQ33-Z33</f>
        <v>344</v>
      </c>
      <c r="AB33" s="2">
        <v>270</v>
      </c>
      <c r="AC33" s="16">
        <f>AR33-AB33</f>
        <v>380</v>
      </c>
      <c r="AD33" s="2">
        <v>411</v>
      </c>
      <c r="AE33" s="16">
        <f>AS33-AD33</f>
        <v>463</v>
      </c>
      <c r="AF33" s="2">
        <v>466</v>
      </c>
      <c r="AG33" s="16">
        <f>AT33-AF33</f>
        <v>526</v>
      </c>
      <c r="AH33" s="2">
        <v>657</v>
      </c>
      <c r="AI33" s="16">
        <f>AU33-AH33</f>
        <v>641</v>
      </c>
      <c r="AJ33" s="2">
        <v>703</v>
      </c>
      <c r="AK33" s="2"/>
      <c r="AL33" s="32">
        <f>466+64</f>
        <v>530</v>
      </c>
      <c r="AM33" s="32">
        <f>567+76</f>
        <v>643</v>
      </c>
      <c r="AN33" s="18">
        <v>619</v>
      </c>
      <c r="AO33" s="18">
        <v>770</v>
      </c>
      <c r="AP33" s="18">
        <v>1209</v>
      </c>
      <c r="AQ33" s="18">
        <v>687</v>
      </c>
      <c r="AR33" s="18">
        <v>650</v>
      </c>
      <c r="AS33" s="18">
        <v>874</v>
      </c>
      <c r="AT33" s="2">
        <v>992</v>
      </c>
      <c r="AU33" s="2">
        <v>1298</v>
      </c>
    </row>
    <row r="34" spans="3:48" ht="14.25" x14ac:dyDescent="0.35">
      <c r="C34" s="6" t="s">
        <v>144</v>
      </c>
      <c r="D34" s="2"/>
      <c r="E34" s="2"/>
      <c r="F34" s="2"/>
      <c r="G34" s="2"/>
      <c r="H34" s="2"/>
      <c r="I34" s="2"/>
      <c r="J34" s="2"/>
      <c r="K34" s="2"/>
      <c r="L34" s="2"/>
      <c r="M34" s="2"/>
      <c r="N34" s="2"/>
      <c r="O34" s="2"/>
      <c r="P34" s="2"/>
      <c r="Q34" s="2"/>
      <c r="R34" s="2"/>
      <c r="S34" s="2"/>
      <c r="T34" s="31">
        <v>0</v>
      </c>
      <c r="U34" s="17">
        <f>AN34-T34</f>
        <v>-14</v>
      </c>
      <c r="V34" s="31">
        <f>6+0</f>
        <v>6</v>
      </c>
      <c r="W34" s="17">
        <f>AO34-V34</f>
        <v>-17</v>
      </c>
      <c r="X34" s="4">
        <v>-1</v>
      </c>
      <c r="Y34" s="17">
        <f>AP34-X34</f>
        <v>-20</v>
      </c>
      <c r="Z34" s="4">
        <v>-73</v>
      </c>
      <c r="AA34" s="17">
        <f>AQ34-Z34</f>
        <v>-160</v>
      </c>
      <c r="AB34" s="4">
        <v>-59</v>
      </c>
      <c r="AC34" s="17">
        <f>AR34-AB34</f>
        <v>-27</v>
      </c>
      <c r="AD34" s="4">
        <v>42</v>
      </c>
      <c r="AE34" s="17">
        <f>AS34-AD34</f>
        <v>-2</v>
      </c>
      <c r="AF34" s="4">
        <v>-7</v>
      </c>
      <c r="AG34" s="17">
        <f>AT34-AF34</f>
        <v>-6</v>
      </c>
      <c r="AH34" s="4">
        <v>-12</v>
      </c>
      <c r="AI34" s="17">
        <f>AU34-AH34</f>
        <v>77</v>
      </c>
      <c r="AJ34" s="4">
        <v>-8</v>
      </c>
      <c r="AK34" s="4"/>
      <c r="AL34" s="33">
        <f>-43-10</f>
        <v>-53</v>
      </c>
      <c r="AM34" s="33">
        <f>-5-7</f>
        <v>-12</v>
      </c>
      <c r="AN34" s="19">
        <v>-14</v>
      </c>
      <c r="AO34" s="19">
        <v>-11</v>
      </c>
      <c r="AP34" s="19">
        <v>-21</v>
      </c>
      <c r="AQ34" s="19">
        <v>-233</v>
      </c>
      <c r="AR34" s="19">
        <v>-86</v>
      </c>
      <c r="AS34" s="19">
        <v>40</v>
      </c>
      <c r="AT34" s="4">
        <v>-13</v>
      </c>
      <c r="AU34" s="4">
        <v>65</v>
      </c>
    </row>
    <row r="35" spans="3:48" x14ac:dyDescent="0.2">
      <c r="C35" s="6" t="s">
        <v>145</v>
      </c>
      <c r="D35" s="2"/>
      <c r="E35" s="2"/>
      <c r="F35" s="2"/>
      <c r="G35" s="2"/>
      <c r="H35" s="2"/>
      <c r="I35" s="2"/>
      <c r="J35" s="2"/>
      <c r="K35" s="2"/>
      <c r="L35" s="2"/>
      <c r="M35" s="2"/>
      <c r="N35" s="2"/>
      <c r="O35" s="2"/>
      <c r="P35" s="2"/>
      <c r="Q35" s="2"/>
      <c r="R35" s="2"/>
      <c r="S35" s="2"/>
      <c r="T35" s="5">
        <f t="shared" ref="T35:W35" si="31">T33+T34</f>
        <v>322</v>
      </c>
      <c r="U35" s="5">
        <f t="shared" si="31"/>
        <v>283</v>
      </c>
      <c r="V35" s="5">
        <f t="shared" si="31"/>
        <v>398</v>
      </c>
      <c r="W35" s="5">
        <f t="shared" si="31"/>
        <v>361</v>
      </c>
      <c r="X35" s="5">
        <f>X33+X34</f>
        <v>587</v>
      </c>
      <c r="Y35" s="5">
        <f>Y33+Y34</f>
        <v>601</v>
      </c>
      <c r="Z35" s="5">
        <f>Z33+Z34</f>
        <v>270</v>
      </c>
      <c r="AA35" s="5">
        <f>AA33+AA34</f>
        <v>184</v>
      </c>
      <c r="AB35" s="5">
        <f>AB33+AB34</f>
        <v>211</v>
      </c>
      <c r="AC35" s="5">
        <f t="shared" ref="AC35:AJ35" si="32">AC33+AC34</f>
        <v>353</v>
      </c>
      <c r="AD35" s="5">
        <f t="shared" si="32"/>
        <v>453</v>
      </c>
      <c r="AE35" s="5">
        <f t="shared" si="32"/>
        <v>461</v>
      </c>
      <c r="AF35" s="5">
        <f t="shared" si="32"/>
        <v>459</v>
      </c>
      <c r="AG35" s="5">
        <f t="shared" si="32"/>
        <v>520</v>
      </c>
      <c r="AH35" s="5">
        <f t="shared" si="32"/>
        <v>645</v>
      </c>
      <c r="AI35" s="5">
        <f t="shared" si="32"/>
        <v>718</v>
      </c>
      <c r="AJ35" s="5">
        <f t="shared" si="32"/>
        <v>695</v>
      </c>
      <c r="AK35" s="5"/>
      <c r="AL35" s="5">
        <f t="shared" ref="AL35:AM35" si="33">AL33+AL34</f>
        <v>477</v>
      </c>
      <c r="AM35" s="5">
        <f t="shared" si="33"/>
        <v>631</v>
      </c>
      <c r="AN35" s="5">
        <f t="shared" ref="AN35:AQ35" si="34">AN33+AN34</f>
        <v>605</v>
      </c>
      <c r="AO35" s="5">
        <f t="shared" ref="AO35" si="35">AO33+AO34</f>
        <v>759</v>
      </c>
      <c r="AP35" s="5">
        <f>AP33+AP34</f>
        <v>1188</v>
      </c>
      <c r="AQ35" s="5">
        <f t="shared" si="34"/>
        <v>454</v>
      </c>
      <c r="AR35" s="5">
        <f>AR33+AR34</f>
        <v>564</v>
      </c>
      <c r="AS35" s="5">
        <f>AS33+AS34</f>
        <v>914</v>
      </c>
      <c r="AT35" s="5">
        <f>AT33+AT34</f>
        <v>979</v>
      </c>
      <c r="AU35" s="5">
        <f>AU33+AU34</f>
        <v>1363</v>
      </c>
      <c r="AV35" s="40">
        <f>((AU35/AL35)^(1/(2024-2015)))-1</f>
        <v>0.12373566348560217</v>
      </c>
    </row>
    <row r="36" spans="3:48" x14ac:dyDescent="0.2">
      <c r="C36" s="13" t="s">
        <v>147</v>
      </c>
      <c r="D36" s="2"/>
      <c r="E36" s="2"/>
      <c r="F36" s="2"/>
      <c r="G36" s="2"/>
      <c r="H36" s="2"/>
      <c r="I36" s="2"/>
      <c r="J36" s="2"/>
      <c r="K36" s="2"/>
      <c r="L36" s="2"/>
      <c r="M36" s="2"/>
      <c r="N36" s="2"/>
      <c r="O36" s="2"/>
      <c r="P36" s="2"/>
      <c r="Q36" s="2"/>
      <c r="R36" s="2"/>
      <c r="S36" s="2"/>
      <c r="T36" s="14">
        <f t="shared" ref="T36:W36" si="36">T35/T32</f>
        <v>9.9137931034482762E-2</v>
      </c>
      <c r="U36" s="14">
        <f t="shared" si="36"/>
        <v>0.14065606361829025</v>
      </c>
      <c r="V36" s="14">
        <f t="shared" si="36"/>
        <v>0.12299134734239803</v>
      </c>
      <c r="W36" s="14">
        <f t="shared" si="36"/>
        <v>0.16720704029643355</v>
      </c>
      <c r="X36" s="14">
        <f>X35/X32</f>
        <v>0.1289259828684384</v>
      </c>
      <c r="Y36" s="14">
        <f>Y35/Y32</f>
        <v>0.12779077184775675</v>
      </c>
      <c r="Z36" s="14">
        <f>Z35/Z32</f>
        <v>7.4216602528862016E-2</v>
      </c>
      <c r="AA36" s="14">
        <f>AA35/AA32</f>
        <v>5.6528417818740399E-2</v>
      </c>
      <c r="AB36" s="14">
        <f>AB35/AB32</f>
        <v>7.0995962314939431E-2</v>
      </c>
      <c r="AC36" s="14">
        <f t="shared" ref="AC36:AJ36" si="37">AC35/AC32</f>
        <v>0.10527885475693409</v>
      </c>
      <c r="AD36" s="14">
        <f t="shared" si="37"/>
        <v>0.12920707358813463</v>
      </c>
      <c r="AE36" s="14">
        <f t="shared" si="37"/>
        <v>0.11442045172499379</v>
      </c>
      <c r="AF36" s="14">
        <f t="shared" si="37"/>
        <v>0.11195121951219512</v>
      </c>
      <c r="AG36" s="14">
        <f t="shared" si="37"/>
        <v>0.10982048574445617</v>
      </c>
      <c r="AH36" s="14">
        <f t="shared" si="37"/>
        <v>0.12475822050290135</v>
      </c>
      <c r="AI36" s="14">
        <f t="shared" si="37"/>
        <v>0.13179148311306901</v>
      </c>
      <c r="AJ36" s="14">
        <f t="shared" si="37"/>
        <v>0.12390800499197718</v>
      </c>
      <c r="AK36" s="14"/>
      <c r="AL36" s="20">
        <f t="shared" ref="AL36:AM36" si="38">AL35/AL32</f>
        <v>7.6823965211789344E-2</v>
      </c>
      <c r="AM36" s="20">
        <f t="shared" si="38"/>
        <v>9.8856337145542844E-2</v>
      </c>
      <c r="AN36" s="20">
        <f t="shared" ref="AN36:AQ36" si="39">AN35/AN32</f>
        <v>0.1150190114068441</v>
      </c>
      <c r="AO36" s="20">
        <f t="shared" ref="AO36" si="40">AO35/AO32</f>
        <v>0.1406858202038925</v>
      </c>
      <c r="AP36" s="20">
        <f>AP35/AP32</f>
        <v>0.12834917891097666</v>
      </c>
      <c r="AQ36" s="20">
        <f t="shared" si="39"/>
        <v>6.586391991875816E-2</v>
      </c>
      <c r="AR36" s="20">
        <f>AR35/AR32</f>
        <v>8.9169960474308294E-2</v>
      </c>
      <c r="AS36" s="20">
        <f>AS35/AS32</f>
        <v>0.12130059721300597</v>
      </c>
      <c r="AT36" s="14">
        <f>AT35/AT32</f>
        <v>0.11080928126768534</v>
      </c>
      <c r="AU36" s="14">
        <f>AU35/AU32</f>
        <v>0.12836692409116596</v>
      </c>
      <c r="AV36" s="40">
        <f>((AU36/AL36)^(1/(2024-2015)))-1</f>
        <v>5.8700053608416125E-2</v>
      </c>
    </row>
    <row r="37" spans="3:48" x14ac:dyDescent="0.2">
      <c r="C37" s="8" t="s">
        <v>5</v>
      </c>
      <c r="S37" s="2"/>
      <c r="AC37" s="2"/>
    </row>
    <row r="38" spans="3:48" x14ac:dyDescent="0.2">
      <c r="C38" s="6" t="s">
        <v>14</v>
      </c>
      <c r="D38" s="2">
        <v>409</v>
      </c>
      <c r="E38" s="2">
        <v>461</v>
      </c>
      <c r="F38" s="2">
        <v>522</v>
      </c>
      <c r="G38" s="2">
        <v>586</v>
      </c>
      <c r="H38" s="2">
        <v>584</v>
      </c>
      <c r="I38" s="2">
        <v>579</v>
      </c>
      <c r="J38" s="2">
        <v>605</v>
      </c>
      <c r="K38" s="2">
        <v>709</v>
      </c>
      <c r="L38" s="2">
        <v>676</v>
      </c>
      <c r="M38" s="2">
        <v>735</v>
      </c>
      <c r="N38" s="2">
        <v>771</v>
      </c>
      <c r="O38" s="2">
        <v>855</v>
      </c>
      <c r="P38" s="2">
        <v>788</v>
      </c>
      <c r="Q38" s="2">
        <v>828</v>
      </c>
      <c r="R38" s="2">
        <v>802</v>
      </c>
      <c r="S38" s="2"/>
      <c r="T38" s="2">
        <v>0</v>
      </c>
      <c r="U38" s="16">
        <f>AN38-T38</f>
        <v>1316</v>
      </c>
      <c r="V38" s="30">
        <f>742+774</f>
        <v>1516</v>
      </c>
      <c r="W38" s="16">
        <f>AO38-V38</f>
        <v>-130</v>
      </c>
      <c r="X38" s="2">
        <v>1640</v>
      </c>
      <c r="Y38" s="16">
        <f>AP38-X38</f>
        <v>1681</v>
      </c>
      <c r="Z38" s="2">
        <v>1072</v>
      </c>
      <c r="AA38" s="16">
        <f>AQ38-Z38</f>
        <v>850</v>
      </c>
      <c r="AB38" s="2">
        <v>646</v>
      </c>
      <c r="AC38" s="16">
        <f>AR38-AB38</f>
        <v>829</v>
      </c>
      <c r="AD38" s="2">
        <v>870</v>
      </c>
      <c r="AE38" s="16">
        <f>AS38-AD38</f>
        <v>1108</v>
      </c>
      <c r="AF38" s="5">
        <f>H38+I38</f>
        <v>1163</v>
      </c>
      <c r="AG38" s="16">
        <f>AT38-AF38</f>
        <v>1314</v>
      </c>
      <c r="AH38" s="5">
        <f>L38+M38</f>
        <v>1411</v>
      </c>
      <c r="AI38" s="16">
        <f>AU38-AH38</f>
        <v>1626</v>
      </c>
      <c r="AJ38" s="2">
        <v>1616</v>
      </c>
      <c r="AK38" s="2"/>
      <c r="AL38" s="18"/>
      <c r="AM38" s="18"/>
      <c r="AN38" s="18">
        <v>1316</v>
      </c>
      <c r="AO38" s="18">
        <v>1386</v>
      </c>
      <c r="AP38" s="18">
        <v>3321</v>
      </c>
      <c r="AQ38" s="18">
        <v>1922</v>
      </c>
      <c r="AR38" s="18">
        <v>1475</v>
      </c>
      <c r="AS38" s="18">
        <v>1978</v>
      </c>
      <c r="AT38" s="2">
        <v>2477</v>
      </c>
      <c r="AU38" s="2">
        <v>3037</v>
      </c>
    </row>
    <row r="39" spans="3:48" x14ac:dyDescent="0.2">
      <c r="C39" s="6" t="s">
        <v>143</v>
      </c>
      <c r="D39" s="2"/>
      <c r="E39" s="2"/>
      <c r="F39" s="2"/>
      <c r="G39" s="2"/>
      <c r="H39" s="2"/>
      <c r="I39" s="2"/>
      <c r="J39" s="2"/>
      <c r="K39" s="2"/>
      <c r="L39" s="2"/>
      <c r="M39" s="2"/>
      <c r="N39" s="2"/>
      <c r="O39" s="2"/>
      <c r="P39" s="2"/>
      <c r="Q39" s="2"/>
      <c r="R39" s="2"/>
      <c r="S39" s="2"/>
      <c r="T39" s="2">
        <v>0</v>
      </c>
      <c r="U39" s="16">
        <f>AN39-T39</f>
        <v>93</v>
      </c>
      <c r="V39" s="30">
        <f>129+0</f>
        <v>129</v>
      </c>
      <c r="W39" s="16">
        <f>AO39-V39</f>
        <v>-11</v>
      </c>
      <c r="X39" s="2">
        <v>85</v>
      </c>
      <c r="Y39" s="16">
        <f>AP39-X39</f>
        <v>103</v>
      </c>
      <c r="Z39" s="2">
        <v>-101</v>
      </c>
      <c r="AA39" s="16">
        <f>AQ39-Z39</f>
        <v>-73</v>
      </c>
      <c r="AB39" s="2">
        <v>-110</v>
      </c>
      <c r="AC39" s="16">
        <f>AR39-AB39</f>
        <v>-57</v>
      </c>
      <c r="AD39" s="2">
        <v>-82</v>
      </c>
      <c r="AE39" s="16">
        <f>AS39-AD39</f>
        <v>-58</v>
      </c>
      <c r="AF39" s="2">
        <v>-100</v>
      </c>
      <c r="AG39" s="16">
        <f>AT39-AF39</f>
        <v>-16</v>
      </c>
      <c r="AH39" s="2">
        <v>10</v>
      </c>
      <c r="AI39" s="16">
        <f>AU39-AH39</f>
        <v>17</v>
      </c>
      <c r="AJ39" s="2">
        <v>27</v>
      </c>
      <c r="AK39" s="2"/>
      <c r="AL39" s="18"/>
      <c r="AM39" s="18"/>
      <c r="AN39" s="18">
        <v>93</v>
      </c>
      <c r="AO39" s="18">
        <v>118</v>
      </c>
      <c r="AP39" s="18">
        <v>188</v>
      </c>
      <c r="AQ39" s="18">
        <v>-174</v>
      </c>
      <c r="AR39" s="18">
        <v>-167</v>
      </c>
      <c r="AS39" s="18">
        <v>-140</v>
      </c>
      <c r="AT39" s="2">
        <v>-116</v>
      </c>
      <c r="AU39" s="2">
        <v>27</v>
      </c>
    </row>
    <row r="40" spans="3:48" ht="14.25" x14ac:dyDescent="0.35">
      <c r="C40" s="6" t="s">
        <v>144</v>
      </c>
      <c r="D40" s="2"/>
      <c r="E40" s="2"/>
      <c r="F40" s="2"/>
      <c r="G40" s="2"/>
      <c r="H40" s="2"/>
      <c r="I40" s="2"/>
      <c r="J40" s="2"/>
      <c r="K40" s="2"/>
      <c r="L40" s="2"/>
      <c r="M40" s="2"/>
      <c r="N40" s="2"/>
      <c r="O40" s="2"/>
      <c r="P40" s="2"/>
      <c r="Q40" s="2"/>
      <c r="R40" s="2"/>
      <c r="S40" s="2"/>
      <c r="T40" s="4">
        <v>0</v>
      </c>
      <c r="U40" s="17">
        <f>AN40-T40</f>
        <v>-14</v>
      </c>
      <c r="V40" s="31">
        <f>-1-2</f>
        <v>-3</v>
      </c>
      <c r="W40" s="17">
        <f>AO40-V40</f>
        <v>6</v>
      </c>
      <c r="X40" s="4">
        <v>-1</v>
      </c>
      <c r="Y40" s="17">
        <f>AP40-X40</f>
        <v>-5</v>
      </c>
      <c r="Z40" s="4">
        <v>-51</v>
      </c>
      <c r="AA40" s="17">
        <f>AQ40-Z40</f>
        <v>-21</v>
      </c>
      <c r="AB40" s="4">
        <v>-1</v>
      </c>
      <c r="AC40" s="17">
        <f>AR40-AB40</f>
        <v>-16</v>
      </c>
      <c r="AD40" s="4">
        <v>-4</v>
      </c>
      <c r="AE40" s="17">
        <f>AS40-AD40</f>
        <v>-342</v>
      </c>
      <c r="AF40" s="4">
        <v>-38</v>
      </c>
      <c r="AG40" s="17">
        <f>AT40-AF40</f>
        <v>-390</v>
      </c>
      <c r="AH40" s="4">
        <v>-9</v>
      </c>
      <c r="AI40" s="17">
        <f>AU40-AH40</f>
        <v>-36</v>
      </c>
      <c r="AJ40" s="4">
        <v>-29</v>
      </c>
      <c r="AK40" s="4"/>
      <c r="AL40" s="19"/>
      <c r="AM40" s="19"/>
      <c r="AN40" s="19">
        <v>-14</v>
      </c>
      <c r="AO40" s="19">
        <v>3</v>
      </c>
      <c r="AP40" s="19">
        <v>-6</v>
      </c>
      <c r="AQ40" s="19">
        <v>-72</v>
      </c>
      <c r="AR40" s="19">
        <v>-17</v>
      </c>
      <c r="AS40" s="19">
        <v>-346</v>
      </c>
      <c r="AT40" s="4">
        <v>-428</v>
      </c>
      <c r="AU40" s="4">
        <v>-45</v>
      </c>
    </row>
    <row r="41" spans="3:48" x14ac:dyDescent="0.2">
      <c r="C41" s="6" t="s">
        <v>145</v>
      </c>
      <c r="D41" s="2"/>
      <c r="E41" s="2"/>
      <c r="F41" s="2"/>
      <c r="G41" s="2"/>
      <c r="H41" s="2"/>
      <c r="I41" s="2"/>
      <c r="J41" s="2"/>
      <c r="K41" s="2"/>
      <c r="L41" s="2"/>
      <c r="M41" s="2"/>
      <c r="N41" s="2"/>
      <c r="O41" s="2"/>
      <c r="P41" s="2"/>
      <c r="Q41" s="2"/>
      <c r="R41" s="2"/>
      <c r="S41" s="2"/>
      <c r="T41" s="5">
        <f t="shared" ref="T41:W41" si="41">T39+T40</f>
        <v>0</v>
      </c>
      <c r="U41" s="5">
        <f t="shared" si="41"/>
        <v>79</v>
      </c>
      <c r="V41" s="5">
        <f t="shared" si="41"/>
        <v>126</v>
      </c>
      <c r="W41" s="5">
        <f t="shared" si="41"/>
        <v>-5</v>
      </c>
      <c r="X41" s="5">
        <f>X39+X40</f>
        <v>84</v>
      </c>
      <c r="Y41" s="5">
        <f>Y39+Y40</f>
        <v>98</v>
      </c>
      <c r="Z41" s="5">
        <f>Z39+Z40</f>
        <v>-152</v>
      </c>
      <c r="AA41" s="5">
        <f>AA39+AA40</f>
        <v>-94</v>
      </c>
      <c r="AB41" s="5">
        <f>AB39+AB40</f>
        <v>-111</v>
      </c>
      <c r="AC41" s="5">
        <f t="shared" ref="AC41:AJ41" si="42">AC39+AC40</f>
        <v>-73</v>
      </c>
      <c r="AD41" s="5">
        <f t="shared" si="42"/>
        <v>-86</v>
      </c>
      <c r="AE41" s="5">
        <f t="shared" si="42"/>
        <v>-400</v>
      </c>
      <c r="AF41" s="5">
        <f t="shared" si="42"/>
        <v>-138</v>
      </c>
      <c r="AG41" s="5">
        <f t="shared" si="42"/>
        <v>-406</v>
      </c>
      <c r="AH41" s="5">
        <f t="shared" si="42"/>
        <v>1</v>
      </c>
      <c r="AI41" s="5">
        <f t="shared" si="42"/>
        <v>-19</v>
      </c>
      <c r="AJ41" s="5">
        <f t="shared" si="42"/>
        <v>-2</v>
      </c>
      <c r="AK41" s="5"/>
      <c r="AL41" s="5"/>
      <c r="AM41" s="5"/>
      <c r="AN41" s="5">
        <f t="shared" ref="AN41:AQ41" si="43">AN39+AN40</f>
        <v>79</v>
      </c>
      <c r="AO41" s="5">
        <f t="shared" ref="AO41" si="44">AO39+AO40</f>
        <v>121</v>
      </c>
      <c r="AP41" s="5">
        <f>AP39+AP40</f>
        <v>182</v>
      </c>
      <c r="AQ41" s="5">
        <f t="shared" si="43"/>
        <v>-246</v>
      </c>
      <c r="AR41" s="5">
        <f>AR39+AR40</f>
        <v>-184</v>
      </c>
      <c r="AS41" s="5">
        <f>AS39+AS40</f>
        <v>-486</v>
      </c>
      <c r="AT41" s="5">
        <f>AT39+AT40</f>
        <v>-544</v>
      </c>
      <c r="AU41" s="5">
        <f>AU39+AU40</f>
        <v>-18</v>
      </c>
    </row>
    <row r="42" spans="3:48" x14ac:dyDescent="0.2">
      <c r="C42" s="13" t="s">
        <v>147</v>
      </c>
      <c r="D42" s="2"/>
      <c r="E42" s="2"/>
      <c r="F42" s="2"/>
      <c r="G42" s="2"/>
      <c r="H42" s="2"/>
      <c r="I42" s="2"/>
      <c r="J42" s="2"/>
      <c r="K42" s="2"/>
      <c r="L42" s="2"/>
      <c r="M42" s="2"/>
      <c r="N42" s="2"/>
      <c r="O42" s="2"/>
      <c r="P42" s="2"/>
      <c r="Q42" s="2"/>
      <c r="R42" s="2"/>
      <c r="S42" s="2"/>
      <c r="T42" s="14" t="e">
        <f t="shared" ref="T42:W42" si="45">T41/T38</f>
        <v>#DIV/0!</v>
      </c>
      <c r="U42" s="14">
        <f t="shared" si="45"/>
        <v>6.0030395136778117E-2</v>
      </c>
      <c r="V42" s="14">
        <f t="shared" si="45"/>
        <v>8.3113456464379953E-2</v>
      </c>
      <c r="W42" s="14">
        <f t="shared" si="45"/>
        <v>3.8461538461538464E-2</v>
      </c>
      <c r="X42" s="14">
        <f>X41/X38</f>
        <v>5.1219512195121948E-2</v>
      </c>
      <c r="Y42" s="14">
        <f>Y41/Y38</f>
        <v>5.829863176680547E-2</v>
      </c>
      <c r="Z42" s="14">
        <f>Z41/Z38</f>
        <v>-0.1417910447761194</v>
      </c>
      <c r="AA42" s="14">
        <f>AA41/AA38</f>
        <v>-0.11058823529411765</v>
      </c>
      <c r="AB42" s="14">
        <f>AB41/AB38</f>
        <v>-0.17182662538699692</v>
      </c>
      <c r="AC42" s="14">
        <f t="shared" ref="AC42:AJ42" si="46">AC41/AC38</f>
        <v>-8.805790108564536E-2</v>
      </c>
      <c r="AD42" s="14">
        <f t="shared" si="46"/>
        <v>-9.8850574712643677E-2</v>
      </c>
      <c r="AE42" s="14">
        <f t="shared" si="46"/>
        <v>-0.36101083032490977</v>
      </c>
      <c r="AF42" s="14">
        <f t="shared" si="46"/>
        <v>-0.11865864144453998</v>
      </c>
      <c r="AG42" s="14">
        <f t="shared" si="46"/>
        <v>-0.30898021308980211</v>
      </c>
      <c r="AH42" s="14">
        <f t="shared" si="46"/>
        <v>7.0871722182849046E-4</v>
      </c>
      <c r="AI42" s="14">
        <f t="shared" si="46"/>
        <v>-1.1685116851168511E-2</v>
      </c>
      <c r="AJ42" s="14">
        <f t="shared" si="46"/>
        <v>-1.2376237623762376E-3</v>
      </c>
      <c r="AK42" s="14">
        <f>(AI41+AJ41)/(AJ38+AI38)</f>
        <v>-6.4774830351634789E-3</v>
      </c>
      <c r="AL42" s="20"/>
      <c r="AM42" s="20"/>
      <c r="AN42" s="20">
        <f t="shared" ref="AN42:AQ42" si="47">AN41/AN38</f>
        <v>6.0030395136778117E-2</v>
      </c>
      <c r="AO42" s="20">
        <f t="shared" ref="AO42" si="48">AO41/AO38</f>
        <v>8.7301587301587297E-2</v>
      </c>
      <c r="AP42" s="20">
        <f>AP41/AP38</f>
        <v>5.480277024992472E-2</v>
      </c>
      <c r="AQ42" s="20">
        <f t="shared" si="47"/>
        <v>-0.12799167533818939</v>
      </c>
      <c r="AR42" s="20">
        <f>AR41/AR38</f>
        <v>-0.12474576271186441</v>
      </c>
      <c r="AS42" s="20">
        <f>AS41/AS38</f>
        <v>-0.24570273003033366</v>
      </c>
      <c r="AT42" s="14">
        <f>AT41/AT38</f>
        <v>-0.21962050867985466</v>
      </c>
      <c r="AU42" s="14">
        <f>AU41/AU38</f>
        <v>-5.9269015475798487E-3</v>
      </c>
      <c r="AV42" s="40">
        <f>((AU42/AN42)^(1/(2024-2017)))-1</f>
        <v>-1.7183745368892662</v>
      </c>
    </row>
    <row r="43" spans="3:48" x14ac:dyDescent="0.2">
      <c r="C43" s="1" t="s">
        <v>6</v>
      </c>
      <c r="D43" s="2">
        <v>4</v>
      </c>
      <c r="E43" s="2">
        <v>4</v>
      </c>
      <c r="F43" s="2">
        <v>4</v>
      </c>
      <c r="G43" s="2">
        <v>4</v>
      </c>
      <c r="H43" s="2">
        <v>2</v>
      </c>
      <c r="I43" s="2">
        <v>3</v>
      </c>
      <c r="J43" s="2">
        <v>3</v>
      </c>
      <c r="K43" s="2">
        <v>3</v>
      </c>
      <c r="L43" s="2">
        <v>3</v>
      </c>
      <c r="M43" s="2">
        <v>2</v>
      </c>
      <c r="N43" s="2">
        <v>2</v>
      </c>
      <c r="O43" s="2">
        <v>3</v>
      </c>
      <c r="P43" s="2">
        <v>2</v>
      </c>
      <c r="Q43" s="2">
        <v>2</v>
      </c>
      <c r="R43" s="2">
        <v>2</v>
      </c>
      <c r="S43" s="2"/>
      <c r="T43" s="2">
        <v>10</v>
      </c>
      <c r="U43" s="2"/>
      <c r="V43" s="5"/>
      <c r="W43" s="5"/>
      <c r="X43" s="5"/>
      <c r="Y43" s="5"/>
      <c r="Z43" s="2">
        <v>7</v>
      </c>
      <c r="AA43" s="2">
        <v>10</v>
      </c>
      <c r="AB43" s="5"/>
      <c r="AC43" s="2"/>
      <c r="AD43" s="5"/>
      <c r="AE43" s="5"/>
      <c r="AF43" s="5">
        <f>H43+I43</f>
        <v>5</v>
      </c>
      <c r="AG43" s="16">
        <f>AT43-AF43</f>
        <v>6</v>
      </c>
      <c r="AH43" s="5">
        <f>L43+M43</f>
        <v>5</v>
      </c>
      <c r="AI43" s="16">
        <f>AU43-AH43</f>
        <v>5</v>
      </c>
      <c r="AJ43" s="2">
        <v>3</v>
      </c>
      <c r="AK43" s="2"/>
      <c r="AL43" s="18">
        <v>8</v>
      </c>
      <c r="AM43" s="18">
        <v>7</v>
      </c>
      <c r="AN43" s="18">
        <v>20</v>
      </c>
      <c r="AO43" s="18">
        <v>18</v>
      </c>
      <c r="AP43" s="18">
        <v>18</v>
      </c>
      <c r="AQ43" s="18">
        <v>20</v>
      </c>
      <c r="AR43" s="24">
        <v>11</v>
      </c>
      <c r="AS43" s="24">
        <v>16</v>
      </c>
      <c r="AT43" s="2">
        <v>11</v>
      </c>
      <c r="AU43" s="2">
        <v>10</v>
      </c>
    </row>
    <row r="44" spans="3:48" x14ac:dyDescent="0.2">
      <c r="D44" s="18"/>
      <c r="E44" s="18"/>
      <c r="F44" s="18"/>
      <c r="G44" s="18"/>
      <c r="H44" s="18"/>
      <c r="I44" s="18"/>
      <c r="J44" s="18"/>
      <c r="K44" s="18"/>
      <c r="L44" s="18"/>
      <c r="M44" s="18"/>
      <c r="N44" s="18"/>
      <c r="O44" s="18"/>
      <c r="P44" s="18"/>
      <c r="Q44" s="18"/>
      <c r="R44" s="18"/>
      <c r="S44" s="18"/>
      <c r="T44" s="18"/>
      <c r="U44" s="18"/>
      <c r="V44" s="5"/>
      <c r="W44" s="5"/>
      <c r="X44" s="5"/>
      <c r="Y44" s="5"/>
      <c r="Z44" s="18"/>
      <c r="AA44" s="18"/>
      <c r="AB44" s="5"/>
      <c r="AC44" s="18"/>
      <c r="AD44" s="5"/>
      <c r="AE44" s="5"/>
      <c r="AF44" s="5"/>
      <c r="AG44" s="36"/>
      <c r="AH44" s="5"/>
      <c r="AI44" s="36"/>
      <c r="AJ44" s="18"/>
      <c r="AK44" s="18"/>
      <c r="AL44" s="18"/>
      <c r="AM44" s="18"/>
      <c r="AN44" s="18"/>
      <c r="AO44" s="18"/>
      <c r="AP44" s="18"/>
      <c r="AQ44" s="18"/>
      <c r="AR44" s="18"/>
      <c r="AS44" s="18"/>
      <c r="AT44" s="18"/>
      <c r="AU44" s="18"/>
    </row>
    <row r="45" spans="3:48" x14ac:dyDescent="0.2">
      <c r="C45" s="37" t="s">
        <v>189</v>
      </c>
      <c r="D45" s="18"/>
      <c r="E45" s="18"/>
      <c r="F45" s="18"/>
      <c r="G45" s="18"/>
      <c r="H45" s="18"/>
      <c r="I45" s="18"/>
      <c r="J45" s="18"/>
      <c r="K45" s="18"/>
      <c r="L45" s="18"/>
      <c r="M45" s="18"/>
      <c r="N45" s="18"/>
      <c r="O45" s="18"/>
      <c r="P45" s="18"/>
      <c r="Q45" s="18"/>
      <c r="R45" s="18"/>
      <c r="S45" s="18"/>
      <c r="T45" s="38">
        <f>T26/T51</f>
        <v>0.57533889468196042</v>
      </c>
      <c r="U45" s="38">
        <f t="shared" ref="U45:AJ45" si="49">U26/U51</f>
        <v>0.59690858591957496</v>
      </c>
      <c r="V45" s="38">
        <f t="shared" si="49"/>
        <v>0.4995787700084246</v>
      </c>
      <c r="W45" s="38">
        <f t="shared" si="49"/>
        <v>0.73604126370083822</v>
      </c>
      <c r="X45" s="38">
        <f t="shared" si="49"/>
        <v>0.48797023563455971</v>
      </c>
      <c r="Y45" s="38">
        <f t="shared" si="49"/>
        <v>0.48967716221602231</v>
      </c>
      <c r="Z45" s="38">
        <f t="shared" si="49"/>
        <v>0.46177544500228207</v>
      </c>
      <c r="AA45" s="38">
        <f t="shared" si="49"/>
        <v>0.46754590121541245</v>
      </c>
      <c r="AB45" s="38">
        <f t="shared" si="49"/>
        <v>0.47313237221494103</v>
      </c>
      <c r="AC45" s="38">
        <f t="shared" si="49"/>
        <v>0.49982106644399382</v>
      </c>
      <c r="AD45" s="38">
        <f t="shared" si="49"/>
        <v>0.48830682881197379</v>
      </c>
      <c r="AE45" s="38">
        <f t="shared" si="49"/>
        <v>0.50844223981684633</v>
      </c>
      <c r="AF45" s="38">
        <f t="shared" si="49"/>
        <v>0.51868433074463227</v>
      </c>
      <c r="AG45" s="38">
        <f t="shared" si="49"/>
        <v>0.5058756324465481</v>
      </c>
      <c r="AH45" s="38">
        <f t="shared" si="49"/>
        <v>0.49520962673411512</v>
      </c>
      <c r="AI45" s="38">
        <f t="shared" si="49"/>
        <v>0.50392431674842331</v>
      </c>
      <c r="AJ45" s="38">
        <f t="shared" si="49"/>
        <v>0.51059651973728759</v>
      </c>
      <c r="AK45" s="18"/>
      <c r="AL45" s="38">
        <f>AL26/AL51</f>
        <v>0.59983264675592174</v>
      </c>
      <c r="AM45" s="38">
        <f t="shared" ref="AM45:AU45" si="50">AM26/AM51</f>
        <v>0.59508269437931693</v>
      </c>
      <c r="AN45" s="38">
        <f t="shared" si="50"/>
        <v>0.58653544787814205</v>
      </c>
      <c r="AO45" s="38">
        <f t="shared" si="50"/>
        <v>0.60587792012057273</v>
      </c>
      <c r="AP45" s="38">
        <f t="shared" si="50"/>
        <v>0.4888392857142857</v>
      </c>
      <c r="AQ45" s="38">
        <f t="shared" si="50"/>
        <v>0.46448054309613285</v>
      </c>
      <c r="AR45" s="38">
        <f t="shared" si="50"/>
        <v>0.48780327868852458</v>
      </c>
      <c r="AS45" s="38">
        <f t="shared" si="50"/>
        <v>0.4993958497504597</v>
      </c>
      <c r="AT45" s="38">
        <f t="shared" si="50"/>
        <v>0.51191861718177512</v>
      </c>
      <c r="AU45" s="38">
        <f t="shared" si="50"/>
        <v>0.49976205293407033</v>
      </c>
    </row>
    <row r="46" spans="3:48" x14ac:dyDescent="0.2">
      <c r="C46" s="37" t="s">
        <v>190</v>
      </c>
      <c r="D46" s="18"/>
      <c r="E46" s="18"/>
      <c r="F46" s="18"/>
      <c r="G46" s="18"/>
      <c r="H46" s="18"/>
      <c r="I46" s="18"/>
      <c r="J46" s="18"/>
      <c r="K46" s="18"/>
      <c r="L46" s="18"/>
      <c r="M46" s="18"/>
      <c r="N46" s="18"/>
      <c r="O46" s="18"/>
      <c r="P46" s="18"/>
      <c r="Q46" s="18"/>
      <c r="R46" s="18"/>
      <c r="S46" s="18"/>
      <c r="T46" s="38">
        <f>T32/T51</f>
        <v>0.42335766423357662</v>
      </c>
      <c r="U46" s="38">
        <f t="shared" ref="U46:AJ46" si="51">U32/U51</f>
        <v>0.2429658253834078</v>
      </c>
      <c r="V46" s="38">
        <f t="shared" si="51"/>
        <v>0.34077506318449874</v>
      </c>
      <c r="W46" s="38">
        <f t="shared" si="51"/>
        <v>0.27840103159252094</v>
      </c>
      <c r="X46" s="38">
        <f t="shared" si="51"/>
        <v>0.37643654402645721</v>
      </c>
      <c r="Y46" s="38">
        <f t="shared" si="51"/>
        <v>0.37489039457951373</v>
      </c>
      <c r="Z46" s="38">
        <f t="shared" si="51"/>
        <v>0.4151072569602921</v>
      </c>
      <c r="AA46" s="38">
        <f t="shared" si="51"/>
        <v>0.42086889061287819</v>
      </c>
      <c r="AB46" s="38">
        <f t="shared" si="51"/>
        <v>0.43279452453764378</v>
      </c>
      <c r="AC46" s="38">
        <f t="shared" si="51"/>
        <v>0.39997614219253252</v>
      </c>
      <c r="AD46" s="38">
        <f t="shared" si="51"/>
        <v>0.4099625818521983</v>
      </c>
      <c r="AE46" s="38">
        <f t="shared" si="51"/>
        <v>0.38433654488219021</v>
      </c>
      <c r="AF46" s="38">
        <f t="shared" si="51"/>
        <v>0.37460027409776153</v>
      </c>
      <c r="AG46" s="38">
        <f t="shared" si="51"/>
        <v>0.38640443936673741</v>
      </c>
      <c r="AH46" s="38">
        <f t="shared" si="51"/>
        <v>0.39625967655399708</v>
      </c>
      <c r="AI46" s="38">
        <f t="shared" si="51"/>
        <v>0.38177995795374914</v>
      </c>
      <c r="AJ46" s="38">
        <f t="shared" si="51"/>
        <v>0.37978197576003792</v>
      </c>
      <c r="AK46" s="18"/>
      <c r="AL46" s="38">
        <f>AL32/AL51</f>
        <v>0.39965242018537589</v>
      </c>
      <c r="AM46" s="38">
        <f t="shared" ref="AM46:AU46" si="52">AM32/AM51</f>
        <v>0.40447373423737404</v>
      </c>
      <c r="AN46" s="38">
        <f t="shared" si="52"/>
        <v>0.32971854823544161</v>
      </c>
      <c r="AO46" s="38">
        <f t="shared" si="52"/>
        <v>0.31273549359457425</v>
      </c>
      <c r="AP46" s="38">
        <f t="shared" si="52"/>
        <v>0.37564935064935062</v>
      </c>
      <c r="AQ46" s="38">
        <f t="shared" si="52"/>
        <v>0.4178082191780822</v>
      </c>
      <c r="AR46" s="38">
        <f t="shared" si="52"/>
        <v>0.41475409836065574</v>
      </c>
      <c r="AS46" s="38">
        <f t="shared" si="52"/>
        <v>0.39584975045967952</v>
      </c>
      <c r="AT46" s="38">
        <f t="shared" si="52"/>
        <v>0.38083538083538082</v>
      </c>
      <c r="AU46" s="38">
        <f t="shared" si="52"/>
        <v>0.38869568400629645</v>
      </c>
    </row>
    <row r="47" spans="3:48" x14ac:dyDescent="0.2">
      <c r="C47" s="37" t="s">
        <v>191</v>
      </c>
      <c r="D47" s="18"/>
      <c r="E47" s="18"/>
      <c r="F47" s="18"/>
      <c r="G47" s="18"/>
      <c r="H47" s="18"/>
      <c r="I47" s="18"/>
      <c r="J47" s="18"/>
      <c r="K47" s="18"/>
      <c r="L47" s="18"/>
      <c r="M47" s="18"/>
      <c r="N47" s="18"/>
      <c r="O47" s="18"/>
      <c r="P47" s="18"/>
      <c r="Q47" s="18"/>
      <c r="R47" s="18"/>
      <c r="S47" s="18"/>
      <c r="T47" s="38">
        <f>T38/T51</f>
        <v>0</v>
      </c>
      <c r="U47" s="38">
        <f t="shared" ref="U47:AJ47" si="53">U38/U51</f>
        <v>0.15891800507185122</v>
      </c>
      <c r="V47" s="38">
        <f t="shared" si="53"/>
        <v>0.15964616680707666</v>
      </c>
      <c r="W47" s="38">
        <f t="shared" si="53"/>
        <v>-1.6763378465506126E-2</v>
      </c>
      <c r="X47" s="38">
        <f t="shared" si="53"/>
        <v>0.13559322033898305</v>
      </c>
      <c r="Y47" s="38">
        <f t="shared" si="53"/>
        <v>0.13399760860900758</v>
      </c>
      <c r="Z47" s="38">
        <f t="shared" si="53"/>
        <v>0.1223185759926974</v>
      </c>
      <c r="AA47" s="38">
        <f t="shared" si="53"/>
        <v>0.10990431859322472</v>
      </c>
      <c r="AB47" s="38">
        <f t="shared" si="53"/>
        <v>9.4073103247415177E-2</v>
      </c>
      <c r="AC47" s="38">
        <f t="shared" si="53"/>
        <v>9.889061195276154E-2</v>
      </c>
      <c r="AD47" s="38">
        <f t="shared" si="53"/>
        <v>0.10173058933582788</v>
      </c>
      <c r="AE47" s="38">
        <f t="shared" si="53"/>
        <v>0.10569493465610989</v>
      </c>
      <c r="AF47" s="38">
        <f t="shared" si="53"/>
        <v>0.10625856555504797</v>
      </c>
      <c r="AG47" s="38">
        <f t="shared" si="53"/>
        <v>0.10723029214950221</v>
      </c>
      <c r="AH47" s="38">
        <f t="shared" si="53"/>
        <v>0.10814746685061701</v>
      </c>
      <c r="AI47" s="38">
        <f t="shared" si="53"/>
        <v>0.11394533987386125</v>
      </c>
      <c r="AJ47" s="38">
        <f t="shared" si="53"/>
        <v>0.10941837632879681</v>
      </c>
      <c r="AK47" s="18"/>
      <c r="AL47" s="38">
        <f>AL38/AL51</f>
        <v>0</v>
      </c>
      <c r="AM47" s="38">
        <f t="shared" ref="AM47:AU47" si="54">AM38/AM51</f>
        <v>0</v>
      </c>
      <c r="AN47" s="38">
        <f t="shared" si="54"/>
        <v>8.2492321193505927E-2</v>
      </c>
      <c r="AO47" s="38">
        <f t="shared" si="54"/>
        <v>8.034316851197032E-2</v>
      </c>
      <c r="AP47" s="38">
        <f t="shared" si="54"/>
        <v>0.13478084415584415</v>
      </c>
      <c r="AQ47" s="38">
        <f t="shared" si="54"/>
        <v>0.11649896957206934</v>
      </c>
      <c r="AR47" s="38">
        <f t="shared" si="54"/>
        <v>9.6721311475409841E-2</v>
      </c>
      <c r="AS47" s="38">
        <f t="shared" si="54"/>
        <v>0.10391384292093513</v>
      </c>
      <c r="AT47" s="38">
        <f t="shared" si="54"/>
        <v>0.10677184361394888</v>
      </c>
      <c r="AU47" s="38">
        <f t="shared" si="54"/>
        <v>0.11117619065051067</v>
      </c>
    </row>
    <row r="48" spans="3:48" x14ac:dyDescent="0.2">
      <c r="C48" s="37" t="s">
        <v>222</v>
      </c>
      <c r="D48" s="18"/>
      <c r="E48" s="18"/>
      <c r="F48" s="18"/>
      <c r="G48" s="18"/>
      <c r="H48" s="18"/>
      <c r="I48" s="18"/>
      <c r="J48" s="18"/>
      <c r="K48" s="18"/>
      <c r="L48" s="18"/>
      <c r="M48" s="18"/>
      <c r="N48" s="18"/>
      <c r="O48" s="18"/>
      <c r="P48" s="18"/>
      <c r="Q48" s="18"/>
      <c r="R48" s="18"/>
      <c r="S48" s="18"/>
      <c r="T48" s="38">
        <f>T43/T52</f>
        <v>1.2482836100362001E-3</v>
      </c>
      <c r="U48" s="38">
        <f t="shared" ref="U48:AJ48" si="55">U43/U52</f>
        <v>0</v>
      </c>
      <c r="V48" s="38">
        <f t="shared" si="55"/>
        <v>0</v>
      </c>
      <c r="W48" s="38">
        <f t="shared" si="55"/>
        <v>0</v>
      </c>
      <c r="X48" s="38">
        <f t="shared" si="55"/>
        <v>0</v>
      </c>
      <c r="Y48" s="38">
        <f t="shared" si="55"/>
        <v>0</v>
      </c>
      <c r="Z48" s="38">
        <f t="shared" si="55"/>
        <v>7.863401482812851E-4</v>
      </c>
      <c r="AA48" s="38">
        <f t="shared" si="55"/>
        <v>1.2938284383490748E-3</v>
      </c>
      <c r="AB48" s="38">
        <f t="shared" si="55"/>
        <v>0</v>
      </c>
      <c r="AC48" s="38">
        <f t="shared" si="55"/>
        <v>0</v>
      </c>
      <c r="AD48" s="38">
        <f t="shared" si="55"/>
        <v>0</v>
      </c>
      <c r="AE48" s="38">
        <f t="shared" si="55"/>
        <v>0</v>
      </c>
      <c r="AF48" s="38">
        <f t="shared" si="55"/>
        <v>4.4927666457004225E-4</v>
      </c>
      <c r="AG48" s="38">
        <f t="shared" si="55"/>
        <v>4.7915668423574511E-4</v>
      </c>
      <c r="AH48" s="38">
        <f t="shared" si="55"/>
        <v>3.78673129354741E-4</v>
      </c>
      <c r="AI48" s="38">
        <f t="shared" si="55"/>
        <v>3.4454244762954794E-4</v>
      </c>
      <c r="AJ48" s="38">
        <f t="shared" si="55"/>
        <v>2.0181634712411706E-4</v>
      </c>
      <c r="AK48" s="18"/>
      <c r="AL48" s="38">
        <f>AL43/AL52</f>
        <v>4.9315744051288369E-4</v>
      </c>
      <c r="AM48" s="38">
        <f t="shared" ref="AM48:AU48" si="56">AM43/AM52</f>
        <v>4.2470573959470936E-4</v>
      </c>
      <c r="AN48" s="38">
        <f t="shared" si="56"/>
        <v>1.2212994626282364E-3</v>
      </c>
      <c r="AO48" s="38">
        <f t="shared" si="56"/>
        <v>8.5612366230677765E-4</v>
      </c>
      <c r="AP48" s="38">
        <f t="shared" si="56"/>
        <v>7.171886206072197E-4</v>
      </c>
      <c r="AQ48" s="38">
        <f t="shared" si="56"/>
        <v>1.2025735073056341E-3</v>
      </c>
      <c r="AR48" s="38">
        <f t="shared" si="56"/>
        <v>7.2688825745060464E-4</v>
      </c>
      <c r="AS48" s="38">
        <f t="shared" si="56"/>
        <v>8.1954617630487119E-4</v>
      </c>
      <c r="AT48" s="38">
        <f t="shared" si="56"/>
        <v>4.6509661325102534E-4</v>
      </c>
      <c r="AU48" s="38">
        <f t="shared" si="56"/>
        <v>3.6080242459229326E-4</v>
      </c>
    </row>
    <row r="49" spans="2:48" x14ac:dyDescent="0.2">
      <c r="D49" s="5"/>
      <c r="E49" s="5"/>
      <c r="F49" s="5"/>
      <c r="G49" s="5"/>
      <c r="H49" s="5">
        <f t="shared" ref="H49:R49" si="57">SUM(H26:H43)</f>
        <v>5266</v>
      </c>
      <c r="I49" s="5">
        <f t="shared" si="57"/>
        <v>5679</v>
      </c>
      <c r="J49" s="5">
        <f t="shared" si="57"/>
        <v>5825</v>
      </c>
      <c r="K49" s="5">
        <f t="shared" si="57"/>
        <v>7429</v>
      </c>
      <c r="L49" s="5">
        <f t="shared" si="57"/>
        <v>6220</v>
      </c>
      <c r="M49" s="5">
        <f t="shared" si="57"/>
        <v>6827</v>
      </c>
      <c r="N49" s="5">
        <f t="shared" si="57"/>
        <v>6639</v>
      </c>
      <c r="O49" s="5">
        <f t="shared" si="57"/>
        <v>6631</v>
      </c>
      <c r="P49" s="5">
        <f t="shared" si="57"/>
        <v>7257</v>
      </c>
      <c r="Q49" s="5">
        <f t="shared" si="57"/>
        <v>7513</v>
      </c>
      <c r="R49" s="5">
        <f t="shared" si="57"/>
        <v>7852</v>
      </c>
      <c r="S49" s="5"/>
      <c r="T49" s="5"/>
      <c r="U49" s="5"/>
      <c r="V49" s="5"/>
      <c r="W49" s="5"/>
      <c r="X49" s="5"/>
      <c r="Y49" s="5"/>
      <c r="Z49" s="5"/>
      <c r="AA49" s="5"/>
      <c r="AB49" s="5"/>
      <c r="AC49" s="5"/>
      <c r="AD49" s="5"/>
      <c r="AE49" s="5"/>
      <c r="AF49" s="5"/>
      <c r="AG49" s="5"/>
      <c r="AH49" s="5"/>
      <c r="AI49" s="5"/>
      <c r="AJ49" s="62">
        <f>(AJ50/AL51)^(1/(2025-2015))-1</f>
        <v>6.4545539117255579E-2</v>
      </c>
      <c r="AT49" s="5"/>
      <c r="AU49" s="5"/>
    </row>
    <row r="50" spans="2:48" x14ac:dyDescent="0.2">
      <c r="B50" s="1" t="s">
        <v>57</v>
      </c>
      <c r="C50" s="12" t="s">
        <v>13</v>
      </c>
      <c r="AJ50" s="5">
        <f>+AJ51+AI51</f>
        <v>29039</v>
      </c>
    </row>
    <row r="51" spans="2:48" x14ac:dyDescent="0.2">
      <c r="C51" s="1" t="s">
        <v>14</v>
      </c>
      <c r="D51" s="5">
        <f>D43+D38+D32+D26</f>
        <v>4071</v>
      </c>
      <c r="E51" s="5">
        <f>E43+E38+E32+E26</f>
        <v>4489</v>
      </c>
      <c r="F51" s="5">
        <f>F43+F38+F32+F26</f>
        <v>4849</v>
      </c>
      <c r="G51" s="5">
        <f>G43+G38+G32+G26</f>
        <v>5626</v>
      </c>
      <c r="H51" s="5">
        <f>H43+H38+H32+H26</f>
        <v>5266</v>
      </c>
      <c r="I51" s="5">
        <f t="shared" ref="I51:R51" si="58">I43+I38+I32+I26</f>
        <v>5679</v>
      </c>
      <c r="J51" s="5">
        <f t="shared" si="58"/>
        <v>5825</v>
      </c>
      <c r="K51" s="5">
        <f t="shared" si="58"/>
        <v>7429</v>
      </c>
      <c r="L51" s="5">
        <f t="shared" si="58"/>
        <v>6220</v>
      </c>
      <c r="M51" s="5">
        <f t="shared" si="58"/>
        <v>6827</v>
      </c>
      <c r="N51" s="5">
        <f t="shared" si="58"/>
        <v>6639</v>
      </c>
      <c r="O51" s="5">
        <f t="shared" si="58"/>
        <v>6631</v>
      </c>
      <c r="P51" s="5">
        <f t="shared" si="58"/>
        <v>7257</v>
      </c>
      <c r="Q51" s="5">
        <f t="shared" si="58"/>
        <v>7513</v>
      </c>
      <c r="R51" s="5">
        <f t="shared" si="58"/>
        <v>7852</v>
      </c>
      <c r="T51" s="5">
        <f>T43+T38+T32+T26</f>
        <v>7672</v>
      </c>
      <c r="U51" s="16">
        <f>AN51-T51</f>
        <v>8281</v>
      </c>
      <c r="V51" s="5">
        <f>V43+V38+V32+V26</f>
        <v>9496</v>
      </c>
      <c r="W51" s="16">
        <f>AO51-V51</f>
        <v>7755</v>
      </c>
      <c r="X51" s="5">
        <f>X43+X38+X32+X26</f>
        <v>12095</v>
      </c>
      <c r="Y51" s="16">
        <f>AP51-X51</f>
        <v>12545</v>
      </c>
      <c r="Z51" s="5">
        <f>Z43+Z38+Z32+Z26</f>
        <v>8764</v>
      </c>
      <c r="AA51" s="16">
        <f>AQ51-Z51</f>
        <v>7734</v>
      </c>
      <c r="AB51" s="5">
        <f>AB43+AB38+AB32+AB26</f>
        <v>6867</v>
      </c>
      <c r="AC51" s="16">
        <f>AR51-AB51</f>
        <v>8383</v>
      </c>
      <c r="AD51" s="5">
        <f>AD43+AD38+AD32+AD26</f>
        <v>8552</v>
      </c>
      <c r="AE51" s="16">
        <f>AS51-AD51</f>
        <v>10483</v>
      </c>
      <c r="AF51" s="5">
        <f>AF43+AF38+AF32+AF26</f>
        <v>10945</v>
      </c>
      <c r="AG51" s="16">
        <f>AT51-AF51</f>
        <v>12254</v>
      </c>
      <c r="AH51" s="5">
        <f>AH43+AH38+AH32+AH26</f>
        <v>13047</v>
      </c>
      <c r="AI51" s="5">
        <f>AI43+AI38+AI32+AI26</f>
        <v>14270</v>
      </c>
      <c r="AJ51" s="5">
        <f>AJ43+AJ38+AJ32+AJ26</f>
        <v>14769</v>
      </c>
      <c r="AK51" s="5"/>
      <c r="AL51" s="5">
        <f>AL43+AL38+AL32+AL26</f>
        <v>15536</v>
      </c>
      <c r="AM51" s="5">
        <f>AM43+AM38+AM32+AM26</f>
        <v>15781</v>
      </c>
      <c r="AN51" s="5">
        <f t="shared" ref="AN51:AQ51" si="59">AN43+AN38+AN32+AN26</f>
        <v>15953</v>
      </c>
      <c r="AO51" s="5">
        <f t="shared" si="59"/>
        <v>17251</v>
      </c>
      <c r="AP51" s="5">
        <f>AP43+AP38+AP32+AP26</f>
        <v>24640</v>
      </c>
      <c r="AQ51" s="5">
        <f t="shared" si="59"/>
        <v>16498</v>
      </c>
      <c r="AR51" s="5">
        <f>AR43+AR38+AR32+AR26</f>
        <v>15250</v>
      </c>
      <c r="AS51" s="5">
        <f>AS43+AS38+AS32+AS26</f>
        <v>19035</v>
      </c>
      <c r="AT51" s="5">
        <f>AT43+AT38+AT32+AT26</f>
        <v>23199</v>
      </c>
      <c r="AU51" s="5">
        <f>AU43+AU38+AU32+AU26</f>
        <v>27317</v>
      </c>
    </row>
    <row r="52" spans="2:48" x14ac:dyDescent="0.2">
      <c r="C52" s="1" t="s">
        <v>104</v>
      </c>
      <c r="T52" s="2">
        <v>8011</v>
      </c>
      <c r="U52" s="16">
        <f>AN52-T52</f>
        <v>8365</v>
      </c>
      <c r="V52" s="2">
        <v>9393</v>
      </c>
      <c r="W52" s="16">
        <f>AO52-V52</f>
        <v>11632</v>
      </c>
      <c r="X52" s="2">
        <v>12315</v>
      </c>
      <c r="Y52" s="16">
        <f>AP52-X52</f>
        <v>12783</v>
      </c>
      <c r="Z52" s="2">
        <v>8902</v>
      </c>
      <c r="AA52" s="16">
        <f>AQ52-Z52</f>
        <v>7729</v>
      </c>
      <c r="AB52" s="2">
        <v>6769</v>
      </c>
      <c r="AC52" s="16">
        <f>AR52-AB52</f>
        <v>8364</v>
      </c>
      <c r="AD52" s="2">
        <v>8675</v>
      </c>
      <c r="AE52" s="16">
        <f>AS52-AD52</f>
        <v>10848</v>
      </c>
      <c r="AF52" s="2">
        <v>11129</v>
      </c>
      <c r="AG52" s="16">
        <f>AT52-AF52</f>
        <v>12522</v>
      </c>
      <c r="AH52" s="2">
        <v>13204</v>
      </c>
      <c r="AI52" s="16">
        <f>AU52-AH52</f>
        <v>14512</v>
      </c>
      <c r="AJ52" s="2">
        <v>14865</v>
      </c>
      <c r="AK52" s="2"/>
      <c r="AL52" s="18">
        <v>16222</v>
      </c>
      <c r="AM52" s="18">
        <v>16482</v>
      </c>
      <c r="AN52" s="18">
        <v>16376</v>
      </c>
      <c r="AO52" s="18">
        <v>21025</v>
      </c>
      <c r="AP52" s="18">
        <v>25098</v>
      </c>
      <c r="AQ52" s="18">
        <v>16631</v>
      </c>
      <c r="AR52" s="18">
        <v>15133</v>
      </c>
      <c r="AS52" s="18">
        <v>19523</v>
      </c>
      <c r="AT52" s="2">
        <v>23651</v>
      </c>
      <c r="AU52" s="2">
        <v>27716</v>
      </c>
    </row>
    <row r="53" spans="2:48" x14ac:dyDescent="0.2">
      <c r="C53" s="13" t="s">
        <v>192</v>
      </c>
      <c r="T53" s="5"/>
      <c r="U53" s="5"/>
      <c r="V53" s="5"/>
      <c r="W53" s="5"/>
      <c r="X53" s="5"/>
      <c r="Y53" s="5"/>
      <c r="Z53" s="5"/>
      <c r="AA53" s="5"/>
      <c r="AB53" s="5"/>
      <c r="AC53" s="5"/>
      <c r="AD53" s="5"/>
      <c r="AE53" s="5"/>
      <c r="AF53" s="5"/>
      <c r="AG53" s="5"/>
      <c r="AH53" s="5"/>
      <c r="AI53" s="5"/>
      <c r="AJ53" s="5"/>
      <c r="AK53" s="5"/>
      <c r="AL53" s="5"/>
      <c r="AM53" s="14">
        <f>(AM52/AL52)-1</f>
        <v>1.6027616816668644E-2</v>
      </c>
      <c r="AN53" s="14">
        <f t="shared" ref="AN53" si="60">(AN52/AM52)-1</f>
        <v>-6.4312583424341874E-3</v>
      </c>
      <c r="AO53" s="14">
        <f t="shared" ref="AO53" si="61">(AO52/AN52)-1</f>
        <v>0.28389106008793363</v>
      </c>
      <c r="AP53" s="14">
        <f t="shared" ref="AP53" si="62">(AP52/AO52)-1</f>
        <v>0.19372175980975026</v>
      </c>
      <c r="AQ53" s="14">
        <f t="shared" ref="AQ53" si="63">(AQ52/AP52)-1</f>
        <v>-0.33735755837118497</v>
      </c>
      <c r="AR53" s="14">
        <f t="shared" ref="AR53" si="64">(AR52/AQ52)-1</f>
        <v>-9.0072755697191975E-2</v>
      </c>
      <c r="AS53" s="14">
        <f t="shared" ref="AS53" si="65">(AS52/AR52)-1</f>
        <v>0.29009449547346855</v>
      </c>
      <c r="AT53" s="14">
        <f t="shared" ref="AT53" si="66">(AT52/AS52)-1</f>
        <v>0.21144291348665667</v>
      </c>
      <c r="AU53" s="14">
        <f t="shared" ref="AU53" si="67">(AU52/AT52)-1</f>
        <v>0.17187433935140173</v>
      </c>
    </row>
    <row r="54" spans="2:48" ht="14.25" x14ac:dyDescent="0.35">
      <c r="C54" s="1" t="s">
        <v>31</v>
      </c>
      <c r="T54" s="4">
        <v>143</v>
      </c>
      <c r="U54" s="17">
        <f>AN54-T54</f>
        <v>137</v>
      </c>
      <c r="V54" s="4">
        <v>148</v>
      </c>
      <c r="W54" s="17">
        <f>AO54-V54</f>
        <v>173</v>
      </c>
      <c r="X54" s="4">
        <v>138</v>
      </c>
      <c r="Y54" s="17">
        <f>AP54-X54</f>
        <v>159</v>
      </c>
      <c r="Z54" s="4">
        <v>109</v>
      </c>
      <c r="AA54" s="17">
        <f>AQ54-Z54</f>
        <v>158</v>
      </c>
      <c r="AB54" s="4">
        <v>166</v>
      </c>
      <c r="AC54" s="17">
        <f>AR54-AB54</f>
        <v>207</v>
      </c>
      <c r="AD54" s="4">
        <v>210</v>
      </c>
      <c r="AE54" s="17">
        <f>AS54-AD54</f>
        <v>230</v>
      </c>
      <c r="AF54" s="4">
        <v>226</v>
      </c>
      <c r="AG54" s="17">
        <f>AT54-AF54</f>
        <v>248</v>
      </c>
      <c r="AH54" s="4">
        <v>208</v>
      </c>
      <c r="AI54" s="17">
        <f>AU54-AH54</f>
        <v>230</v>
      </c>
      <c r="AJ54" s="4">
        <v>210</v>
      </c>
      <c r="AK54" s="4"/>
      <c r="AL54" s="19">
        <v>285</v>
      </c>
      <c r="AM54" s="19">
        <v>277</v>
      </c>
      <c r="AN54" s="19">
        <v>280</v>
      </c>
      <c r="AO54" s="19">
        <v>321</v>
      </c>
      <c r="AP54" s="19">
        <v>297</v>
      </c>
      <c r="AQ54" s="19">
        <v>267</v>
      </c>
      <c r="AR54" s="19">
        <v>373</v>
      </c>
      <c r="AS54" s="19">
        <v>440</v>
      </c>
      <c r="AT54" s="4">
        <v>474</v>
      </c>
      <c r="AU54" s="4">
        <v>438</v>
      </c>
    </row>
    <row r="55" spans="2:48" x14ac:dyDescent="0.2">
      <c r="C55" s="6" t="s">
        <v>32</v>
      </c>
      <c r="T55" s="5">
        <f t="shared" ref="T55:AB55" si="68">T52+T54</f>
        <v>8154</v>
      </c>
      <c r="U55" s="5">
        <f t="shared" si="68"/>
        <v>8502</v>
      </c>
      <c r="V55" s="5">
        <f t="shared" si="68"/>
        <v>9541</v>
      </c>
      <c r="W55" s="5">
        <f t="shared" si="68"/>
        <v>11805</v>
      </c>
      <c r="X55" s="5">
        <f t="shared" si="68"/>
        <v>12453</v>
      </c>
      <c r="Y55" s="5">
        <f t="shared" si="68"/>
        <v>12942</v>
      </c>
      <c r="Z55" s="5">
        <f t="shared" si="68"/>
        <v>9011</v>
      </c>
      <c r="AA55" s="5">
        <f t="shared" si="68"/>
        <v>7887</v>
      </c>
      <c r="AB55" s="5">
        <f t="shared" si="68"/>
        <v>6935</v>
      </c>
      <c r="AC55" s="5">
        <f t="shared" ref="AC55:AJ55" si="69">AC52+AC54</f>
        <v>8571</v>
      </c>
      <c r="AD55" s="5">
        <f t="shared" si="69"/>
        <v>8885</v>
      </c>
      <c r="AE55" s="5">
        <f t="shared" si="69"/>
        <v>11078</v>
      </c>
      <c r="AF55" s="5">
        <f t="shared" si="69"/>
        <v>11355</v>
      </c>
      <c r="AG55" s="5">
        <f t="shared" si="69"/>
        <v>12770</v>
      </c>
      <c r="AH55" s="5">
        <f t="shared" si="69"/>
        <v>13412</v>
      </c>
      <c r="AI55" s="5">
        <f t="shared" si="69"/>
        <v>14742</v>
      </c>
      <c r="AJ55" s="5">
        <f t="shared" si="69"/>
        <v>15075</v>
      </c>
      <c r="AK55" s="5"/>
      <c r="AL55" s="5">
        <f>AL52+AL54</f>
        <v>16507</v>
      </c>
      <c r="AM55" s="5">
        <f>AM52+AM54</f>
        <v>16759</v>
      </c>
      <c r="AN55" s="5">
        <f>AN52+AN54</f>
        <v>16656</v>
      </c>
      <c r="AO55" s="5">
        <f t="shared" ref="AO55" si="70">AO52+AO54</f>
        <v>21346</v>
      </c>
      <c r="AP55" s="5">
        <f>AP52+AP54</f>
        <v>25395</v>
      </c>
      <c r="AQ55" s="5">
        <f>AQ52+AQ54</f>
        <v>16898</v>
      </c>
      <c r="AR55" s="5">
        <f>AR52+AR54</f>
        <v>15506</v>
      </c>
      <c r="AS55" s="5">
        <f t="shared" ref="AS55:AU55" si="71">AS52+AS54</f>
        <v>19963</v>
      </c>
      <c r="AT55" s="5">
        <f>AT52+AT54</f>
        <v>24125</v>
      </c>
      <c r="AU55" s="5">
        <f t="shared" si="71"/>
        <v>28154</v>
      </c>
      <c r="AV55" s="40">
        <f>((AU55/AL55)^(1/(2024-2015)))-1</f>
        <v>6.11176797196058E-2</v>
      </c>
    </row>
    <row r="56" spans="2:48" x14ac:dyDescent="0.2">
      <c r="C56" s="13" t="s">
        <v>192</v>
      </c>
      <c r="T56" s="5"/>
      <c r="U56" s="5"/>
      <c r="V56" s="5"/>
      <c r="W56" s="5"/>
      <c r="X56" s="5"/>
      <c r="Y56" s="5"/>
      <c r="Z56" s="5"/>
      <c r="AA56" s="5"/>
      <c r="AB56" s="5"/>
      <c r="AC56" s="5"/>
      <c r="AD56" s="5"/>
      <c r="AE56" s="5"/>
      <c r="AF56" s="5"/>
      <c r="AG56" s="5"/>
      <c r="AH56" s="5"/>
      <c r="AI56" s="5"/>
      <c r="AJ56" s="5"/>
      <c r="AK56" s="5"/>
      <c r="AL56" s="5"/>
      <c r="AM56" s="14">
        <f>(AM55/AL55)-1</f>
        <v>1.5266250681529092E-2</v>
      </c>
      <c r="AN56" s="14">
        <f t="shared" ref="AN56:AU56" si="72">(AN55/AM55)-1</f>
        <v>-6.1459514290829187E-3</v>
      </c>
      <c r="AO56" s="14">
        <f t="shared" si="72"/>
        <v>0.28158021133525457</v>
      </c>
      <c r="AP56" s="14">
        <f t="shared" si="72"/>
        <v>0.18968424997657651</v>
      </c>
      <c r="AQ56" s="14">
        <f t="shared" si="72"/>
        <v>-0.33459342390234303</v>
      </c>
      <c r="AR56" s="14">
        <f t="shared" si="72"/>
        <v>-8.2376612616877787E-2</v>
      </c>
      <c r="AS56" s="14">
        <f t="shared" si="72"/>
        <v>0.28743712111440733</v>
      </c>
      <c r="AT56" s="14">
        <f t="shared" si="72"/>
        <v>0.20848569854230337</v>
      </c>
      <c r="AU56" s="14">
        <f t="shared" si="72"/>
        <v>0.16700518134715026</v>
      </c>
    </row>
    <row r="57" spans="2:48" x14ac:dyDescent="0.2">
      <c r="C57" s="1" t="s">
        <v>33</v>
      </c>
      <c r="T57" s="2">
        <v>427</v>
      </c>
      <c r="U57" s="16">
        <f t="shared" ref="U57:U65" si="73">AN57-T57</f>
        <v>-232</v>
      </c>
      <c r="V57" s="2">
        <v>112</v>
      </c>
      <c r="W57" s="16">
        <f t="shared" ref="W57:W65" si="74">AO57-V57</f>
        <v>-109</v>
      </c>
      <c r="X57" s="2">
        <v>492</v>
      </c>
      <c r="Y57" s="16">
        <f t="shared" ref="Y57:Y65" si="75">AP57-X57</f>
        <v>-39</v>
      </c>
      <c r="Z57" s="2">
        <v>-39</v>
      </c>
      <c r="AA57" s="16">
        <f t="shared" ref="AA57:AA65" si="76">AQ57-Z57</f>
        <v>-826</v>
      </c>
      <c r="AB57" s="2">
        <v>34</v>
      </c>
      <c r="AC57" s="16">
        <f t="shared" ref="AC57:AC65" si="77">AR57-AB57</f>
        <v>-233</v>
      </c>
      <c r="AD57" s="2">
        <v>830</v>
      </c>
      <c r="AE57" s="16">
        <f t="shared" ref="AE57:AE65" si="78">AS57-AD57</f>
        <v>374</v>
      </c>
      <c r="AF57" s="2">
        <v>707</v>
      </c>
      <c r="AG57" s="16">
        <f t="shared" ref="AG57:AG65" si="79">AT57-AF57</f>
        <v>293</v>
      </c>
      <c r="AH57" s="2">
        <v>867</v>
      </c>
      <c r="AI57" s="16">
        <f t="shared" ref="AI57:AI65" si="80">AU57-AH57</f>
        <v>122</v>
      </c>
      <c r="AJ57" s="2">
        <v>761</v>
      </c>
      <c r="AK57" s="2"/>
      <c r="AL57" s="18">
        <v>257</v>
      </c>
      <c r="AM57" s="18">
        <v>308</v>
      </c>
      <c r="AN57" s="18">
        <v>195</v>
      </c>
      <c r="AO57" s="18">
        <v>3</v>
      </c>
      <c r="AP57" s="18">
        <v>453</v>
      </c>
      <c r="AQ57" s="18">
        <v>-865</v>
      </c>
      <c r="AR57" s="18">
        <v>-199</v>
      </c>
      <c r="AS57" s="18">
        <v>1204</v>
      </c>
      <c r="AT57" s="2">
        <v>1000</v>
      </c>
      <c r="AU57" s="2">
        <v>989</v>
      </c>
    </row>
    <row r="58" spans="2:48" x14ac:dyDescent="0.2">
      <c r="C58" s="1" t="s">
        <v>34</v>
      </c>
      <c r="T58" s="2">
        <v>247</v>
      </c>
      <c r="U58" s="16">
        <f t="shared" si="73"/>
        <v>275</v>
      </c>
      <c r="V58" s="2">
        <v>197</v>
      </c>
      <c r="W58" s="16">
        <f t="shared" si="74"/>
        <v>250</v>
      </c>
      <c r="X58" s="2">
        <v>215</v>
      </c>
      <c r="Y58" s="16">
        <f t="shared" si="75"/>
        <v>223</v>
      </c>
      <c r="Z58" s="2">
        <v>152</v>
      </c>
      <c r="AA58" s="16">
        <f t="shared" si="76"/>
        <v>177</v>
      </c>
      <c r="AB58" s="2">
        <v>155</v>
      </c>
      <c r="AC58" s="16">
        <f t="shared" si="77"/>
        <v>217</v>
      </c>
      <c r="AD58" s="2">
        <v>169</v>
      </c>
      <c r="AE58" s="16">
        <f t="shared" si="78"/>
        <v>213</v>
      </c>
      <c r="AF58" s="2">
        <v>214</v>
      </c>
      <c r="AG58" s="16">
        <f t="shared" si="79"/>
        <v>266</v>
      </c>
      <c r="AH58" s="2">
        <v>235</v>
      </c>
      <c r="AI58" s="16">
        <f t="shared" si="80"/>
        <v>291</v>
      </c>
      <c r="AJ58" s="2">
        <v>245</v>
      </c>
      <c r="AK58" s="2"/>
      <c r="AL58" s="18">
        <v>946</v>
      </c>
      <c r="AM58" s="18">
        <v>624</v>
      </c>
      <c r="AN58" s="18">
        <v>522</v>
      </c>
      <c r="AO58" s="18">
        <v>447</v>
      </c>
      <c r="AP58" s="18">
        <v>438</v>
      </c>
      <c r="AQ58" s="18">
        <v>329</v>
      </c>
      <c r="AR58" s="18">
        <v>372</v>
      </c>
      <c r="AS58" s="18">
        <v>382</v>
      </c>
      <c r="AT58" s="2">
        <v>480</v>
      </c>
      <c r="AU58" s="2">
        <v>526</v>
      </c>
    </row>
    <row r="59" spans="2:48" x14ac:dyDescent="0.2">
      <c r="C59" s="1" t="s">
        <v>35</v>
      </c>
      <c r="T59" s="2">
        <v>-4784</v>
      </c>
      <c r="U59" s="16">
        <f t="shared" si="73"/>
        <v>-4665</v>
      </c>
      <c r="V59" s="2">
        <v>-5574</v>
      </c>
      <c r="W59" s="16">
        <f t="shared" si="74"/>
        <v>-6866</v>
      </c>
      <c r="X59" s="2">
        <v>-7268</v>
      </c>
      <c r="Y59" s="16">
        <f t="shared" si="75"/>
        <v>-7180</v>
      </c>
      <c r="Z59" s="2">
        <v>-4677</v>
      </c>
      <c r="AA59" s="16">
        <f t="shared" si="76"/>
        <v>-3773</v>
      </c>
      <c r="AB59" s="2">
        <v>-3649</v>
      </c>
      <c r="AC59" s="16">
        <f t="shared" si="77"/>
        <v>-4350</v>
      </c>
      <c r="AD59" s="2">
        <v>-5242</v>
      </c>
      <c r="AE59" s="16">
        <f t="shared" si="78"/>
        <v>-6482</v>
      </c>
      <c r="AF59" s="2">
        <v>-6706</v>
      </c>
      <c r="AG59" s="16">
        <f t="shared" si="79"/>
        <v>-7366</v>
      </c>
      <c r="AH59" s="2">
        <v>-7822</v>
      </c>
      <c r="AI59" s="16">
        <f t="shared" si="80"/>
        <v>-8138</v>
      </c>
      <c r="AJ59" s="2">
        <v>-8320</v>
      </c>
      <c r="AK59" s="2"/>
      <c r="AL59" s="18">
        <v>-9275</v>
      </c>
      <c r="AM59" s="18">
        <v>-9340</v>
      </c>
      <c r="AN59" s="18">
        <v>-9449</v>
      </c>
      <c r="AO59" s="18">
        <v>-12440</v>
      </c>
      <c r="AP59" s="18">
        <v>-14448</v>
      </c>
      <c r="AQ59" s="18">
        <v>-8450</v>
      </c>
      <c r="AR59" s="18">
        <v>-7999</v>
      </c>
      <c r="AS59" s="18">
        <v>-11724</v>
      </c>
      <c r="AT59" s="2">
        <v>-14072</v>
      </c>
      <c r="AU59" s="2">
        <v>-15960</v>
      </c>
    </row>
    <row r="60" spans="2:48" x14ac:dyDescent="0.2">
      <c r="C60" s="1" t="s">
        <v>36</v>
      </c>
      <c r="T60" s="2">
        <v>-2237</v>
      </c>
      <c r="U60" s="16">
        <f t="shared" si="73"/>
        <v>-2116</v>
      </c>
      <c r="V60" s="2">
        <v>-2770</v>
      </c>
      <c r="W60" s="16">
        <f t="shared" si="74"/>
        <v>-2895</v>
      </c>
      <c r="X60" s="2">
        <v>-3185</v>
      </c>
      <c r="Y60" s="16">
        <f t="shared" si="75"/>
        <v>-3164</v>
      </c>
      <c r="Z60" s="2">
        <v>-2759</v>
      </c>
      <c r="AA60" s="16">
        <f t="shared" si="76"/>
        <v>-2269</v>
      </c>
      <c r="AB60" s="2">
        <v>-2496</v>
      </c>
      <c r="AC60" s="16">
        <f t="shared" si="77"/>
        <v>-2423</v>
      </c>
      <c r="AD60" s="2">
        <v>-2871</v>
      </c>
      <c r="AE60" s="16">
        <f t="shared" si="78"/>
        <v>-2921</v>
      </c>
      <c r="AF60" s="2">
        <v>-3367</v>
      </c>
      <c r="AG60" s="16">
        <f t="shared" si="79"/>
        <v>-3400</v>
      </c>
      <c r="AH60" s="2">
        <v>-3932</v>
      </c>
      <c r="AI60" s="16">
        <f t="shared" si="80"/>
        <v>-3869</v>
      </c>
      <c r="AJ60" s="2">
        <v>-4334</v>
      </c>
      <c r="AK60" s="2"/>
      <c r="AL60" s="18">
        <v>-4524</v>
      </c>
      <c r="AM60" s="18">
        <v>-4406</v>
      </c>
      <c r="AN60" s="18">
        <v>-4353</v>
      </c>
      <c r="AO60" s="18">
        <v>-5665</v>
      </c>
      <c r="AP60" s="18">
        <v>-6349</v>
      </c>
      <c r="AQ60" s="18">
        <v>-5028</v>
      </c>
      <c r="AR60" s="18">
        <v>-4919</v>
      </c>
      <c r="AS60" s="18">
        <v>-5792</v>
      </c>
      <c r="AT60" s="2">
        <v>-6767</v>
      </c>
      <c r="AU60" s="2">
        <v>-7801</v>
      </c>
    </row>
    <row r="61" spans="2:48" x14ac:dyDescent="0.2">
      <c r="C61" s="1" t="s">
        <v>37</v>
      </c>
      <c r="T61" s="2">
        <v>-165</v>
      </c>
      <c r="U61" s="16">
        <f t="shared" si="73"/>
        <v>-119</v>
      </c>
      <c r="V61" s="2">
        <v>-179</v>
      </c>
      <c r="W61" s="16">
        <f t="shared" si="74"/>
        <v>-116</v>
      </c>
      <c r="X61" s="2">
        <v>-258</v>
      </c>
      <c r="Y61" s="16">
        <f t="shared" si="75"/>
        <v>-130</v>
      </c>
      <c r="Z61" s="2">
        <v>-203</v>
      </c>
      <c r="AA61" s="16">
        <f t="shared" si="76"/>
        <v>-123</v>
      </c>
      <c r="AB61" s="2">
        <v>-151</v>
      </c>
      <c r="AC61" s="16">
        <f t="shared" si="77"/>
        <v>-106</v>
      </c>
      <c r="AD61" s="2">
        <v>-160</v>
      </c>
      <c r="AE61" s="16">
        <f t="shared" si="78"/>
        <v>-130</v>
      </c>
      <c r="AF61" s="2">
        <v>-173</v>
      </c>
      <c r="AG61" s="16">
        <f t="shared" si="79"/>
        <v>-135</v>
      </c>
      <c r="AH61" s="2">
        <v>-194</v>
      </c>
      <c r="AI61" s="16">
        <f t="shared" si="80"/>
        <v>-143</v>
      </c>
      <c r="AJ61" s="2">
        <v>-239</v>
      </c>
      <c r="AK61" s="2"/>
      <c r="AL61" s="18">
        <v>-277</v>
      </c>
      <c r="AM61" s="18">
        <v>-286</v>
      </c>
      <c r="AN61" s="18">
        <v>-284</v>
      </c>
      <c r="AO61" s="18">
        <v>-295</v>
      </c>
      <c r="AP61" s="18">
        <v>-388</v>
      </c>
      <c r="AQ61" s="18">
        <v>-326</v>
      </c>
      <c r="AR61" s="18">
        <v>-257</v>
      </c>
      <c r="AS61" s="18">
        <v>-290</v>
      </c>
      <c r="AT61" s="2">
        <v>-308</v>
      </c>
      <c r="AU61" s="2">
        <v>-337</v>
      </c>
    </row>
    <row r="62" spans="2:48" x14ac:dyDescent="0.2">
      <c r="C62" s="1" t="s">
        <v>38</v>
      </c>
      <c r="T62" s="2">
        <v>-360</v>
      </c>
      <c r="U62" s="16">
        <f t="shared" si="73"/>
        <v>-652</v>
      </c>
      <c r="V62" s="2">
        <v>-478</v>
      </c>
      <c r="W62" s="16">
        <f t="shared" si="74"/>
        <v>-698</v>
      </c>
      <c r="X62" s="2">
        <v>-698</v>
      </c>
      <c r="Y62" s="16">
        <f t="shared" si="75"/>
        <v>-902</v>
      </c>
      <c r="Z62" s="2">
        <v>-639</v>
      </c>
      <c r="AA62" s="16">
        <f t="shared" si="76"/>
        <v>-573</v>
      </c>
      <c r="AB62" s="2">
        <v>-659</v>
      </c>
      <c r="AC62" s="16">
        <f t="shared" si="77"/>
        <v>-850</v>
      </c>
      <c r="AD62" s="2">
        <v>-622</v>
      </c>
      <c r="AE62" s="16">
        <f t="shared" si="78"/>
        <v>-552</v>
      </c>
      <c r="AF62" s="2">
        <v>-609</v>
      </c>
      <c r="AG62" s="16">
        <f t="shared" si="79"/>
        <v>-673</v>
      </c>
      <c r="AH62" s="2">
        <v>-765</v>
      </c>
      <c r="AI62" s="16">
        <f t="shared" si="80"/>
        <v>-813</v>
      </c>
      <c r="AJ62" s="2">
        <v>-652</v>
      </c>
      <c r="AK62" s="2"/>
      <c r="AL62" s="18">
        <v>-763</v>
      </c>
      <c r="AM62" s="18">
        <v>-634</v>
      </c>
      <c r="AN62" s="18">
        <v>-1012</v>
      </c>
      <c r="AO62" s="18">
        <v>-1176</v>
      </c>
      <c r="AP62" s="18">
        <v>-1600</v>
      </c>
      <c r="AQ62" s="18">
        <v>-1212</v>
      </c>
      <c r="AR62" s="18">
        <v>-1509</v>
      </c>
      <c r="AS62" s="18">
        <v>-1174</v>
      </c>
      <c r="AT62" s="2">
        <v>-1282</v>
      </c>
      <c r="AU62" s="2">
        <v>-1578</v>
      </c>
    </row>
    <row r="63" spans="2:48" x14ac:dyDescent="0.2">
      <c r="C63" s="1" t="s">
        <v>39</v>
      </c>
      <c r="T63" s="2">
        <v>-80</v>
      </c>
      <c r="U63" s="16">
        <f t="shared" si="73"/>
        <v>20</v>
      </c>
      <c r="V63" s="2">
        <v>-20</v>
      </c>
      <c r="W63" s="16">
        <f t="shared" si="74"/>
        <v>82</v>
      </c>
      <c r="X63" s="2">
        <v>-21</v>
      </c>
      <c r="Y63" s="16">
        <f t="shared" si="75"/>
        <v>78</v>
      </c>
      <c r="Z63" s="2">
        <v>-86</v>
      </c>
      <c r="AA63" s="16">
        <f t="shared" si="76"/>
        <v>-63</v>
      </c>
      <c r="AB63" s="2">
        <v>31</v>
      </c>
      <c r="AC63" s="16">
        <f t="shared" si="77"/>
        <v>47</v>
      </c>
      <c r="AD63" s="2">
        <v>-90</v>
      </c>
      <c r="AE63" s="16">
        <f t="shared" si="78"/>
        <v>-162</v>
      </c>
      <c r="AF63" s="2">
        <v>-104</v>
      </c>
      <c r="AG63" s="16">
        <f t="shared" si="79"/>
        <v>54</v>
      </c>
      <c r="AH63" s="2">
        <v>56</v>
      </c>
      <c r="AI63" s="16">
        <f t="shared" si="80"/>
        <v>-38</v>
      </c>
      <c r="AJ63" s="2">
        <v>-145</v>
      </c>
      <c r="AK63" s="2"/>
      <c r="AL63" s="18">
        <v>-179</v>
      </c>
      <c r="AM63" s="18">
        <v>-237</v>
      </c>
      <c r="AN63" s="18">
        <v>-60</v>
      </c>
      <c r="AO63" s="18">
        <v>62</v>
      </c>
      <c r="AP63" s="18">
        <v>57</v>
      </c>
      <c r="AQ63" s="18">
        <v>-149</v>
      </c>
      <c r="AR63" s="18">
        <v>78</v>
      </c>
      <c r="AS63" s="18">
        <v>-252</v>
      </c>
      <c r="AT63" s="2">
        <v>-50</v>
      </c>
      <c r="AU63" s="2">
        <v>18</v>
      </c>
    </row>
    <row r="64" spans="2:48" x14ac:dyDescent="0.2">
      <c r="C64" s="1" t="s">
        <v>40</v>
      </c>
      <c r="T64" s="2">
        <v>52</v>
      </c>
      <c r="U64" s="16">
        <f t="shared" si="73"/>
        <v>107</v>
      </c>
      <c r="V64" s="2">
        <v>20</v>
      </c>
      <c r="W64" s="16">
        <f t="shared" si="74"/>
        <v>-211</v>
      </c>
      <c r="X64" s="2">
        <v>83</v>
      </c>
      <c r="Y64" s="16">
        <f t="shared" si="75"/>
        <v>19</v>
      </c>
      <c r="Z64" s="2">
        <v>70</v>
      </c>
      <c r="AA64" s="16">
        <f t="shared" si="76"/>
        <v>78</v>
      </c>
      <c r="AB64" s="2">
        <v>115</v>
      </c>
      <c r="AC64" s="16">
        <f t="shared" si="77"/>
        <v>41</v>
      </c>
      <c r="AD64" s="2">
        <v>53</v>
      </c>
      <c r="AE64" s="16">
        <f t="shared" si="78"/>
        <v>50</v>
      </c>
      <c r="AF64" s="2">
        <v>40</v>
      </c>
      <c r="AG64" s="16">
        <f t="shared" si="79"/>
        <v>44</v>
      </c>
      <c r="AH64" s="2">
        <v>60</v>
      </c>
      <c r="AI64" s="16">
        <f t="shared" si="80"/>
        <v>-21</v>
      </c>
      <c r="AJ64" s="2">
        <v>12</v>
      </c>
      <c r="AK64" s="2"/>
      <c r="AL64" s="18">
        <v>118</v>
      </c>
      <c r="AM64" s="18">
        <v>115</v>
      </c>
      <c r="AN64" s="18">
        <v>159</v>
      </c>
      <c r="AO64" s="18">
        <v>-191</v>
      </c>
      <c r="AP64" s="18">
        <v>102</v>
      </c>
      <c r="AQ64" s="18">
        <v>148</v>
      </c>
      <c r="AR64" s="18">
        <v>156</v>
      </c>
      <c r="AS64" s="18">
        <v>103</v>
      </c>
      <c r="AT64" s="2">
        <v>84</v>
      </c>
      <c r="AU64" s="2">
        <v>39</v>
      </c>
    </row>
    <row r="65" spans="3:48" ht="14.25" x14ac:dyDescent="0.35">
      <c r="C65" s="1" t="s">
        <v>41</v>
      </c>
      <c r="T65" s="4">
        <v>57</v>
      </c>
      <c r="U65" s="17">
        <f t="shared" si="73"/>
        <v>87</v>
      </c>
      <c r="V65" s="4">
        <v>63</v>
      </c>
      <c r="W65" s="17">
        <f t="shared" si="74"/>
        <v>126</v>
      </c>
      <c r="X65" s="4">
        <v>64</v>
      </c>
      <c r="Y65" s="17">
        <f t="shared" si="75"/>
        <v>100</v>
      </c>
      <c r="Z65" s="4">
        <v>29</v>
      </c>
      <c r="AA65" s="17">
        <f t="shared" si="76"/>
        <v>19</v>
      </c>
      <c r="AB65" s="4">
        <v>36</v>
      </c>
      <c r="AC65" s="17">
        <f t="shared" si="77"/>
        <v>4</v>
      </c>
      <c r="AD65" s="4">
        <v>16</v>
      </c>
      <c r="AE65" s="17">
        <f t="shared" si="78"/>
        <v>57</v>
      </c>
      <c r="AF65" s="4">
        <v>49</v>
      </c>
      <c r="AG65" s="17">
        <f t="shared" si="79"/>
        <v>50</v>
      </c>
      <c r="AH65" s="4">
        <v>51</v>
      </c>
      <c r="AI65" s="17">
        <f t="shared" si="80"/>
        <v>85</v>
      </c>
      <c r="AJ65" s="4">
        <v>65</v>
      </c>
      <c r="AK65" s="4"/>
      <c r="AL65" s="19">
        <v>44</v>
      </c>
      <c r="AM65" s="19">
        <v>87</v>
      </c>
      <c r="AN65" s="19">
        <v>144</v>
      </c>
      <c r="AO65" s="19">
        <v>189</v>
      </c>
      <c r="AP65" s="19">
        <v>164</v>
      </c>
      <c r="AQ65" s="19">
        <v>48</v>
      </c>
      <c r="AR65" s="19">
        <v>40</v>
      </c>
      <c r="AS65" s="19">
        <v>73</v>
      </c>
      <c r="AT65" s="4">
        <v>99</v>
      </c>
      <c r="AU65" s="4">
        <v>136</v>
      </c>
    </row>
    <row r="66" spans="3:48" x14ac:dyDescent="0.2">
      <c r="C66" s="6" t="s">
        <v>43</v>
      </c>
      <c r="T66" s="5">
        <f t="shared" ref="T66:AB66" si="81">SUM(T57:T65)</f>
        <v>-6843</v>
      </c>
      <c r="U66" s="5">
        <f t="shared" si="81"/>
        <v>-7295</v>
      </c>
      <c r="V66" s="5">
        <f t="shared" si="81"/>
        <v>-8629</v>
      </c>
      <c r="W66" s="5">
        <f t="shared" si="81"/>
        <v>-10437</v>
      </c>
      <c r="X66" s="5">
        <f t="shared" si="81"/>
        <v>-10576</v>
      </c>
      <c r="Y66" s="5">
        <f t="shared" si="81"/>
        <v>-10995</v>
      </c>
      <c r="Z66" s="5">
        <f t="shared" si="81"/>
        <v>-8152</v>
      </c>
      <c r="AA66" s="5">
        <f t="shared" si="81"/>
        <v>-7353</v>
      </c>
      <c r="AB66" s="5">
        <f t="shared" si="81"/>
        <v>-6584</v>
      </c>
      <c r="AC66" s="5">
        <f t="shared" ref="AC66:AJ66" si="82">SUM(AC57:AC65)</f>
        <v>-7653</v>
      </c>
      <c r="AD66" s="5">
        <f t="shared" si="82"/>
        <v>-7917</v>
      </c>
      <c r="AE66" s="5">
        <f t="shared" si="82"/>
        <v>-9553</v>
      </c>
      <c r="AF66" s="5">
        <f t="shared" si="82"/>
        <v>-9949</v>
      </c>
      <c r="AG66" s="5">
        <f t="shared" si="82"/>
        <v>-10867</v>
      </c>
      <c r="AH66" s="5">
        <f t="shared" si="82"/>
        <v>-11444</v>
      </c>
      <c r="AI66" s="5">
        <f t="shared" si="82"/>
        <v>-12524</v>
      </c>
      <c r="AJ66" s="5">
        <f t="shared" si="82"/>
        <v>-12607</v>
      </c>
      <c r="AK66" s="5"/>
      <c r="AL66" s="5">
        <f>SUM(AL57:AL65)</f>
        <v>-13653</v>
      </c>
      <c r="AM66" s="5">
        <f>SUM(AM57:AM65)</f>
        <v>-13769</v>
      </c>
      <c r="AN66" s="5">
        <f t="shared" ref="AN66" si="83">SUM(AN57:AN65)</f>
        <v>-14138</v>
      </c>
      <c r="AO66" s="5">
        <f t="shared" ref="AO66" si="84">SUM(AO57:AO65)</f>
        <v>-19066</v>
      </c>
      <c r="AP66" s="5">
        <f>SUM(AP57:AP65)</f>
        <v>-21571</v>
      </c>
      <c r="AQ66" s="5">
        <f t="shared" ref="AQ66:AU66" si="85">SUM(AQ57:AQ65)</f>
        <v>-15505</v>
      </c>
      <c r="AR66" s="5">
        <f t="shared" si="85"/>
        <v>-14237</v>
      </c>
      <c r="AS66" s="5">
        <f t="shared" si="85"/>
        <v>-17470</v>
      </c>
      <c r="AT66" s="5">
        <f t="shared" si="85"/>
        <v>-20816</v>
      </c>
      <c r="AU66" s="5">
        <f t="shared" si="85"/>
        <v>-23968</v>
      </c>
    </row>
    <row r="67" spans="3:48" s="8" customFormat="1" x14ac:dyDescent="0.2">
      <c r="C67" s="9" t="s">
        <v>42</v>
      </c>
      <c r="T67" s="23">
        <f t="shared" ref="T67:AB67" si="86">T55+T66</f>
        <v>1311</v>
      </c>
      <c r="U67" s="23">
        <f t="shared" si="86"/>
        <v>1207</v>
      </c>
      <c r="V67" s="23">
        <f t="shared" si="86"/>
        <v>912</v>
      </c>
      <c r="W67" s="23">
        <f t="shared" si="86"/>
        <v>1368</v>
      </c>
      <c r="X67" s="23">
        <f t="shared" si="86"/>
        <v>1877</v>
      </c>
      <c r="Y67" s="23">
        <f t="shared" si="86"/>
        <v>1947</v>
      </c>
      <c r="Z67" s="23">
        <f t="shared" si="86"/>
        <v>859</v>
      </c>
      <c r="AA67" s="23">
        <f t="shared" si="86"/>
        <v>534</v>
      </c>
      <c r="AB67" s="23">
        <f t="shared" si="86"/>
        <v>351</v>
      </c>
      <c r="AC67" s="23">
        <f t="shared" ref="AC67:AJ67" si="87">AC55+AC66</f>
        <v>918</v>
      </c>
      <c r="AD67" s="23">
        <f t="shared" si="87"/>
        <v>968</v>
      </c>
      <c r="AE67" s="23">
        <f t="shared" si="87"/>
        <v>1525</v>
      </c>
      <c r="AF67" s="23">
        <f t="shared" si="87"/>
        <v>1406</v>
      </c>
      <c r="AG67" s="23">
        <f t="shared" si="87"/>
        <v>1903</v>
      </c>
      <c r="AH67" s="23">
        <f t="shared" si="87"/>
        <v>1968</v>
      </c>
      <c r="AI67" s="23">
        <f t="shared" si="87"/>
        <v>2218</v>
      </c>
      <c r="AJ67" s="23">
        <f t="shared" si="87"/>
        <v>2468</v>
      </c>
      <c r="AK67" s="23"/>
      <c r="AL67" s="23">
        <f>AL55+AL66</f>
        <v>2854</v>
      </c>
      <c r="AM67" s="23">
        <f>AM55+AM66</f>
        <v>2990</v>
      </c>
      <c r="AN67" s="23">
        <f t="shared" ref="AN67" si="88">AN55+AN66</f>
        <v>2518</v>
      </c>
      <c r="AO67" s="23">
        <f t="shared" ref="AO67" si="89">AO55+AO66</f>
        <v>2280</v>
      </c>
      <c r="AP67" s="23">
        <f>AP55+AP66</f>
        <v>3824</v>
      </c>
      <c r="AQ67" s="23">
        <f t="shared" ref="AQ67:AU67" si="90">AQ55+AQ66</f>
        <v>1393</v>
      </c>
      <c r="AR67" s="23">
        <f t="shared" si="90"/>
        <v>1269</v>
      </c>
      <c r="AS67" s="23">
        <f t="shared" si="90"/>
        <v>2493</v>
      </c>
      <c r="AT67" s="23">
        <f t="shared" si="90"/>
        <v>3309</v>
      </c>
      <c r="AU67" s="23">
        <f t="shared" si="90"/>
        <v>4186</v>
      </c>
      <c r="AV67" s="40">
        <f>((AU67/AL67)^(1/(2024-2015)))-1</f>
        <v>4.3476820314037878E-2</v>
      </c>
    </row>
    <row r="68" spans="3:48" ht="14.25" x14ac:dyDescent="0.35">
      <c r="C68" s="1" t="s">
        <v>41</v>
      </c>
      <c r="T68" s="4">
        <v>-16</v>
      </c>
      <c r="U68" s="17">
        <f>AN68-T68</f>
        <v>-74</v>
      </c>
      <c r="V68" s="4">
        <v>-26</v>
      </c>
      <c r="W68" s="17">
        <f>AO68-V68</f>
        <v>-89</v>
      </c>
      <c r="X68" s="4">
        <v>32</v>
      </c>
      <c r="Y68" s="17">
        <f>AP68-X68</f>
        <v>-19</v>
      </c>
      <c r="Z68" s="4">
        <v>-144</v>
      </c>
      <c r="AA68" s="17">
        <f>AQ68-Z68</f>
        <v>-322</v>
      </c>
      <c r="AB68" s="4">
        <v>-195</v>
      </c>
      <c r="AC68" s="17">
        <f>AR68-AB68</f>
        <v>-210</v>
      </c>
      <c r="AD68" s="4">
        <v>-92</v>
      </c>
      <c r="AE68" s="17">
        <f>AS68-AD68</f>
        <v>-358</v>
      </c>
      <c r="AF68" s="4">
        <v>-57</v>
      </c>
      <c r="AG68" s="17">
        <f>AT68-AF68</f>
        <v>-454</v>
      </c>
      <c r="AH68" s="4">
        <v>-24</v>
      </c>
      <c r="AI68" s="17">
        <f>AU68-AH68</f>
        <v>30</v>
      </c>
      <c r="AJ68" s="4">
        <v>-37</v>
      </c>
      <c r="AK68" s="4"/>
      <c r="AL68" s="19">
        <v>-778</v>
      </c>
      <c r="AM68" s="19">
        <v>349</v>
      </c>
      <c r="AN68" s="19">
        <v>-90</v>
      </c>
      <c r="AO68" s="19">
        <v>-115</v>
      </c>
      <c r="AP68" s="19">
        <v>13</v>
      </c>
      <c r="AQ68" s="19">
        <v>-466</v>
      </c>
      <c r="AR68" s="19">
        <v>-405</v>
      </c>
      <c r="AS68" s="19">
        <v>-450</v>
      </c>
      <c r="AT68" s="4">
        <v>-511</v>
      </c>
      <c r="AU68" s="4">
        <v>6</v>
      </c>
    </row>
    <row r="69" spans="3:48" x14ac:dyDescent="0.2">
      <c r="C69" s="9" t="s">
        <v>44</v>
      </c>
      <c r="T69" s="5">
        <f t="shared" ref="T69:AB69" si="91">T67+T68</f>
        <v>1295</v>
      </c>
      <c r="U69" s="5">
        <f t="shared" si="91"/>
        <v>1133</v>
      </c>
      <c r="V69" s="5">
        <f t="shared" si="91"/>
        <v>886</v>
      </c>
      <c r="W69" s="5">
        <f t="shared" si="91"/>
        <v>1279</v>
      </c>
      <c r="X69" s="5">
        <f t="shared" si="91"/>
        <v>1909</v>
      </c>
      <c r="Y69" s="5">
        <f t="shared" si="91"/>
        <v>1928</v>
      </c>
      <c r="Z69" s="5">
        <f t="shared" si="91"/>
        <v>715</v>
      </c>
      <c r="AA69" s="5">
        <f t="shared" si="91"/>
        <v>212</v>
      </c>
      <c r="AB69" s="5">
        <f t="shared" si="91"/>
        <v>156</v>
      </c>
      <c r="AC69" s="5">
        <f t="shared" ref="AC69:AJ69" si="92">AC67+AC68</f>
        <v>708</v>
      </c>
      <c r="AD69" s="5">
        <f t="shared" si="92"/>
        <v>876</v>
      </c>
      <c r="AE69" s="5">
        <f t="shared" si="92"/>
        <v>1167</v>
      </c>
      <c r="AF69" s="5">
        <f t="shared" si="92"/>
        <v>1349</v>
      </c>
      <c r="AG69" s="5">
        <f t="shared" si="92"/>
        <v>1449</v>
      </c>
      <c r="AH69" s="5">
        <f t="shared" si="92"/>
        <v>1944</v>
      </c>
      <c r="AI69" s="5">
        <f t="shared" si="92"/>
        <v>2248</v>
      </c>
      <c r="AJ69" s="5">
        <f t="shared" si="92"/>
        <v>2431</v>
      </c>
      <c r="AK69" s="5"/>
      <c r="AL69" s="5">
        <f>AL67+AL68</f>
        <v>2076</v>
      </c>
      <c r="AM69" s="5">
        <f>AM67+AM68</f>
        <v>3339</v>
      </c>
      <c r="AN69" s="5">
        <f t="shared" ref="AN69:AQ69" si="93">AN67+AN68</f>
        <v>2428</v>
      </c>
      <c r="AO69" s="5">
        <f t="shared" si="93"/>
        <v>2165</v>
      </c>
      <c r="AP69" s="5">
        <f>AP67+AP68</f>
        <v>3837</v>
      </c>
      <c r="AQ69" s="5">
        <f t="shared" si="93"/>
        <v>927</v>
      </c>
      <c r="AR69" s="5">
        <f>AR67+AR68</f>
        <v>864</v>
      </c>
      <c r="AS69" s="5">
        <f t="shared" ref="AS69:AU69" si="94">AS67+AS68</f>
        <v>2043</v>
      </c>
      <c r="AT69" s="5">
        <f>AT67+AT68</f>
        <v>2798</v>
      </c>
      <c r="AU69" s="5">
        <f t="shared" si="94"/>
        <v>4192</v>
      </c>
    </row>
    <row r="70" spans="3:48" x14ac:dyDescent="0.2">
      <c r="C70" s="64" t="s">
        <v>224</v>
      </c>
      <c r="T70" s="5"/>
      <c r="U70" s="5"/>
      <c r="V70" s="5"/>
      <c r="W70" s="5"/>
      <c r="X70" s="5"/>
      <c r="Y70" s="5"/>
      <c r="Z70" s="5"/>
      <c r="AA70" s="5"/>
      <c r="AB70" s="5"/>
      <c r="AC70" s="5"/>
      <c r="AD70" s="5"/>
      <c r="AE70" s="5"/>
      <c r="AF70" s="5"/>
      <c r="AG70" s="5"/>
      <c r="AH70" s="5"/>
      <c r="AI70" s="5"/>
      <c r="AJ70" s="62">
        <f>(AJ69+AI69)/(AJ51+AI51)</f>
        <v>0.16112813802128173</v>
      </c>
      <c r="AK70" s="5"/>
      <c r="AL70" s="62">
        <f>AL69/AL52</f>
        <v>0.12797435581309333</v>
      </c>
      <c r="AM70" s="62">
        <f t="shared" ref="AM70:AU70" si="95">AM69/AM52</f>
        <v>0.20258463778667637</v>
      </c>
      <c r="AN70" s="62">
        <f t="shared" si="95"/>
        <v>0.14826575476306791</v>
      </c>
      <c r="AO70" s="62">
        <f t="shared" si="95"/>
        <v>0.10297265160523186</v>
      </c>
      <c r="AP70" s="62">
        <f t="shared" si="95"/>
        <v>0.15288070762610567</v>
      </c>
      <c r="AQ70" s="62">
        <f t="shared" si="95"/>
        <v>5.5739282063616141E-2</v>
      </c>
      <c r="AR70" s="62">
        <f t="shared" si="95"/>
        <v>5.7093768585211126E-2</v>
      </c>
      <c r="AS70" s="62">
        <f t="shared" si="95"/>
        <v>0.10464580238692824</v>
      </c>
      <c r="AT70" s="62">
        <f t="shared" si="95"/>
        <v>0.11830366580694263</v>
      </c>
      <c r="AU70" s="62">
        <f t="shared" si="95"/>
        <v>0.15124837638908933</v>
      </c>
    </row>
    <row r="71" spans="3:48" x14ac:dyDescent="0.2">
      <c r="C71" s="1" t="s">
        <v>45</v>
      </c>
      <c r="T71" s="2">
        <v>-28</v>
      </c>
      <c r="U71" s="16">
        <f>AN71-T71</f>
        <v>-29</v>
      </c>
      <c r="V71" s="2">
        <v>-34</v>
      </c>
      <c r="W71" s="16">
        <f>AO71-V71</f>
        <v>-33</v>
      </c>
      <c r="X71" s="2">
        <v>-21</v>
      </c>
      <c r="Z71" s="2">
        <v>-20</v>
      </c>
      <c r="AA71" s="16">
        <f>AQ71-Z71</f>
        <v>-38</v>
      </c>
      <c r="AB71" s="2">
        <v>-51</v>
      </c>
      <c r="AC71" s="16">
        <f>AR71-AB71</f>
        <v>-34</v>
      </c>
      <c r="AD71" s="2">
        <v>-38</v>
      </c>
      <c r="AE71" s="16">
        <f>AS71-AD71</f>
        <v>-18</v>
      </c>
      <c r="AF71" s="2">
        <v>42</v>
      </c>
      <c r="AG71" s="16">
        <f>AT71-AF71</f>
        <v>70</v>
      </c>
      <c r="AH71" s="2">
        <v>84</v>
      </c>
      <c r="AI71" s="16">
        <f>AU71-AH71</f>
        <v>73</v>
      </c>
      <c r="AJ71" s="2">
        <v>77</v>
      </c>
      <c r="AK71" s="2"/>
      <c r="AL71" s="18">
        <v>-29</v>
      </c>
      <c r="AM71" s="18">
        <v>-51</v>
      </c>
      <c r="AN71" s="18">
        <v>-57</v>
      </c>
      <c r="AO71" s="18">
        <v>-67</v>
      </c>
      <c r="AP71" s="18">
        <v>-33</v>
      </c>
      <c r="AQ71" s="18">
        <v>-58</v>
      </c>
      <c r="AR71" s="18">
        <v>-85</v>
      </c>
      <c r="AS71" s="18">
        <v>-56</v>
      </c>
      <c r="AT71" s="2">
        <v>112</v>
      </c>
      <c r="AU71" s="2">
        <v>157</v>
      </c>
    </row>
    <row r="72" spans="3:48" x14ac:dyDescent="0.2">
      <c r="C72" s="7" t="s">
        <v>46</v>
      </c>
      <c r="T72" s="2">
        <v>2384</v>
      </c>
      <c r="U72" s="16">
        <f>AN72-T72</f>
        <v>687</v>
      </c>
      <c r="V72" s="2">
        <v>-175</v>
      </c>
      <c r="W72" s="16">
        <f>AO72-V72</f>
        <v>-176</v>
      </c>
      <c r="X72" s="2">
        <v>150</v>
      </c>
      <c r="Y72" s="16">
        <f>AP72-X72</f>
        <v>-433</v>
      </c>
      <c r="Z72" s="2">
        <v>-1181</v>
      </c>
      <c r="AA72" s="16">
        <f>AQ72-Z72</f>
        <v>924</v>
      </c>
      <c r="AB72" s="2">
        <v>860</v>
      </c>
      <c r="AC72" s="16">
        <f>AR72-AB72</f>
        <v>-1357</v>
      </c>
      <c r="AD72" s="2">
        <v>-5828</v>
      </c>
      <c r="AE72" s="16">
        <f>AS72-AD72</f>
        <v>756</v>
      </c>
      <c r="AF72" s="2">
        <v>1123</v>
      </c>
      <c r="AG72" s="16">
        <f>AT72-AF72</f>
        <v>727</v>
      </c>
      <c r="AH72" s="2">
        <v>-1961</v>
      </c>
      <c r="AI72" s="16">
        <f>AU72-AH72</f>
        <v>-3219</v>
      </c>
      <c r="AJ72" s="2">
        <v>4628</v>
      </c>
      <c r="AK72" s="2"/>
      <c r="AL72" s="18">
        <v>-3270</v>
      </c>
      <c r="AM72" s="18">
        <v>-943</v>
      </c>
      <c r="AN72" s="18">
        <v>3071</v>
      </c>
      <c r="AO72" s="18">
        <v>-351</v>
      </c>
      <c r="AP72" s="18">
        <v>-283</v>
      </c>
      <c r="AQ72" s="18">
        <v>-257</v>
      </c>
      <c r="AR72" s="18">
        <v>-497</v>
      </c>
      <c r="AS72" s="18">
        <v>-5072</v>
      </c>
      <c r="AT72" s="2">
        <v>1850</v>
      </c>
      <c r="AU72" s="2">
        <v>-5180</v>
      </c>
    </row>
    <row r="73" spans="3:48" ht="14.25" x14ac:dyDescent="0.35">
      <c r="C73" s="1" t="s">
        <v>47</v>
      </c>
      <c r="T73" s="4">
        <v>-3</v>
      </c>
      <c r="U73" s="17">
        <f>AN73-T73</f>
        <v>1</v>
      </c>
      <c r="V73" s="4">
        <v>-11</v>
      </c>
      <c r="W73" s="17">
        <f>AO73-V73</f>
        <v>-47</v>
      </c>
      <c r="X73" s="4">
        <v>-23</v>
      </c>
      <c r="Y73" s="17">
        <f>AP73-X73</f>
        <v>-24</v>
      </c>
      <c r="Z73" s="4">
        <v>-46</v>
      </c>
      <c r="AA73" s="17">
        <f>AQ73-Z73</f>
        <v>4</v>
      </c>
      <c r="AB73" s="4">
        <v>-5</v>
      </c>
      <c r="AC73" s="17">
        <f>AR73-AB73</f>
        <v>-9</v>
      </c>
      <c r="AD73" s="4">
        <v>-40</v>
      </c>
      <c r="AE73" s="17">
        <f>AS73-AD73</f>
        <v>5</v>
      </c>
      <c r="AF73" s="4">
        <v>0</v>
      </c>
      <c r="AG73" s="17">
        <f>AT73-AF73</f>
        <v>-4</v>
      </c>
      <c r="AH73" s="4">
        <v>1</v>
      </c>
      <c r="AI73" s="17">
        <f>AU73-AH73</f>
        <v>-29</v>
      </c>
      <c r="AJ73" s="4">
        <v>35</v>
      </c>
      <c r="AK73" s="4"/>
      <c r="AL73" s="19">
        <v>-109</v>
      </c>
      <c r="AM73" s="19">
        <v>-58</v>
      </c>
      <c r="AN73" s="19">
        <v>-2</v>
      </c>
      <c r="AO73" s="19">
        <v>-58</v>
      </c>
      <c r="AP73" s="19">
        <v>-47</v>
      </c>
      <c r="AQ73" s="19">
        <v>-42</v>
      </c>
      <c r="AR73" s="19">
        <v>-14</v>
      </c>
      <c r="AS73" s="19">
        <v>-35</v>
      </c>
      <c r="AT73" s="4">
        <v>-4</v>
      </c>
      <c r="AU73" s="4">
        <v>-28</v>
      </c>
    </row>
    <row r="74" spans="3:48" x14ac:dyDescent="0.2">
      <c r="C74" s="6" t="s">
        <v>48</v>
      </c>
      <c r="T74" s="5">
        <f t="shared" ref="T74:AB74" si="96">SUM(T71:T73)</f>
        <v>2353</v>
      </c>
      <c r="U74" s="5">
        <f t="shared" si="96"/>
        <v>659</v>
      </c>
      <c r="V74" s="5">
        <f t="shared" si="96"/>
        <v>-220</v>
      </c>
      <c r="W74" s="5">
        <f t="shared" si="96"/>
        <v>-256</v>
      </c>
      <c r="X74" s="5">
        <f t="shared" si="96"/>
        <v>106</v>
      </c>
      <c r="Y74" s="5">
        <f t="shared" si="96"/>
        <v>-457</v>
      </c>
      <c r="Z74" s="5">
        <f t="shared" si="96"/>
        <v>-1247</v>
      </c>
      <c r="AA74" s="5">
        <f t="shared" si="96"/>
        <v>890</v>
      </c>
      <c r="AB74" s="5">
        <f t="shared" si="96"/>
        <v>804</v>
      </c>
      <c r="AC74" s="5">
        <f t="shared" ref="AC74:AJ74" si="97">SUM(AC71:AC73)</f>
        <v>-1400</v>
      </c>
      <c r="AD74" s="5">
        <f t="shared" si="97"/>
        <v>-5906</v>
      </c>
      <c r="AE74" s="5">
        <f t="shared" si="97"/>
        <v>743</v>
      </c>
      <c r="AF74" s="5">
        <f t="shared" si="97"/>
        <v>1165</v>
      </c>
      <c r="AG74" s="5">
        <f t="shared" si="97"/>
        <v>793</v>
      </c>
      <c r="AH74" s="5">
        <f t="shared" si="97"/>
        <v>-1876</v>
      </c>
      <c r="AI74" s="5">
        <f t="shared" si="97"/>
        <v>-3175</v>
      </c>
      <c r="AJ74" s="5">
        <f t="shared" si="97"/>
        <v>4740</v>
      </c>
      <c r="AK74" s="5"/>
      <c r="AL74" s="5">
        <f>SUM(AL71:AL73)</f>
        <v>-3408</v>
      </c>
      <c r="AM74" s="5">
        <f>SUM(AM71:AM73)</f>
        <v>-1052</v>
      </c>
      <c r="AN74" s="5">
        <f>SUM(AN71:AN73)</f>
        <v>3012</v>
      </c>
      <c r="AO74" s="5">
        <f t="shared" ref="AO74" si="98">SUM(AO71:AO73)</f>
        <v>-476</v>
      </c>
      <c r="AP74" s="5">
        <f>SUM(AP71:AP73)</f>
        <v>-363</v>
      </c>
      <c r="AQ74" s="5">
        <f>SUM(AQ71:AQ73)</f>
        <v>-357</v>
      </c>
      <c r="AR74" s="5">
        <f>SUM(AR71:AR73)</f>
        <v>-596</v>
      </c>
      <c r="AS74" s="5">
        <f t="shared" ref="AS74:AU74" si="99">SUM(AS71:AS73)</f>
        <v>-5163</v>
      </c>
      <c r="AT74" s="5">
        <f>SUM(AT71:AT73)</f>
        <v>1958</v>
      </c>
      <c r="AU74" s="5">
        <f t="shared" si="99"/>
        <v>-5051</v>
      </c>
    </row>
    <row r="75" spans="3:48" x14ac:dyDescent="0.2">
      <c r="C75" s="6" t="s">
        <v>49</v>
      </c>
      <c r="T75" s="5">
        <f t="shared" ref="T75:AB75" si="100">T69+T74</f>
        <v>3648</v>
      </c>
      <c r="U75" s="5">
        <f t="shared" si="100"/>
        <v>1792</v>
      </c>
      <c r="V75" s="5">
        <f t="shared" si="100"/>
        <v>666</v>
      </c>
      <c r="W75" s="5">
        <f t="shared" si="100"/>
        <v>1023</v>
      </c>
      <c r="X75" s="5">
        <f t="shared" si="100"/>
        <v>2015</v>
      </c>
      <c r="Y75" s="5">
        <f t="shared" si="100"/>
        <v>1471</v>
      </c>
      <c r="Z75" s="5">
        <f t="shared" si="100"/>
        <v>-532</v>
      </c>
      <c r="AA75" s="5">
        <f t="shared" si="100"/>
        <v>1102</v>
      </c>
      <c r="AB75" s="5">
        <f t="shared" si="100"/>
        <v>960</v>
      </c>
      <c r="AC75" s="5">
        <f t="shared" ref="AC75:AJ75" si="101">AC69+AC74</f>
        <v>-692</v>
      </c>
      <c r="AD75" s="5">
        <f t="shared" si="101"/>
        <v>-5030</v>
      </c>
      <c r="AE75" s="5">
        <f t="shared" si="101"/>
        <v>1910</v>
      </c>
      <c r="AF75" s="5">
        <f t="shared" si="101"/>
        <v>2514</v>
      </c>
      <c r="AG75" s="5">
        <f t="shared" si="101"/>
        <v>2242</v>
      </c>
      <c r="AH75" s="5">
        <f t="shared" si="101"/>
        <v>68</v>
      </c>
      <c r="AI75" s="5">
        <f t="shared" si="101"/>
        <v>-927</v>
      </c>
      <c r="AJ75" s="5">
        <f t="shared" si="101"/>
        <v>7171</v>
      </c>
      <c r="AK75" s="5"/>
      <c r="AL75" s="5">
        <f>AL69+AL74</f>
        <v>-1332</v>
      </c>
      <c r="AM75" s="5">
        <f>AM69+AM74</f>
        <v>2287</v>
      </c>
      <c r="AN75" s="5">
        <f>AN69+AN74</f>
        <v>5440</v>
      </c>
      <c r="AO75" s="5">
        <f t="shared" ref="AO75" si="102">AO69+AO74</f>
        <v>1689</v>
      </c>
      <c r="AP75" s="5">
        <f>AP69+AP74</f>
        <v>3474</v>
      </c>
      <c r="AQ75" s="5">
        <f>AQ69+AQ74</f>
        <v>570</v>
      </c>
      <c r="AR75" s="5">
        <f>AR69+AR74</f>
        <v>268</v>
      </c>
      <c r="AS75" s="5">
        <f t="shared" ref="AS75:AU75" si="103">AS69+AS74</f>
        <v>-3120</v>
      </c>
      <c r="AT75" s="5">
        <f>AT69+AT74</f>
        <v>4756</v>
      </c>
      <c r="AU75" s="5">
        <f t="shared" si="103"/>
        <v>-859</v>
      </c>
    </row>
    <row r="76" spans="3:48" x14ac:dyDescent="0.2">
      <c r="C76" s="1" t="s">
        <v>50</v>
      </c>
      <c r="T76" s="2">
        <v>-1171</v>
      </c>
      <c r="U76" s="16">
        <f>AN76-T76</f>
        <v>-489</v>
      </c>
      <c r="V76" s="2">
        <v>-100</v>
      </c>
      <c r="W76" s="16">
        <f>AO76-V76</f>
        <v>-248</v>
      </c>
      <c r="X76" s="2">
        <v>-550</v>
      </c>
      <c r="Y76" s="16">
        <f>AP76-X76</f>
        <v>-412</v>
      </c>
      <c r="Z76" s="2">
        <v>207</v>
      </c>
      <c r="AA76" s="16">
        <f>AQ76-Z76</f>
        <v>-391</v>
      </c>
      <c r="AB76" s="2">
        <v>-273</v>
      </c>
      <c r="AC76" s="16">
        <f>AR76-AB76</f>
        <v>73</v>
      </c>
      <c r="AD76" s="2">
        <v>1283</v>
      </c>
      <c r="AE76" s="16">
        <f>AS76-AD76</f>
        <v>-589</v>
      </c>
      <c r="AF76" s="2">
        <v>-609</v>
      </c>
      <c r="AG76" s="16">
        <f>AT76-AF76</f>
        <v>-627</v>
      </c>
      <c r="AH76" s="2">
        <v>38</v>
      </c>
      <c r="AI76" s="16">
        <f>AU76-AH76</f>
        <v>246</v>
      </c>
      <c r="AJ76" s="2">
        <v>-2059</v>
      </c>
      <c r="AK76" s="2"/>
      <c r="AL76" s="18">
        <v>505</v>
      </c>
      <c r="AM76" s="18">
        <v>-398</v>
      </c>
      <c r="AN76" s="18">
        <v>-1660</v>
      </c>
      <c r="AO76" s="18">
        <v>-348</v>
      </c>
      <c r="AP76" s="18">
        <v>-962</v>
      </c>
      <c r="AQ76" s="18">
        <v>-184</v>
      </c>
      <c r="AR76" s="18">
        <v>-200</v>
      </c>
      <c r="AS76" s="18">
        <v>694</v>
      </c>
      <c r="AT76" s="2">
        <v>-1236</v>
      </c>
      <c r="AU76" s="2">
        <v>284</v>
      </c>
    </row>
    <row r="77" spans="3:48" ht="14.25" x14ac:dyDescent="0.35">
      <c r="T77" s="4"/>
      <c r="U77" s="17"/>
      <c r="V77" s="4"/>
      <c r="W77" s="17"/>
      <c r="X77" s="4"/>
      <c r="Y77" s="17"/>
      <c r="Z77" s="4"/>
      <c r="AA77" s="17"/>
      <c r="AB77" s="4"/>
      <c r="AC77" s="17"/>
      <c r="AD77" s="4"/>
      <c r="AE77" s="17"/>
      <c r="AF77" s="4"/>
      <c r="AG77" s="17"/>
      <c r="AH77" s="4"/>
      <c r="AI77" s="17"/>
      <c r="AJ77" s="4"/>
      <c r="AK77" s="4"/>
      <c r="AL77" s="67">
        <f>AL76/AL75</f>
        <v>-0.37912912912912911</v>
      </c>
      <c r="AM77" s="67">
        <f>AM76/AM75</f>
        <v>-0.17402710975076519</v>
      </c>
      <c r="AN77" s="67">
        <f>AN76/AN75</f>
        <v>-0.30514705882352944</v>
      </c>
      <c r="AO77" s="67">
        <f>AO76/AO75</f>
        <v>-0.20603907637655416</v>
      </c>
      <c r="AP77" s="67">
        <f>AP76/AP75</f>
        <v>-0.27691421991940124</v>
      </c>
      <c r="AQ77" s="67">
        <f>AQ76/AQ75</f>
        <v>-0.32280701754385965</v>
      </c>
      <c r="AR77" s="67">
        <f>AR76/AR75</f>
        <v>-0.74626865671641796</v>
      </c>
      <c r="AS77" s="67">
        <f>AS76/AS75</f>
        <v>-0.22243589743589742</v>
      </c>
      <c r="AT77" s="67">
        <f>AT76/AT75</f>
        <v>-0.25988225399495374</v>
      </c>
      <c r="AU77" s="67">
        <f>AU76/AU75</f>
        <v>-0.33061699650756693</v>
      </c>
    </row>
    <row r="78" spans="3:48" s="8" customFormat="1" x14ac:dyDescent="0.2">
      <c r="C78" s="9" t="s">
        <v>51</v>
      </c>
      <c r="T78" s="58">
        <f>T75+T76+773</f>
        <v>3250</v>
      </c>
      <c r="U78" s="59"/>
      <c r="V78" s="23">
        <f t="shared" ref="V78:AB78" si="104">V75+V76</f>
        <v>566</v>
      </c>
      <c r="W78" s="23">
        <f t="shared" si="104"/>
        <v>775</v>
      </c>
      <c r="X78" s="23">
        <f t="shared" si="104"/>
        <v>1465</v>
      </c>
      <c r="Y78" s="23">
        <f t="shared" si="104"/>
        <v>1059</v>
      </c>
      <c r="Z78" s="23">
        <f t="shared" si="104"/>
        <v>-325</v>
      </c>
      <c r="AA78" s="23">
        <f t="shared" si="104"/>
        <v>711</v>
      </c>
      <c r="AB78" s="23">
        <f t="shared" si="104"/>
        <v>687</v>
      </c>
      <c r="AC78" s="23">
        <f t="shared" ref="AC78:AJ78" si="105">AC75+AC76</f>
        <v>-619</v>
      </c>
      <c r="AD78" s="23">
        <f t="shared" si="105"/>
        <v>-3747</v>
      </c>
      <c r="AE78" s="23">
        <f t="shared" si="105"/>
        <v>1321</v>
      </c>
      <c r="AF78" s="23">
        <f t="shared" si="105"/>
        <v>1905</v>
      </c>
      <c r="AG78" s="23">
        <f t="shared" si="105"/>
        <v>1615</v>
      </c>
      <c r="AH78" s="23">
        <f t="shared" si="105"/>
        <v>106</v>
      </c>
      <c r="AI78" s="23">
        <f t="shared" si="105"/>
        <v>-681</v>
      </c>
      <c r="AJ78" s="23">
        <f t="shared" si="105"/>
        <v>5112</v>
      </c>
      <c r="AK78" s="23"/>
      <c r="AL78" s="60">
        <f>AL75+AL76+421+21</f>
        <v>-385</v>
      </c>
      <c r="AM78" s="23">
        <f>AM75+AM76+74</f>
        <v>1963</v>
      </c>
      <c r="AN78" s="60">
        <f>AN75+AN76+831</f>
        <v>4611</v>
      </c>
      <c r="AO78" s="23">
        <f t="shared" ref="AO78" si="106">AO75+AO76</f>
        <v>1341</v>
      </c>
      <c r="AP78" s="23">
        <f>AP75+AP76</f>
        <v>2512</v>
      </c>
      <c r="AQ78" s="23">
        <f>AQ75+AQ76</f>
        <v>386</v>
      </c>
      <c r="AR78" s="23">
        <f>AR75+AR76</f>
        <v>68</v>
      </c>
      <c r="AS78" s="23">
        <f t="shared" ref="AS78:AU78" si="107">AS75+AS76</f>
        <v>-2426</v>
      </c>
      <c r="AT78" s="23">
        <f>AT75+AT76</f>
        <v>3520</v>
      </c>
      <c r="AU78" s="23">
        <f t="shared" si="107"/>
        <v>-575</v>
      </c>
      <c r="AV78" s="61">
        <f>((AU78/AL78)^(1/(2024-2015)))-1</f>
        <v>4.5577781998032973E-2</v>
      </c>
    </row>
    <row r="79" spans="3:48" x14ac:dyDescent="0.2">
      <c r="C79" s="7" t="s">
        <v>52</v>
      </c>
      <c r="T79" s="2">
        <v>2449</v>
      </c>
      <c r="U79" s="2"/>
      <c r="V79" s="2">
        <v>535</v>
      </c>
      <c r="W79" s="2"/>
      <c r="X79" s="2">
        <v>1432</v>
      </c>
      <c r="Y79" s="2"/>
      <c r="Z79" s="2">
        <v>-340</v>
      </c>
      <c r="AA79" s="16"/>
      <c r="AB79" s="2">
        <v>674</v>
      </c>
      <c r="AD79" s="2">
        <v>-3762</v>
      </c>
      <c r="AE79" s="2"/>
      <c r="AF79" s="2">
        <v>1863</v>
      </c>
      <c r="AG79" s="2"/>
      <c r="AH79" s="2">
        <v>57</v>
      </c>
      <c r="AI79" s="2"/>
      <c r="AJ79" s="2">
        <v>5045</v>
      </c>
      <c r="AK79" s="2"/>
      <c r="AL79" s="18">
        <v>-424</v>
      </c>
      <c r="AM79" s="18">
        <v>1283</v>
      </c>
      <c r="AN79" s="18">
        <v>4550</v>
      </c>
      <c r="AO79" s="18">
        <v>1283</v>
      </c>
      <c r="AP79" s="18">
        <v>2447</v>
      </c>
      <c r="AQ79" s="18">
        <v>352</v>
      </c>
      <c r="AR79" s="18">
        <v>43</v>
      </c>
      <c r="AS79" s="18">
        <v>-2459</v>
      </c>
      <c r="AT79" s="2">
        <v>3444</v>
      </c>
      <c r="AU79" s="2">
        <v>-667</v>
      </c>
    </row>
    <row r="80" spans="3:48" x14ac:dyDescent="0.2">
      <c r="C80" s="7" t="s">
        <v>53</v>
      </c>
      <c r="T80" s="5">
        <f>T78-T79</f>
        <v>801</v>
      </c>
      <c r="U80" s="5"/>
      <c r="V80" s="5">
        <f>V78-V79</f>
        <v>31</v>
      </c>
      <c r="W80" s="5"/>
      <c r="X80" s="5">
        <f>X78-X79</f>
        <v>33</v>
      </c>
      <c r="Y80" s="5"/>
      <c r="Z80" s="5">
        <f>Z78-Z79</f>
        <v>15</v>
      </c>
      <c r="AA80" s="5"/>
      <c r="AB80" s="5">
        <f>AB78-AB79</f>
        <v>13</v>
      </c>
      <c r="AD80" s="5">
        <f>AD78-AD79</f>
        <v>15</v>
      </c>
      <c r="AE80" s="5"/>
      <c r="AF80" s="5">
        <f>AF78-AF79</f>
        <v>42</v>
      </c>
      <c r="AG80" s="5"/>
      <c r="AH80" s="5">
        <f>AH78-AH79</f>
        <v>49</v>
      </c>
      <c r="AI80" s="5"/>
      <c r="AJ80" s="5">
        <f>AJ78-AJ79</f>
        <v>67</v>
      </c>
      <c r="AK80" s="5"/>
      <c r="AL80" s="5">
        <f t="shared" ref="AL80:AR80" si="108">AL78-AL79</f>
        <v>39</v>
      </c>
      <c r="AM80" s="5">
        <f t="shared" si="108"/>
        <v>680</v>
      </c>
      <c r="AN80" s="5">
        <f t="shared" si="108"/>
        <v>61</v>
      </c>
      <c r="AO80" s="5">
        <f t="shared" si="108"/>
        <v>58</v>
      </c>
      <c r="AP80" s="5">
        <f t="shared" si="108"/>
        <v>65</v>
      </c>
      <c r="AQ80" s="5">
        <f t="shared" si="108"/>
        <v>34</v>
      </c>
      <c r="AR80" s="5">
        <f t="shared" si="108"/>
        <v>25</v>
      </c>
      <c r="AS80" s="5">
        <f t="shared" ref="AS80:AU80" si="109">AS78-AS79</f>
        <v>33</v>
      </c>
      <c r="AT80" s="5">
        <f>AT78-AT79</f>
        <v>76</v>
      </c>
      <c r="AU80" s="5">
        <f t="shared" si="109"/>
        <v>92</v>
      </c>
    </row>
    <row r="82" spans="2:48" x14ac:dyDescent="0.2">
      <c r="C82" s="1" t="s">
        <v>54</v>
      </c>
      <c r="T82" s="2">
        <v>411.22485799999998</v>
      </c>
      <c r="U82" s="2"/>
      <c r="V82" s="2">
        <v>428.93556999999998</v>
      </c>
      <c r="W82" s="2"/>
      <c r="X82" s="2">
        <v>432.21825899999999</v>
      </c>
      <c r="Y82" s="2"/>
      <c r="Z82" s="2">
        <v>425.15517999999997</v>
      </c>
      <c r="AA82" s="2"/>
      <c r="AB82" s="2">
        <v>426.622547</v>
      </c>
      <c r="AD82" s="2">
        <v>426.832583</v>
      </c>
      <c r="AE82" s="2"/>
      <c r="AF82" s="2">
        <v>420.44786499999998</v>
      </c>
      <c r="AG82" s="10">
        <f>AT82</f>
        <v>417.79549200000002</v>
      </c>
      <c r="AH82" s="2">
        <v>424.91398299999997</v>
      </c>
      <c r="AI82" s="2">
        <v>424.91398299999997</v>
      </c>
      <c r="AJ82" s="2">
        <v>417.934731</v>
      </c>
      <c r="AK82" s="2"/>
      <c r="AL82" s="18">
        <v>416.42814399999997</v>
      </c>
      <c r="AM82" s="18">
        <v>416.32511799999997</v>
      </c>
      <c r="AN82" s="18">
        <v>410.24104299999999</v>
      </c>
      <c r="AO82" s="18">
        <v>430.91181</v>
      </c>
      <c r="AP82" s="18">
        <v>429.72337199999998</v>
      </c>
      <c r="AQ82" s="18">
        <v>426.035732</v>
      </c>
      <c r="AR82" s="18">
        <v>426.65042499999998</v>
      </c>
      <c r="AS82" s="18">
        <v>426.680657</v>
      </c>
      <c r="AT82" s="2">
        <v>417.79549200000002</v>
      </c>
      <c r="AU82" s="2">
        <v>416.14953000000003</v>
      </c>
      <c r="AV82" s="40">
        <f>((AU82/AL82)^(1/(2024-2015)))-1</f>
        <v>-7.436173754538089E-5</v>
      </c>
    </row>
    <row r="83" spans="2:48" x14ac:dyDescent="0.2">
      <c r="C83" s="1" t="s">
        <v>55</v>
      </c>
      <c r="T83" s="2">
        <v>418.50206300000002</v>
      </c>
      <c r="U83" s="2"/>
      <c r="V83" s="2">
        <v>441.22285299999999</v>
      </c>
      <c r="W83" s="2"/>
      <c r="X83" s="2">
        <v>437.834002</v>
      </c>
      <c r="Y83" s="2"/>
      <c r="Z83" s="2">
        <v>437.74524400000001</v>
      </c>
      <c r="AA83" s="2"/>
      <c r="AB83" s="2">
        <v>440.79065300000002</v>
      </c>
      <c r="AD83" s="2">
        <v>440.31538499999999</v>
      </c>
      <c r="AE83" s="2"/>
      <c r="AF83" s="2">
        <v>434.53435100000002</v>
      </c>
      <c r="AG83" s="10">
        <f>AT83</f>
        <v>431.373561</v>
      </c>
      <c r="AH83" s="2">
        <v>437.78017</v>
      </c>
      <c r="AI83" s="2">
        <v>437.78017</v>
      </c>
      <c r="AJ83" s="2">
        <v>417.934731</v>
      </c>
      <c r="AK83" s="2"/>
      <c r="AL83" s="18">
        <v>416.42814399999997</v>
      </c>
      <c r="AM83" s="18">
        <v>423.61894799999999</v>
      </c>
      <c r="AN83" s="18">
        <v>417.51824800000003</v>
      </c>
      <c r="AO83" s="18">
        <v>436.33563099999998</v>
      </c>
      <c r="AP83" s="18">
        <v>434.97673300000002</v>
      </c>
      <c r="AQ83" s="18">
        <v>440.46049499999998</v>
      </c>
      <c r="AR83" s="18">
        <v>440.08702899999997</v>
      </c>
      <c r="AS83" s="18">
        <v>440.15992899999998</v>
      </c>
      <c r="AT83" s="2">
        <v>431.373561</v>
      </c>
      <c r="AU83" s="2">
        <v>420.722353</v>
      </c>
      <c r="AV83" s="40">
        <f>((AU83/AL83)^(1/(2024-2015)))-1</f>
        <v>1.1405609171257769E-3</v>
      </c>
    </row>
    <row r="84" spans="2:48" x14ac:dyDescent="0.2">
      <c r="C84" s="1" t="s">
        <v>186</v>
      </c>
      <c r="T84" s="21">
        <f t="shared" ref="T84:X85" si="110">T$79/T82</f>
        <v>5.955379283029627</v>
      </c>
      <c r="U84" s="21"/>
      <c r="V84" s="21">
        <f t="shared" si="110"/>
        <v>1.2472735707136622</v>
      </c>
      <c r="W84" s="21"/>
      <c r="X84" s="21">
        <f t="shared" si="110"/>
        <v>3.3131409193890629</v>
      </c>
      <c r="Y84" s="21"/>
      <c r="Z84" s="21">
        <f>Z$79/Z82</f>
        <v>-0.79970800308724932</v>
      </c>
      <c r="AA84" s="21"/>
      <c r="AB84" s="21">
        <f>AB$79/AB82</f>
        <v>1.5798508652192731</v>
      </c>
      <c r="AD84" s="21">
        <f>AD$79/AD82</f>
        <v>-8.8137601247747295</v>
      </c>
      <c r="AE84" s="21"/>
      <c r="AF84" s="21">
        <f>AF$79/AF82</f>
        <v>4.4309893213514124</v>
      </c>
      <c r="AG84" s="21"/>
      <c r="AH84" s="21">
        <f>AH$79/AH82</f>
        <v>0.13414479701883569</v>
      </c>
      <c r="AI84" s="21"/>
      <c r="AJ84" s="21">
        <f>AJ$79/AJ82</f>
        <v>12.071262869033969</v>
      </c>
      <c r="AK84" s="21"/>
      <c r="AL84" s="28">
        <v>-1.08</v>
      </c>
      <c r="AM84" s="28">
        <v>4.41</v>
      </c>
      <c r="AN84" s="28">
        <v>9.07</v>
      </c>
      <c r="AO84" s="22">
        <f>AO$79/AO82</f>
        <v>2.9774073725201453</v>
      </c>
      <c r="AP84" s="22">
        <f>AP$79/AP82</f>
        <v>5.6943609760187774</v>
      </c>
      <c r="AQ84" s="22">
        <f t="shared" ref="AQ84:AU85" si="111">AQ$79/AQ82</f>
        <v>0.82622177803621411</v>
      </c>
      <c r="AR84" s="22">
        <f t="shared" si="111"/>
        <v>0.10078508652604765</v>
      </c>
      <c r="AS84" s="22">
        <f t="shared" si="111"/>
        <v>-5.7630922791046517</v>
      </c>
      <c r="AT84" s="21">
        <f t="shared" si="111"/>
        <v>8.2432674979652472</v>
      </c>
      <c r="AU84" s="21">
        <f t="shared" si="111"/>
        <v>-1.6027892666369223</v>
      </c>
    </row>
    <row r="85" spans="2:48" x14ac:dyDescent="0.2">
      <c r="C85" s="1" t="s">
        <v>187</v>
      </c>
      <c r="T85" s="21">
        <f t="shared" si="110"/>
        <v>5.8518230052309201</v>
      </c>
      <c r="U85" s="21"/>
      <c r="V85" s="21">
        <f t="shared" si="110"/>
        <v>1.2125391882183401</v>
      </c>
      <c r="W85" s="21"/>
      <c r="X85" s="21">
        <f t="shared" si="110"/>
        <v>3.270645937635515</v>
      </c>
      <c r="Y85" s="21"/>
      <c r="Z85" s="21">
        <f>Z$79/Z83</f>
        <v>-0.77670746778004973</v>
      </c>
      <c r="AA85" s="21"/>
      <c r="AB85" s="21">
        <f>AB$79/AB83</f>
        <v>1.5290705358945076</v>
      </c>
      <c r="AD85" s="21">
        <f>AD$79/AD83</f>
        <v>-8.5438758856904347</v>
      </c>
      <c r="AE85" s="21"/>
      <c r="AF85" s="21">
        <f>AF$79/AF83</f>
        <v>4.2873480444357321</v>
      </c>
      <c r="AG85" s="21"/>
      <c r="AH85" s="21">
        <f>AH$79/AH83</f>
        <v>0.13020233419891997</v>
      </c>
      <c r="AI85" s="21"/>
      <c r="AJ85" s="21">
        <f>AJ$79/AJ83</f>
        <v>12.071262869033969</v>
      </c>
      <c r="AK85" s="21"/>
      <c r="AL85" s="28">
        <v>-1.08</v>
      </c>
      <c r="AM85" s="28">
        <v>4.33</v>
      </c>
      <c r="AN85" s="28">
        <v>8.91</v>
      </c>
      <c r="AO85" s="22">
        <f t="shared" ref="AO85" si="112">AO$79/AO83</f>
        <v>2.940397044952765</v>
      </c>
      <c r="AP85" s="22">
        <f>AP$79/AP83</f>
        <v>5.6255882541653088</v>
      </c>
      <c r="AQ85" s="22">
        <f t="shared" si="111"/>
        <v>0.7991636117105122</v>
      </c>
      <c r="AR85" s="22">
        <f t="shared" si="111"/>
        <v>9.7707946761593834E-2</v>
      </c>
      <c r="AS85" s="22">
        <f t="shared" si="111"/>
        <v>-5.5866057721033489</v>
      </c>
      <c r="AT85" s="21">
        <f t="shared" si="111"/>
        <v>7.9837994521875668</v>
      </c>
      <c r="AU85" s="21">
        <f t="shared" si="111"/>
        <v>-1.5853685815452738</v>
      </c>
    </row>
    <row r="87" spans="2:48" x14ac:dyDescent="0.2">
      <c r="B87" s="1" t="s">
        <v>57</v>
      </c>
      <c r="C87" s="1" t="s">
        <v>58</v>
      </c>
    </row>
    <row r="88" spans="2:48" x14ac:dyDescent="0.2">
      <c r="C88" s="1" t="s">
        <v>59</v>
      </c>
      <c r="T88" s="2"/>
      <c r="U88" s="2"/>
      <c r="V88" s="2">
        <v>7346</v>
      </c>
      <c r="W88" s="2"/>
      <c r="X88" s="2">
        <v>5199</v>
      </c>
      <c r="Y88" s="2"/>
      <c r="Z88" s="2">
        <v>5197</v>
      </c>
      <c r="AA88" s="2"/>
      <c r="AB88" s="2">
        <v>5086</v>
      </c>
      <c r="AD88" s="2">
        <v>5124</v>
      </c>
      <c r="AE88" s="2"/>
      <c r="AF88" s="2">
        <v>4941</v>
      </c>
      <c r="AH88" s="2">
        <v>4687</v>
      </c>
      <c r="AI88" s="16"/>
      <c r="AJ88" s="2">
        <v>4864</v>
      </c>
      <c r="AK88" s="2"/>
      <c r="AL88" s="2">
        <v>3590</v>
      </c>
      <c r="AM88" s="2">
        <v>1864</v>
      </c>
      <c r="AN88" s="2">
        <v>1831</v>
      </c>
      <c r="AO88" s="2">
        <v>5173</v>
      </c>
      <c r="AP88" s="2">
        <v>5199</v>
      </c>
      <c r="AQ88" s="2">
        <v>5060</v>
      </c>
      <c r="AR88" s="2">
        <v>5068</v>
      </c>
      <c r="AS88" s="2">
        <v>4994</v>
      </c>
      <c r="AT88" s="2">
        <v>4706</v>
      </c>
      <c r="AU88" s="2">
        <v>4937</v>
      </c>
    </row>
    <row r="89" spans="2:48" x14ac:dyDescent="0.2">
      <c r="C89" s="1" t="s">
        <v>60</v>
      </c>
      <c r="T89" s="2"/>
      <c r="U89" s="2"/>
      <c r="V89" s="2">
        <v>6285</v>
      </c>
      <c r="W89" s="2"/>
      <c r="X89" s="2">
        <v>9479</v>
      </c>
      <c r="Y89" s="2"/>
      <c r="Z89" s="2">
        <v>9208</v>
      </c>
      <c r="AA89" s="2"/>
      <c r="AB89" s="2">
        <v>8580</v>
      </c>
      <c r="AD89" s="2">
        <v>8170</v>
      </c>
      <c r="AE89" s="2"/>
      <c r="AF89" s="2">
        <v>7971</v>
      </c>
      <c r="AH89" s="2">
        <v>7968</v>
      </c>
      <c r="AI89" s="16"/>
      <c r="AJ89" s="2">
        <v>7820</v>
      </c>
      <c r="AK89" s="2"/>
      <c r="AL89" s="18">
        <v>5321</v>
      </c>
      <c r="AM89" s="18">
        <v>5178</v>
      </c>
      <c r="AN89" s="18">
        <v>5596</v>
      </c>
      <c r="AO89" s="18">
        <v>9757</v>
      </c>
      <c r="AP89" s="2">
        <v>9479</v>
      </c>
      <c r="AQ89" s="2">
        <v>8676</v>
      </c>
      <c r="AR89" s="2">
        <v>8382</v>
      </c>
      <c r="AS89" s="2">
        <v>8096</v>
      </c>
      <c r="AT89" s="2">
        <v>7830</v>
      </c>
      <c r="AU89" s="2">
        <v>7947</v>
      </c>
    </row>
    <row r="90" spans="2:48" x14ac:dyDescent="0.2">
      <c r="C90" s="1" t="s">
        <v>61</v>
      </c>
      <c r="T90" s="2"/>
      <c r="U90" s="2"/>
      <c r="V90" s="2">
        <v>4116</v>
      </c>
      <c r="W90" s="2"/>
      <c r="X90" s="2">
        <v>4398</v>
      </c>
      <c r="Y90" s="2"/>
      <c r="Z90" s="2">
        <v>4263</v>
      </c>
      <c r="AA90" s="2"/>
      <c r="AB90" s="2">
        <v>3972</v>
      </c>
      <c r="AD90" s="2">
        <v>3970</v>
      </c>
      <c r="AE90" s="2"/>
      <c r="AF90" s="2">
        <v>3917</v>
      </c>
      <c r="AH90" s="2">
        <v>4362</v>
      </c>
      <c r="AI90" s="16"/>
      <c r="AJ90" s="2">
        <v>4780</v>
      </c>
      <c r="AK90" s="2"/>
      <c r="AL90" s="18">
        <v>3272</v>
      </c>
      <c r="AM90" s="18">
        <v>3169</v>
      </c>
      <c r="AN90" s="18">
        <v>3518</v>
      </c>
      <c r="AO90" s="18">
        <v>4454</v>
      </c>
      <c r="AP90" s="2">
        <v>4398</v>
      </c>
      <c r="AQ90" s="2">
        <v>4055</v>
      </c>
      <c r="AR90" s="2">
        <v>3937</v>
      </c>
      <c r="AS90" s="2">
        <v>3847</v>
      </c>
      <c r="AT90" s="2">
        <v>4121</v>
      </c>
      <c r="AU90" s="2">
        <v>4629</v>
      </c>
    </row>
    <row r="91" spans="2:48" x14ac:dyDescent="0.2">
      <c r="C91" s="1" t="s">
        <v>62</v>
      </c>
      <c r="T91" s="2"/>
      <c r="U91" s="2"/>
      <c r="V91" s="2">
        <v>0</v>
      </c>
      <c r="W91" s="2"/>
      <c r="X91" s="2">
        <v>732</v>
      </c>
      <c r="Y91" s="2"/>
      <c r="Z91" s="2">
        <v>676</v>
      </c>
      <c r="AA91" s="2"/>
      <c r="AB91" s="2">
        <v>609</v>
      </c>
      <c r="AD91" s="2">
        <v>588</v>
      </c>
      <c r="AE91" s="2"/>
      <c r="AF91" s="2">
        <v>569</v>
      </c>
      <c r="AH91" s="2">
        <v>659</v>
      </c>
      <c r="AI91" s="16"/>
      <c r="AJ91" s="2">
        <v>728</v>
      </c>
      <c r="AK91" s="2"/>
      <c r="AL91" s="18">
        <v>0</v>
      </c>
      <c r="AM91" s="18">
        <v>0</v>
      </c>
      <c r="AN91" s="18">
        <v>0</v>
      </c>
      <c r="AO91" s="18">
        <v>0</v>
      </c>
      <c r="AP91" s="2">
        <v>732</v>
      </c>
      <c r="AQ91" s="2">
        <v>623</v>
      </c>
      <c r="AR91" s="2">
        <v>606</v>
      </c>
      <c r="AS91" s="2">
        <v>566</v>
      </c>
      <c r="AT91" s="2">
        <v>582</v>
      </c>
      <c r="AU91" s="2">
        <v>653</v>
      </c>
    </row>
    <row r="92" spans="2:48" x14ac:dyDescent="0.2">
      <c r="C92" s="1" t="s">
        <v>63</v>
      </c>
      <c r="T92" s="2"/>
      <c r="U92" s="2"/>
      <c r="V92" s="2">
        <v>459</v>
      </c>
      <c r="W92" s="2"/>
      <c r="X92" s="2">
        <v>429</v>
      </c>
      <c r="Y92" s="2"/>
      <c r="Z92" s="2">
        <v>410</v>
      </c>
      <c r="AA92" s="2"/>
      <c r="AB92" s="2">
        <v>659</v>
      </c>
      <c r="AD92" s="2">
        <v>746</v>
      </c>
      <c r="AE92" s="2"/>
      <c r="AF92" s="2">
        <v>667</v>
      </c>
      <c r="AH92" s="2">
        <v>1212</v>
      </c>
      <c r="AI92" s="16"/>
      <c r="AJ92" s="2">
        <v>802</v>
      </c>
      <c r="AK92" s="2"/>
      <c r="AL92" s="18">
        <v>419</v>
      </c>
      <c r="AM92" s="18">
        <v>382</v>
      </c>
      <c r="AN92" s="18">
        <v>324</v>
      </c>
      <c r="AO92" s="18">
        <v>416</v>
      </c>
      <c r="AP92" s="2">
        <v>429</v>
      </c>
      <c r="AQ92" s="2">
        <v>431</v>
      </c>
      <c r="AR92" s="2">
        <v>688</v>
      </c>
      <c r="AS92" s="2">
        <v>752</v>
      </c>
      <c r="AT92" s="2">
        <v>997</v>
      </c>
      <c r="AU92" s="2">
        <v>1073</v>
      </c>
    </row>
    <row r="93" spans="2:48" x14ac:dyDescent="0.2">
      <c r="C93" s="1" t="s">
        <v>64</v>
      </c>
      <c r="T93" s="2"/>
      <c r="U93" s="2"/>
      <c r="V93" s="2">
        <v>2144</v>
      </c>
      <c r="W93" s="2"/>
      <c r="X93" s="2">
        <v>2211</v>
      </c>
      <c r="Y93" s="2"/>
      <c r="Z93" s="2">
        <v>2199</v>
      </c>
      <c r="AA93" s="2"/>
      <c r="AB93" s="2">
        <v>2049</v>
      </c>
      <c r="AD93" s="2">
        <v>1992</v>
      </c>
      <c r="AE93" s="2"/>
      <c r="AF93" s="2">
        <v>1914</v>
      </c>
      <c r="AH93" s="2">
        <v>1923</v>
      </c>
      <c r="AI93" s="16"/>
      <c r="AJ93" s="2">
        <v>1861</v>
      </c>
      <c r="AK93" s="2"/>
      <c r="AL93" s="18">
        <v>765</v>
      </c>
      <c r="AM93" s="18">
        <v>2175</v>
      </c>
      <c r="AN93" s="18">
        <v>2127</v>
      </c>
      <c r="AO93" s="18">
        <v>2253</v>
      </c>
      <c r="AP93" s="2">
        <v>2211</v>
      </c>
      <c r="AQ93" s="2">
        <v>2126</v>
      </c>
      <c r="AR93" s="2">
        <v>1969</v>
      </c>
      <c r="AS93" s="2">
        <v>1974</v>
      </c>
      <c r="AT93" s="2">
        <v>1928</v>
      </c>
      <c r="AU93" s="2">
        <v>1894</v>
      </c>
    </row>
    <row r="94" spans="2:48" x14ac:dyDescent="0.2">
      <c r="C94" s="1" t="s">
        <v>65</v>
      </c>
      <c r="T94" s="2"/>
      <c r="U94" s="2"/>
      <c r="V94" s="2">
        <v>12</v>
      </c>
      <c r="W94" s="2"/>
      <c r="X94" s="2">
        <v>33</v>
      </c>
      <c r="Y94" s="2"/>
      <c r="Z94" s="2">
        <v>63</v>
      </c>
      <c r="AA94" s="2"/>
      <c r="AB94" s="2">
        <v>39</v>
      </c>
      <c r="AD94" s="2">
        <v>6</v>
      </c>
      <c r="AE94" s="2"/>
      <c r="AF94" s="2">
        <v>9</v>
      </c>
      <c r="AH94" s="2">
        <v>0</v>
      </c>
      <c r="AI94" s="16"/>
      <c r="AJ94" s="2">
        <v>0</v>
      </c>
      <c r="AK94" s="2"/>
      <c r="AL94" s="18">
        <v>35</v>
      </c>
      <c r="AM94" s="18">
        <v>28</v>
      </c>
      <c r="AN94" s="18">
        <v>16</v>
      </c>
      <c r="AO94" s="18">
        <v>13</v>
      </c>
      <c r="AP94" s="2">
        <v>33</v>
      </c>
      <c r="AQ94" s="2">
        <v>52</v>
      </c>
      <c r="AR94" s="2">
        <v>23</v>
      </c>
      <c r="AS94" s="2">
        <v>18</v>
      </c>
      <c r="AT94" s="2">
        <v>0</v>
      </c>
      <c r="AU94" s="2">
        <v>4</v>
      </c>
    </row>
    <row r="95" spans="2:48" x14ac:dyDescent="0.2">
      <c r="C95" s="1" t="s">
        <v>66</v>
      </c>
      <c r="T95" s="2"/>
      <c r="U95" s="2"/>
      <c r="V95" s="2">
        <v>398</v>
      </c>
      <c r="W95" s="2"/>
      <c r="X95" s="2">
        <v>251</v>
      </c>
      <c r="Y95" s="2"/>
      <c r="Z95" s="2">
        <v>588</v>
      </c>
      <c r="AA95" s="2"/>
      <c r="AB95" s="2">
        <v>177</v>
      </c>
      <c r="AD95" s="2">
        <v>1887</v>
      </c>
      <c r="AE95" s="2"/>
      <c r="AF95" s="2">
        <v>1297</v>
      </c>
      <c r="AH95" s="2">
        <v>2024</v>
      </c>
      <c r="AI95" s="16"/>
      <c r="AJ95" s="2">
        <v>263</v>
      </c>
      <c r="AK95" s="2"/>
      <c r="AL95" s="18">
        <v>984</v>
      </c>
      <c r="AM95" s="18">
        <v>1351</v>
      </c>
      <c r="AN95" s="18">
        <v>251</v>
      </c>
      <c r="AO95" s="18">
        <v>391</v>
      </c>
      <c r="AP95" s="2">
        <v>251</v>
      </c>
      <c r="AQ95" s="2">
        <v>316</v>
      </c>
      <c r="AR95" s="2">
        <v>449</v>
      </c>
      <c r="AS95" s="2">
        <v>1576</v>
      </c>
      <c r="AT95" s="2">
        <v>1122</v>
      </c>
      <c r="AU95" s="2">
        <v>2349</v>
      </c>
    </row>
    <row r="96" spans="2:48" ht="14.25" x14ac:dyDescent="0.35">
      <c r="C96" s="1" t="s">
        <v>67</v>
      </c>
      <c r="T96" s="4"/>
      <c r="U96" s="4"/>
      <c r="V96" s="4">
        <v>5</v>
      </c>
      <c r="W96" s="4"/>
      <c r="X96" s="4">
        <v>4</v>
      </c>
      <c r="Y96" s="4"/>
      <c r="Z96" s="4">
        <v>4</v>
      </c>
      <c r="AA96" s="4"/>
      <c r="AB96" s="4">
        <v>10</v>
      </c>
      <c r="AD96" s="4">
        <v>9</v>
      </c>
      <c r="AE96" s="4"/>
      <c r="AF96" s="4">
        <v>5</v>
      </c>
      <c r="AH96" s="4">
        <v>4</v>
      </c>
      <c r="AI96" s="17"/>
      <c r="AJ96" s="4">
        <v>0</v>
      </c>
      <c r="AK96" s="4"/>
      <c r="AL96" s="19">
        <v>0</v>
      </c>
      <c r="AM96" s="19">
        <v>0</v>
      </c>
      <c r="AN96" s="19">
        <v>0</v>
      </c>
      <c r="AO96" s="19">
        <v>4</v>
      </c>
      <c r="AP96" s="4">
        <v>4</v>
      </c>
      <c r="AQ96" s="4">
        <v>4</v>
      </c>
      <c r="AR96" s="4">
        <v>11</v>
      </c>
      <c r="AS96" s="4">
        <v>8</v>
      </c>
      <c r="AT96" s="4">
        <v>7</v>
      </c>
      <c r="AU96" s="4">
        <v>3</v>
      </c>
    </row>
    <row r="97" spans="3:47" x14ac:dyDescent="0.2">
      <c r="C97" s="9" t="s">
        <v>69</v>
      </c>
      <c r="T97" s="5"/>
      <c r="U97" s="5"/>
      <c r="V97" s="5">
        <f>SUM(V88:V96)</f>
        <v>20765</v>
      </c>
      <c r="W97" s="5"/>
      <c r="X97" s="5">
        <f>SUM(X88:X96)</f>
        <v>22736</v>
      </c>
      <c r="Y97" s="5"/>
      <c r="Z97" s="5">
        <f>SUM(Z88:Z96)</f>
        <v>22608</v>
      </c>
      <c r="AA97" s="5"/>
      <c r="AB97" s="5">
        <f>SUM(AB88:AB96)</f>
        <v>21181</v>
      </c>
      <c r="AD97" s="5">
        <f>SUM(AD88:AD96)</f>
        <v>22492</v>
      </c>
      <c r="AE97" s="5"/>
      <c r="AF97" s="5">
        <f>SUM(AF88:AF96)</f>
        <v>21290</v>
      </c>
      <c r="AH97" s="5">
        <f>SUM(AH88:AH96)</f>
        <v>22839</v>
      </c>
      <c r="AI97" s="5"/>
      <c r="AJ97" s="5">
        <f>SUM(AJ88:AJ96)</f>
        <v>21118</v>
      </c>
      <c r="AK97" s="5"/>
      <c r="AL97" s="5">
        <f>SUM(AL88:AL96)</f>
        <v>14386</v>
      </c>
      <c r="AM97" s="5">
        <f>SUM(AM88:AM96)</f>
        <v>14147</v>
      </c>
      <c r="AN97" s="5">
        <f t="shared" ref="AN97:AU97" si="113">SUM(AN88:AN96)</f>
        <v>13663</v>
      </c>
      <c r="AO97" s="5">
        <f t="shared" si="113"/>
        <v>22461</v>
      </c>
      <c r="AP97" s="5">
        <f>SUM(AP88:AP96)</f>
        <v>22736</v>
      </c>
      <c r="AQ97" s="5">
        <f t="shared" si="113"/>
        <v>21343</v>
      </c>
      <c r="AR97" s="5">
        <f t="shared" si="113"/>
        <v>21133</v>
      </c>
      <c r="AS97" s="5">
        <f t="shared" si="113"/>
        <v>21831</v>
      </c>
      <c r="AT97" s="5">
        <f t="shared" si="113"/>
        <v>21293</v>
      </c>
      <c r="AU97" s="5">
        <f t="shared" si="113"/>
        <v>23489</v>
      </c>
    </row>
    <row r="98" spans="3:47" x14ac:dyDescent="0.2">
      <c r="C98" s="1" t="s">
        <v>70</v>
      </c>
      <c r="T98" s="2"/>
      <c r="U98" s="2"/>
      <c r="V98" s="2">
        <v>127</v>
      </c>
      <c r="W98" s="2"/>
      <c r="X98" s="2">
        <v>143</v>
      </c>
      <c r="Y98" s="2"/>
      <c r="Z98" s="2">
        <v>129</v>
      </c>
      <c r="AA98" s="2"/>
      <c r="AB98" s="2">
        <v>130</v>
      </c>
      <c r="AD98" s="2">
        <v>530</v>
      </c>
      <c r="AE98" s="2"/>
      <c r="AF98" s="2">
        <v>635</v>
      </c>
      <c r="AH98" s="2">
        <v>225</v>
      </c>
      <c r="AI98" s="16"/>
      <c r="AJ98" s="2">
        <v>526</v>
      </c>
      <c r="AK98" s="2"/>
      <c r="AL98" s="2">
        <v>247</v>
      </c>
      <c r="AM98" s="2">
        <v>147</v>
      </c>
      <c r="AN98" s="2">
        <v>2113</v>
      </c>
      <c r="AO98" s="2">
        <v>185</v>
      </c>
      <c r="AP98" s="2">
        <v>143</v>
      </c>
      <c r="AQ98" s="2">
        <v>126</v>
      </c>
      <c r="AR98" s="2">
        <v>104</v>
      </c>
      <c r="AS98" s="2">
        <v>242</v>
      </c>
      <c r="AT98" s="2">
        <v>270</v>
      </c>
      <c r="AU98" s="2">
        <v>243</v>
      </c>
    </row>
    <row r="99" spans="3:47" x14ac:dyDescent="0.2">
      <c r="C99" s="1" t="s">
        <v>71</v>
      </c>
      <c r="T99" s="2"/>
      <c r="U99" s="2"/>
      <c r="V99" s="2">
        <v>819</v>
      </c>
      <c r="W99" s="2"/>
      <c r="X99" s="2">
        <v>674</v>
      </c>
      <c r="Y99" s="2"/>
      <c r="Z99" s="2">
        <v>484</v>
      </c>
      <c r="AA99" s="2"/>
      <c r="AB99" s="2">
        <v>1335</v>
      </c>
      <c r="AD99" s="2">
        <v>570</v>
      </c>
      <c r="AE99" s="2"/>
      <c r="AF99" s="2">
        <v>1200</v>
      </c>
      <c r="AH99" s="2">
        <v>1690</v>
      </c>
      <c r="AI99" s="16"/>
      <c r="AJ99" s="2">
        <v>1406</v>
      </c>
      <c r="AK99" s="2"/>
      <c r="AL99" s="2">
        <v>373</v>
      </c>
      <c r="AM99" s="2">
        <v>592</v>
      </c>
      <c r="AN99" s="2">
        <v>566</v>
      </c>
      <c r="AO99" s="2">
        <v>740</v>
      </c>
      <c r="AP99" s="2">
        <v>674</v>
      </c>
      <c r="AQ99" s="2">
        <v>694</v>
      </c>
      <c r="AR99" s="2">
        <v>705</v>
      </c>
      <c r="AS99" s="2">
        <v>540</v>
      </c>
      <c r="AT99" s="2">
        <v>1577</v>
      </c>
      <c r="AU99" s="2">
        <v>952</v>
      </c>
    </row>
    <row r="100" spans="3:47" x14ac:dyDescent="0.2">
      <c r="C100" s="1" t="s">
        <v>72</v>
      </c>
      <c r="T100" s="2"/>
      <c r="U100" s="2"/>
      <c r="V100" s="2">
        <v>5578</v>
      </c>
      <c r="W100" s="2"/>
      <c r="X100" s="2">
        <v>6312</v>
      </c>
      <c r="Y100" s="2"/>
      <c r="Z100" s="2">
        <v>6340</v>
      </c>
      <c r="AA100" s="2"/>
      <c r="AB100" s="2">
        <v>5270</v>
      </c>
      <c r="AD100" s="2">
        <v>6050</v>
      </c>
      <c r="AE100" s="2"/>
      <c r="AF100" s="2">
        <v>7381</v>
      </c>
      <c r="AH100" s="2">
        <v>9344</v>
      </c>
      <c r="AI100" s="16"/>
      <c r="AJ100" s="2">
        <v>10329</v>
      </c>
      <c r="AK100" s="2"/>
      <c r="AL100" s="2">
        <v>4518</v>
      </c>
      <c r="AM100" s="2">
        <v>4247</v>
      </c>
      <c r="AN100" s="2">
        <v>3954</v>
      </c>
      <c r="AO100" s="2">
        <v>5558</v>
      </c>
      <c r="AP100" s="2">
        <v>6312</v>
      </c>
      <c r="AQ100" s="2">
        <v>5190</v>
      </c>
      <c r="AR100" s="2">
        <v>5063</v>
      </c>
      <c r="AS100" s="2">
        <v>6408</v>
      </c>
      <c r="AT100" s="2">
        <v>7903</v>
      </c>
      <c r="AU100" s="2">
        <v>9491</v>
      </c>
    </row>
    <row r="101" spans="3:47" x14ac:dyDescent="0.2">
      <c r="C101" s="1" t="s">
        <v>73</v>
      </c>
      <c r="T101" s="2"/>
      <c r="U101" s="2"/>
      <c r="V101" s="2">
        <v>473</v>
      </c>
      <c r="W101" s="2"/>
      <c r="X101" s="2">
        <v>471</v>
      </c>
      <c r="Y101" s="2"/>
      <c r="Z101" s="2">
        <v>502</v>
      </c>
      <c r="AA101" s="2"/>
      <c r="AB101" s="2">
        <v>524</v>
      </c>
      <c r="AD101" s="2">
        <v>616</v>
      </c>
      <c r="AE101" s="2"/>
      <c r="AF101" s="2">
        <v>733</v>
      </c>
      <c r="AH101" s="2">
        <v>855</v>
      </c>
      <c r="AI101" s="16"/>
      <c r="AJ101" s="2">
        <v>935</v>
      </c>
      <c r="AK101" s="2"/>
      <c r="AL101" s="2">
        <v>0</v>
      </c>
      <c r="AM101" s="2">
        <v>0</v>
      </c>
      <c r="AN101" s="2">
        <v>261</v>
      </c>
      <c r="AO101" s="2">
        <v>470</v>
      </c>
      <c r="AP101" s="2">
        <v>471</v>
      </c>
      <c r="AQ101" s="2">
        <v>486</v>
      </c>
      <c r="AR101" s="2">
        <v>552</v>
      </c>
      <c r="AS101" s="2">
        <v>664</v>
      </c>
      <c r="AT101" s="2">
        <v>753</v>
      </c>
      <c r="AU101" s="2">
        <v>884</v>
      </c>
    </row>
    <row r="102" spans="3:47" x14ac:dyDescent="0.2">
      <c r="C102" s="1" t="s">
        <v>74</v>
      </c>
      <c r="T102" s="2"/>
      <c r="U102" s="2"/>
      <c r="V102" s="2">
        <v>6154</v>
      </c>
      <c r="W102" s="2"/>
      <c r="X102" s="2">
        <v>7639</v>
      </c>
      <c r="Y102" s="2"/>
      <c r="Z102" s="2">
        <v>6790</v>
      </c>
      <c r="AA102" s="2"/>
      <c r="AB102" s="2">
        <v>5281</v>
      </c>
      <c r="AD102" s="2">
        <v>6954</v>
      </c>
      <c r="AE102" s="2"/>
      <c r="AF102" s="2">
        <v>8462</v>
      </c>
      <c r="AH102" s="2">
        <v>9558</v>
      </c>
      <c r="AI102" s="16"/>
      <c r="AJ102" s="2">
        <v>11621</v>
      </c>
      <c r="AK102" s="2"/>
      <c r="AL102" s="2">
        <v>6515</v>
      </c>
      <c r="AM102" s="2">
        <v>6252</v>
      </c>
      <c r="AN102" s="2">
        <v>4952</v>
      </c>
      <c r="AO102" s="2">
        <v>6580</v>
      </c>
      <c r="AP102" s="2">
        <v>7639</v>
      </c>
      <c r="AQ102" s="2">
        <v>5769</v>
      </c>
      <c r="AR102" s="2">
        <v>6504</v>
      </c>
      <c r="AS102" s="2">
        <v>7904</v>
      </c>
      <c r="AT102" s="2">
        <v>9417</v>
      </c>
      <c r="AU102" s="2">
        <v>10572</v>
      </c>
    </row>
    <row r="103" spans="3:47" x14ac:dyDescent="0.2">
      <c r="C103" s="1" t="s">
        <v>75</v>
      </c>
      <c r="T103" s="2"/>
      <c r="U103" s="2"/>
      <c r="V103" s="2">
        <v>1485</v>
      </c>
      <c r="W103" s="2"/>
      <c r="X103" s="2">
        <v>1743</v>
      </c>
      <c r="Y103" s="2"/>
      <c r="Z103" s="2">
        <v>1741</v>
      </c>
      <c r="AA103" s="2"/>
      <c r="AB103" s="2">
        <v>1768</v>
      </c>
      <c r="AD103" s="2">
        <v>1896</v>
      </c>
      <c r="AE103" s="2"/>
      <c r="AF103" s="2">
        <v>2057</v>
      </c>
      <c r="AH103" s="2">
        <v>2290</v>
      </c>
      <c r="AI103" s="16"/>
      <c r="AJ103" s="2">
        <v>2743</v>
      </c>
      <c r="AK103" s="2"/>
      <c r="AL103" s="2">
        <v>0</v>
      </c>
      <c r="AM103" s="2">
        <v>0</v>
      </c>
      <c r="AN103" s="2">
        <v>1366</v>
      </c>
      <c r="AO103" s="2">
        <v>1544</v>
      </c>
      <c r="AP103" s="2">
        <v>1743</v>
      </c>
      <c r="AQ103" s="2">
        <v>1695</v>
      </c>
      <c r="AR103" s="2">
        <v>1853</v>
      </c>
      <c r="AS103" s="2">
        <v>1982</v>
      </c>
      <c r="AT103" s="2">
        <v>2157</v>
      </c>
      <c r="AU103" s="2">
        <v>2503</v>
      </c>
    </row>
    <row r="104" spans="3:47" x14ac:dyDescent="0.2">
      <c r="C104" s="1" t="s">
        <v>76</v>
      </c>
      <c r="T104" s="2"/>
      <c r="U104" s="2"/>
      <c r="V104" s="2">
        <v>589</v>
      </c>
      <c r="W104" s="2"/>
      <c r="X104" s="2">
        <v>458</v>
      </c>
      <c r="Y104" s="2"/>
      <c r="Z104" s="2">
        <v>390</v>
      </c>
      <c r="AA104" s="2"/>
      <c r="AB104" s="2">
        <v>567</v>
      </c>
      <c r="AD104" s="2">
        <v>235</v>
      </c>
      <c r="AE104" s="2"/>
      <c r="AF104" s="2">
        <v>357</v>
      </c>
      <c r="AH104" s="2">
        <v>515</v>
      </c>
      <c r="AI104" s="16"/>
      <c r="AJ104" s="2">
        <v>706</v>
      </c>
      <c r="AK104" s="2"/>
      <c r="AL104" s="2">
        <v>623</v>
      </c>
      <c r="AM104" s="2">
        <v>513</v>
      </c>
      <c r="AN104" s="2">
        <v>596</v>
      </c>
      <c r="AO104" s="2">
        <v>752</v>
      </c>
      <c r="AP104" s="2">
        <v>458</v>
      </c>
      <c r="AQ104" s="2">
        <v>481</v>
      </c>
      <c r="AR104" s="2">
        <v>555</v>
      </c>
      <c r="AS104" s="2">
        <v>358</v>
      </c>
      <c r="AT104" s="2">
        <v>422</v>
      </c>
      <c r="AU104" s="2">
        <v>364</v>
      </c>
    </row>
    <row r="105" spans="3:47" ht="14.25" x14ac:dyDescent="0.35">
      <c r="C105" s="41" t="s">
        <v>77</v>
      </c>
      <c r="D105" s="41"/>
      <c r="E105" s="41"/>
      <c r="F105" s="41"/>
      <c r="G105" s="41"/>
      <c r="H105" s="41"/>
      <c r="I105" s="41"/>
      <c r="J105" s="41"/>
      <c r="K105" s="41"/>
      <c r="L105" s="41"/>
      <c r="M105" s="41"/>
      <c r="N105" s="41"/>
      <c r="O105" s="41"/>
      <c r="P105" s="41"/>
      <c r="Q105" s="41"/>
      <c r="R105" s="41"/>
      <c r="S105" s="41"/>
      <c r="T105" s="42"/>
      <c r="U105" s="42"/>
      <c r="V105" s="42">
        <v>2380</v>
      </c>
      <c r="W105" s="42"/>
      <c r="X105" s="42">
        <v>2632</v>
      </c>
      <c r="Y105" s="42"/>
      <c r="Z105" s="42">
        <v>4373</v>
      </c>
      <c r="AA105" s="42"/>
      <c r="AB105" s="42">
        <v>3927</v>
      </c>
      <c r="AC105" s="41"/>
      <c r="AD105" s="42">
        <v>6208</v>
      </c>
      <c r="AE105" s="42"/>
      <c r="AF105" s="42">
        <v>6147</v>
      </c>
      <c r="AG105" s="41"/>
      <c r="AH105" s="42">
        <v>5699</v>
      </c>
      <c r="AI105" s="43"/>
      <c r="AJ105" s="42">
        <v>6707</v>
      </c>
      <c r="AK105" s="42"/>
      <c r="AL105" s="42">
        <v>1845</v>
      </c>
      <c r="AM105" s="42">
        <v>1926</v>
      </c>
      <c r="AN105" s="42">
        <v>4914</v>
      </c>
      <c r="AO105" s="42">
        <v>2330</v>
      </c>
      <c r="AP105" s="42">
        <v>2632</v>
      </c>
      <c r="AQ105" s="42">
        <v>3747</v>
      </c>
      <c r="AR105" s="42">
        <v>5247</v>
      </c>
      <c r="AS105" s="42">
        <v>6687</v>
      </c>
      <c r="AT105" s="42">
        <v>6676</v>
      </c>
      <c r="AU105" s="42">
        <v>6514</v>
      </c>
    </row>
    <row r="106" spans="3:47" x14ac:dyDescent="0.2">
      <c r="C106" s="9" t="s">
        <v>78</v>
      </c>
      <c r="T106" s="10"/>
      <c r="U106" s="10"/>
      <c r="V106" s="10">
        <f>SUM(V98:V105)</f>
        <v>17605</v>
      </c>
      <c r="W106" s="10"/>
      <c r="X106" s="10">
        <f>SUM(X98:X105)</f>
        <v>20072</v>
      </c>
      <c r="Y106" s="10"/>
      <c r="Z106" s="10">
        <f>SUM(Z98:Z105)</f>
        <v>20749</v>
      </c>
      <c r="AA106" s="10"/>
      <c r="AB106" s="10">
        <f>SUM(AB98:AB105)</f>
        <v>18802</v>
      </c>
      <c r="AD106" s="10">
        <f>SUM(AD98:AD105)</f>
        <v>23059</v>
      </c>
      <c r="AE106" s="10"/>
      <c r="AF106" s="10">
        <f>SUM(AF98:AF105)</f>
        <v>26972</v>
      </c>
      <c r="AH106" s="10">
        <f>SUM(AH98:AH105)</f>
        <v>30176</v>
      </c>
      <c r="AI106" s="10"/>
      <c r="AJ106" s="10">
        <f>SUM(AJ98:AJ105)</f>
        <v>34973</v>
      </c>
      <c r="AK106" s="10"/>
      <c r="AL106" s="10">
        <f>SUM(AL98:AL105)</f>
        <v>14121</v>
      </c>
      <c r="AM106" s="10">
        <f>SUM(AM98:AM105)</f>
        <v>13677</v>
      </c>
      <c r="AN106" s="10">
        <f t="shared" ref="AN106:AU106" si="114">SUM(AN98:AN105)</f>
        <v>18722</v>
      </c>
      <c r="AO106" s="10">
        <f t="shared" si="114"/>
        <v>18159</v>
      </c>
      <c r="AP106" s="10">
        <f>SUM(AP98:AP105)</f>
        <v>20072</v>
      </c>
      <c r="AQ106" s="10">
        <f t="shared" si="114"/>
        <v>18188</v>
      </c>
      <c r="AR106" s="10">
        <f t="shared" si="114"/>
        <v>20583</v>
      </c>
      <c r="AS106" s="10">
        <f t="shared" si="114"/>
        <v>24785</v>
      </c>
      <c r="AT106" s="10">
        <f t="shared" si="114"/>
        <v>29175</v>
      </c>
      <c r="AU106" s="10">
        <f t="shared" si="114"/>
        <v>31523</v>
      </c>
    </row>
    <row r="107" spans="3:47" ht="14.25" x14ac:dyDescent="0.35">
      <c r="C107" s="1" t="s">
        <v>157</v>
      </c>
      <c r="T107" s="4"/>
      <c r="U107" s="4"/>
      <c r="V107" s="4">
        <v>0</v>
      </c>
      <c r="W107" s="4"/>
      <c r="X107" s="4">
        <v>0</v>
      </c>
      <c r="Y107" s="4"/>
      <c r="Z107" s="4">
        <v>0</v>
      </c>
      <c r="AA107" s="4"/>
      <c r="AB107" s="4">
        <v>0</v>
      </c>
      <c r="AD107" s="4">
        <v>0</v>
      </c>
      <c r="AE107" s="5"/>
      <c r="AF107" s="4">
        <v>0</v>
      </c>
      <c r="AH107" s="4">
        <v>0</v>
      </c>
      <c r="AI107" s="5"/>
      <c r="AJ107" s="4">
        <v>0</v>
      </c>
      <c r="AK107" s="5"/>
      <c r="AL107" s="19">
        <v>0</v>
      </c>
      <c r="AM107" s="19">
        <v>3234</v>
      </c>
      <c r="AN107" s="19">
        <v>0</v>
      </c>
      <c r="AO107" s="19">
        <v>0</v>
      </c>
      <c r="AP107" s="4">
        <v>0</v>
      </c>
      <c r="AQ107" s="4">
        <v>0</v>
      </c>
      <c r="AR107" s="4">
        <v>0</v>
      </c>
      <c r="AS107" s="4">
        <v>212</v>
      </c>
      <c r="AT107" s="5"/>
      <c r="AU107" s="5"/>
    </row>
    <row r="108" spans="3:47" x14ac:dyDescent="0.2">
      <c r="C108" s="9" t="s">
        <v>79</v>
      </c>
      <c r="T108" s="5"/>
      <c r="U108" s="5"/>
      <c r="V108" s="5">
        <f>V106+V97+V107</f>
        <v>38370</v>
      </c>
      <c r="W108" s="5"/>
      <c r="X108" s="5">
        <f>X106+X97+X107</f>
        <v>42808</v>
      </c>
      <c r="Y108" s="5"/>
      <c r="Z108" s="5">
        <f>Z106+Z97+Z107</f>
        <v>43357</v>
      </c>
      <c r="AA108" s="5"/>
      <c r="AB108" s="5">
        <f>AB106+AB97+AB107</f>
        <v>39983</v>
      </c>
      <c r="AD108" s="5">
        <f>AD106+AD97+AD107</f>
        <v>45551</v>
      </c>
      <c r="AE108" s="5"/>
      <c r="AF108" s="5">
        <f>AF106+AF97+AF107</f>
        <v>48262</v>
      </c>
      <c r="AH108" s="5">
        <f>AH106+AH97+AH107</f>
        <v>53015</v>
      </c>
      <c r="AI108" s="5"/>
      <c r="AJ108" s="5">
        <f>AJ106+AJ97+AJ107</f>
        <v>56091</v>
      </c>
      <c r="AK108" s="5"/>
      <c r="AL108" s="5">
        <f t="shared" ref="AL108:AS108" si="115">AL106+AL97+AL107</f>
        <v>28507</v>
      </c>
      <c r="AM108" s="5">
        <f t="shared" ref="AM108" si="116">AM106+AM97+AM107</f>
        <v>31058</v>
      </c>
      <c r="AN108" s="5">
        <f t="shared" si="115"/>
        <v>32385</v>
      </c>
      <c r="AO108" s="5">
        <f t="shared" si="115"/>
        <v>40620</v>
      </c>
      <c r="AP108" s="5">
        <f t="shared" si="115"/>
        <v>42808</v>
      </c>
      <c r="AQ108" s="5">
        <f t="shared" si="115"/>
        <v>39531</v>
      </c>
      <c r="AR108" s="5">
        <f t="shared" si="115"/>
        <v>41716</v>
      </c>
      <c r="AS108" s="5">
        <f t="shared" si="115"/>
        <v>46828</v>
      </c>
      <c r="AT108" s="5">
        <f>AT106+AT97</f>
        <v>50468</v>
      </c>
      <c r="AU108" s="5">
        <f>AU106+AU97</f>
        <v>55012</v>
      </c>
    </row>
    <row r="109" spans="3:47" x14ac:dyDescent="0.2">
      <c r="C109" s="1" t="s">
        <v>80</v>
      </c>
      <c r="T109" s="2"/>
      <c r="U109" s="2"/>
      <c r="V109" s="2">
        <v>89</v>
      </c>
      <c r="W109" s="2"/>
      <c r="X109" s="2">
        <v>85</v>
      </c>
      <c r="Y109" s="2"/>
      <c r="Z109" s="2">
        <v>85</v>
      </c>
      <c r="AA109" s="2"/>
      <c r="AB109" s="2">
        <v>85</v>
      </c>
      <c r="AD109" s="2">
        <v>85</v>
      </c>
      <c r="AE109" s="2"/>
      <c r="AF109" s="2">
        <v>85</v>
      </c>
      <c r="AH109" s="2">
        <v>85</v>
      </c>
      <c r="AI109" s="16"/>
      <c r="AJ109" s="2">
        <v>85</v>
      </c>
      <c r="AK109" s="2"/>
      <c r="AL109" s="2">
        <v>83</v>
      </c>
      <c r="AM109" s="2">
        <v>83</v>
      </c>
      <c r="AN109" s="2">
        <v>83</v>
      </c>
      <c r="AO109" s="2">
        <v>87</v>
      </c>
      <c r="AP109" s="2">
        <v>85</v>
      </c>
      <c r="AQ109" s="2">
        <v>85</v>
      </c>
      <c r="AR109" s="2">
        <v>85</v>
      </c>
      <c r="AS109" s="2">
        <v>85</v>
      </c>
      <c r="AT109" s="2">
        <v>85</v>
      </c>
      <c r="AU109" s="2">
        <v>85</v>
      </c>
    </row>
    <row r="110" spans="3:47" x14ac:dyDescent="0.2">
      <c r="C110" s="1" t="s">
        <v>81</v>
      </c>
      <c r="T110" s="2"/>
      <c r="U110" s="2"/>
      <c r="V110" s="2">
        <v>9863</v>
      </c>
      <c r="W110" s="2"/>
      <c r="X110" s="2">
        <v>9839</v>
      </c>
      <c r="Y110" s="2"/>
      <c r="Z110" s="2">
        <v>12412</v>
      </c>
      <c r="AA110" s="2"/>
      <c r="AB110" s="2">
        <v>12279</v>
      </c>
      <c r="AD110" s="2">
        <v>13283</v>
      </c>
      <c r="AE110" s="2"/>
      <c r="AF110" s="2">
        <v>8796</v>
      </c>
      <c r="AH110" s="2">
        <v>11076</v>
      </c>
      <c r="AI110" s="16"/>
      <c r="AJ110" s="2">
        <v>8092</v>
      </c>
      <c r="AK110" s="2"/>
      <c r="AL110" s="2">
        <v>5927</v>
      </c>
      <c r="AM110" s="2">
        <v>4495</v>
      </c>
      <c r="AN110" s="2">
        <v>4686</v>
      </c>
      <c r="AO110" s="2">
        <v>10585</v>
      </c>
      <c r="AP110" s="2">
        <v>9839</v>
      </c>
      <c r="AQ110" s="2">
        <v>11912</v>
      </c>
      <c r="AR110" s="2">
        <v>12713</v>
      </c>
      <c r="AS110" s="2">
        <v>12785</v>
      </c>
      <c r="AT110" s="2">
        <v>8048</v>
      </c>
      <c r="AU110" s="2">
        <v>10758</v>
      </c>
    </row>
    <row r="111" spans="3:47" ht="14.25" x14ac:dyDescent="0.35">
      <c r="C111" s="1" t="s">
        <v>82</v>
      </c>
      <c r="T111" s="4"/>
      <c r="U111" s="4"/>
      <c r="V111" s="4">
        <v>535</v>
      </c>
      <c r="W111" s="4"/>
      <c r="X111" s="4">
        <v>2447</v>
      </c>
      <c r="Y111" s="4"/>
      <c r="Z111" s="4">
        <v>-340</v>
      </c>
      <c r="AA111" s="4"/>
      <c r="AB111" s="4">
        <v>674</v>
      </c>
      <c r="AD111" s="4">
        <v>-3762</v>
      </c>
      <c r="AE111" s="4"/>
      <c r="AF111" s="4">
        <v>1863</v>
      </c>
      <c r="AH111" s="4">
        <v>57</v>
      </c>
      <c r="AI111" s="17"/>
      <c r="AJ111" s="4">
        <v>5045</v>
      </c>
      <c r="AK111" s="4"/>
      <c r="AL111" s="4">
        <v>-424</v>
      </c>
      <c r="AM111" s="4">
        <v>1908</v>
      </c>
      <c r="AN111" s="29">
        <f>4550+28</f>
        <v>4578</v>
      </c>
      <c r="AO111" s="4">
        <v>1283</v>
      </c>
      <c r="AP111" s="4">
        <v>2447</v>
      </c>
      <c r="AQ111" s="4">
        <v>352</v>
      </c>
      <c r="AR111" s="4">
        <v>43</v>
      </c>
      <c r="AS111" s="4">
        <v>-2459</v>
      </c>
      <c r="AT111" s="4">
        <v>3444</v>
      </c>
      <c r="AU111" s="4">
        <v>-667</v>
      </c>
    </row>
    <row r="112" spans="3:47" x14ac:dyDescent="0.2">
      <c r="C112" s="9" t="s">
        <v>83</v>
      </c>
      <c r="T112" s="5"/>
      <c r="U112" s="5"/>
      <c r="V112" s="5">
        <f>SUM(V109:V111)</f>
        <v>10487</v>
      </c>
      <c r="W112" s="5"/>
      <c r="X112" s="5">
        <f>SUM(X109:X111)</f>
        <v>12371</v>
      </c>
      <c r="Y112" s="5"/>
      <c r="Z112" s="5">
        <f>SUM(Z109:Z111)</f>
        <v>12157</v>
      </c>
      <c r="AA112" s="5"/>
      <c r="AB112" s="5">
        <f>SUM(AB109:AB111)</f>
        <v>13038</v>
      </c>
      <c r="AD112" s="5">
        <f>SUM(AD109:AD111)</f>
        <v>9606</v>
      </c>
      <c r="AE112" s="5"/>
      <c r="AF112" s="5">
        <f>SUM(AF109:AF111)</f>
        <v>10744</v>
      </c>
      <c r="AH112" s="5">
        <f>SUM(AH109:AH111)</f>
        <v>11218</v>
      </c>
      <c r="AI112" s="5"/>
      <c r="AJ112" s="5">
        <f>SUM(AJ109:AJ111)</f>
        <v>13222</v>
      </c>
      <c r="AK112" s="5"/>
      <c r="AL112" s="27">
        <f>SUM(AL109:AL111)+41</f>
        <v>5627</v>
      </c>
      <c r="AM112" s="27">
        <f>SUM(AM109:AM111)+35</f>
        <v>6521</v>
      </c>
      <c r="AN112" s="5">
        <f t="shared" ref="AN112:AU112" si="117">SUM(AN109:AN111)</f>
        <v>9347</v>
      </c>
      <c r="AO112" s="5">
        <f t="shared" si="117"/>
        <v>11955</v>
      </c>
      <c r="AP112" s="5">
        <f>SUM(AP109:AP111)</f>
        <v>12371</v>
      </c>
      <c r="AQ112" s="5">
        <f t="shared" si="117"/>
        <v>12349</v>
      </c>
      <c r="AR112" s="5">
        <f t="shared" si="117"/>
        <v>12841</v>
      </c>
      <c r="AS112" s="5">
        <f t="shared" si="117"/>
        <v>10411</v>
      </c>
      <c r="AT112" s="5">
        <f t="shared" si="117"/>
        <v>11577</v>
      </c>
      <c r="AU112" s="5">
        <f t="shared" si="117"/>
        <v>10176</v>
      </c>
    </row>
    <row r="113" spans="3:47" ht="14.25" x14ac:dyDescent="0.35">
      <c r="C113" s="9" t="s">
        <v>84</v>
      </c>
      <c r="T113" s="4"/>
      <c r="U113" s="4"/>
      <c r="V113" s="4">
        <v>309</v>
      </c>
      <c r="W113" s="4"/>
      <c r="X113" s="4">
        <v>377</v>
      </c>
      <c r="Y113" s="4"/>
      <c r="Z113" s="4">
        <v>390</v>
      </c>
      <c r="AA113" s="4"/>
      <c r="AB113" s="4">
        <v>413</v>
      </c>
      <c r="AD113" s="4">
        <v>440</v>
      </c>
      <c r="AE113" s="4"/>
      <c r="AF113" s="4">
        <v>477</v>
      </c>
      <c r="AH113" s="4">
        <v>509</v>
      </c>
      <c r="AI113" s="17"/>
      <c r="AJ113" s="4">
        <v>556</v>
      </c>
      <c r="AK113" s="4"/>
      <c r="AL113" s="19">
        <v>266</v>
      </c>
      <c r="AM113" s="19">
        <v>288</v>
      </c>
      <c r="AN113" s="19">
        <v>301</v>
      </c>
      <c r="AO113" s="19">
        <v>346</v>
      </c>
      <c r="AP113" s="4">
        <v>377</v>
      </c>
      <c r="AQ113" s="4">
        <v>401</v>
      </c>
      <c r="AR113" s="4">
        <v>429</v>
      </c>
      <c r="AS113" s="4">
        <v>455</v>
      </c>
      <c r="AT113" s="4">
        <v>511</v>
      </c>
      <c r="AU113" s="4">
        <v>549</v>
      </c>
    </row>
    <row r="114" spans="3:47" x14ac:dyDescent="0.2">
      <c r="C114" s="9" t="s">
        <v>85</v>
      </c>
      <c r="T114" s="5"/>
      <c r="U114" s="5"/>
      <c r="V114" s="5">
        <f>V112+V113</f>
        <v>10796</v>
      </c>
      <c r="W114" s="5"/>
      <c r="X114" s="5">
        <f>X112+X113</f>
        <v>12748</v>
      </c>
      <c r="Y114" s="5"/>
      <c r="Z114" s="5">
        <f>Z112+Z113</f>
        <v>12547</v>
      </c>
      <c r="AA114" s="5"/>
      <c r="AB114" s="5">
        <f>AB112+AB113</f>
        <v>13451</v>
      </c>
      <c r="AD114" s="5">
        <f>AD112+AD113</f>
        <v>10046</v>
      </c>
      <c r="AE114" s="5"/>
      <c r="AF114" s="5">
        <f>AF112+AF113</f>
        <v>11221</v>
      </c>
      <c r="AH114" s="5">
        <f>AH112+AH113</f>
        <v>11727</v>
      </c>
      <c r="AI114" s="5"/>
      <c r="AJ114" s="5">
        <f>AJ112+AJ113</f>
        <v>13778</v>
      </c>
      <c r="AK114" s="5"/>
      <c r="AL114" s="5">
        <f>AL112+AL113</f>
        <v>5893</v>
      </c>
      <c r="AM114" s="5">
        <f>AM112+AM113</f>
        <v>6809</v>
      </c>
      <c r="AN114" s="5">
        <f t="shared" ref="AN114:AU114" si="118">AN112+AN113</f>
        <v>9648</v>
      </c>
      <c r="AO114" s="5">
        <f t="shared" si="118"/>
        <v>12301</v>
      </c>
      <c r="AP114" s="5">
        <f>AP112+AP113</f>
        <v>12748</v>
      </c>
      <c r="AQ114" s="5">
        <f t="shared" si="118"/>
        <v>12750</v>
      </c>
      <c r="AR114" s="5">
        <f t="shared" si="118"/>
        <v>13270</v>
      </c>
      <c r="AS114" s="5">
        <f t="shared" si="118"/>
        <v>10866</v>
      </c>
      <c r="AT114" s="5">
        <f t="shared" si="118"/>
        <v>12088</v>
      </c>
      <c r="AU114" s="5">
        <f t="shared" si="118"/>
        <v>10725</v>
      </c>
    </row>
    <row r="115" spans="3:47" x14ac:dyDescent="0.2">
      <c r="C115" s="1" t="s">
        <v>86</v>
      </c>
      <c r="T115" s="2"/>
      <c r="U115" s="2"/>
      <c r="V115" s="2">
        <v>1506</v>
      </c>
      <c r="W115" s="2"/>
      <c r="X115" s="2">
        <v>2093</v>
      </c>
      <c r="Y115" s="2"/>
      <c r="Z115" s="2">
        <v>2250</v>
      </c>
      <c r="AA115" s="2"/>
      <c r="AB115" s="2">
        <v>1922</v>
      </c>
      <c r="AD115" s="2">
        <v>1790</v>
      </c>
      <c r="AE115" s="2"/>
      <c r="AF115" s="2">
        <v>1721</v>
      </c>
      <c r="AH115" s="2">
        <v>1704</v>
      </c>
      <c r="AI115" s="16"/>
      <c r="AJ115" s="2">
        <v>1972</v>
      </c>
      <c r="AK115" s="2"/>
      <c r="AL115" s="2">
        <v>1802</v>
      </c>
      <c r="AM115" s="2">
        <v>1706</v>
      </c>
      <c r="AN115" s="2">
        <v>1263</v>
      </c>
      <c r="AO115" s="2">
        <v>1588</v>
      </c>
      <c r="AP115" s="2">
        <v>2093</v>
      </c>
      <c r="AQ115" s="2">
        <v>1942</v>
      </c>
      <c r="AR115" s="2">
        <v>1798</v>
      </c>
      <c r="AS115" s="2">
        <v>1549</v>
      </c>
      <c r="AT115" s="2">
        <v>1547</v>
      </c>
      <c r="AU115" s="2">
        <v>1835</v>
      </c>
    </row>
    <row r="116" spans="3:47" x14ac:dyDescent="0.2">
      <c r="C116" s="1" t="s">
        <v>87</v>
      </c>
      <c r="T116" s="2"/>
      <c r="U116" s="2"/>
      <c r="V116" s="2">
        <v>610</v>
      </c>
      <c r="W116" s="2"/>
      <c r="X116" s="2">
        <v>505</v>
      </c>
      <c r="Y116" s="2"/>
      <c r="Z116" s="2">
        <v>468</v>
      </c>
      <c r="AA116" s="2"/>
      <c r="AB116" s="2">
        <v>328</v>
      </c>
      <c r="AD116" s="2">
        <v>325</v>
      </c>
      <c r="AE116" s="2"/>
      <c r="AF116" s="2">
        <v>298</v>
      </c>
      <c r="AH116" s="2">
        <v>287</v>
      </c>
      <c r="AI116" s="16"/>
      <c r="AJ116" s="2">
        <v>276</v>
      </c>
      <c r="AK116" s="2"/>
      <c r="AL116" s="2">
        <v>708</v>
      </c>
      <c r="AM116" s="2">
        <v>699</v>
      </c>
      <c r="AN116" s="2">
        <v>569</v>
      </c>
      <c r="AO116" s="2">
        <v>585</v>
      </c>
      <c r="AP116" s="2">
        <v>505</v>
      </c>
      <c r="AQ116" s="2">
        <v>426</v>
      </c>
      <c r="AR116" s="2">
        <v>327</v>
      </c>
      <c r="AS116" s="2">
        <v>302</v>
      </c>
      <c r="AT116" s="2">
        <v>292</v>
      </c>
      <c r="AU116" s="2">
        <v>287</v>
      </c>
    </row>
    <row r="117" spans="3:47" x14ac:dyDescent="0.2">
      <c r="C117" s="41" t="s">
        <v>88</v>
      </c>
      <c r="D117" s="41"/>
      <c r="E117" s="41"/>
      <c r="F117" s="41"/>
      <c r="G117" s="41"/>
      <c r="H117" s="41"/>
      <c r="I117" s="41"/>
      <c r="J117" s="41"/>
      <c r="K117" s="41"/>
      <c r="L117" s="41"/>
      <c r="M117" s="41"/>
      <c r="N117" s="41"/>
      <c r="O117" s="41"/>
      <c r="P117" s="41"/>
      <c r="Q117" s="41"/>
      <c r="R117" s="41"/>
      <c r="S117" s="41"/>
      <c r="T117" s="44"/>
      <c r="U117" s="44"/>
      <c r="V117" s="44">
        <v>3596</v>
      </c>
      <c r="W117" s="44"/>
      <c r="X117" s="44">
        <v>3239</v>
      </c>
      <c r="Y117" s="44"/>
      <c r="Z117" s="44">
        <v>4067</v>
      </c>
      <c r="AA117" s="44"/>
      <c r="AB117" s="44">
        <v>5035</v>
      </c>
      <c r="AC117" s="41"/>
      <c r="AD117" s="44">
        <v>5434</v>
      </c>
      <c r="AE117" s="44"/>
      <c r="AF117" s="44">
        <v>4699</v>
      </c>
      <c r="AG117" s="41"/>
      <c r="AH117" s="44">
        <v>3786</v>
      </c>
      <c r="AI117" s="45"/>
      <c r="AJ117" s="44">
        <v>2411</v>
      </c>
      <c r="AK117" s="44"/>
      <c r="AL117" s="44">
        <v>1752</v>
      </c>
      <c r="AM117" s="44">
        <v>2392</v>
      </c>
      <c r="AN117" s="44">
        <v>3246</v>
      </c>
      <c r="AO117" s="44">
        <v>3384</v>
      </c>
      <c r="AP117" s="44">
        <v>3239</v>
      </c>
      <c r="AQ117" s="44">
        <v>4082</v>
      </c>
      <c r="AR117" s="44">
        <v>5094</v>
      </c>
      <c r="AS117" s="44">
        <v>5378</v>
      </c>
      <c r="AT117" s="44">
        <v>4691</v>
      </c>
      <c r="AU117" s="44">
        <v>3788</v>
      </c>
    </row>
    <row r="118" spans="3:47" x14ac:dyDescent="0.2">
      <c r="C118" s="1" t="s">
        <v>89</v>
      </c>
      <c r="T118" s="2"/>
      <c r="U118" s="2"/>
      <c r="V118" s="2">
        <v>20</v>
      </c>
      <c r="W118" s="2"/>
      <c r="X118" s="2">
        <v>5</v>
      </c>
      <c r="Y118" s="2"/>
      <c r="Z118" s="2">
        <v>11</v>
      </c>
      <c r="AA118" s="2"/>
      <c r="AB118" s="2">
        <v>20</v>
      </c>
      <c r="AD118" s="2">
        <v>6</v>
      </c>
      <c r="AE118" s="2"/>
      <c r="AF118" s="2">
        <v>13</v>
      </c>
      <c r="AH118" s="2">
        <v>8</v>
      </c>
      <c r="AI118" s="16"/>
      <c r="AJ118" s="2">
        <v>3</v>
      </c>
      <c r="AK118" s="2"/>
      <c r="AL118" s="2">
        <v>0</v>
      </c>
      <c r="AM118" s="2">
        <v>0</v>
      </c>
      <c r="AN118" s="2">
        <v>0</v>
      </c>
      <c r="AO118" s="2">
        <v>7</v>
      </c>
      <c r="AP118" s="2">
        <v>5</v>
      </c>
      <c r="AQ118" s="2">
        <v>18</v>
      </c>
      <c r="AR118" s="2">
        <v>8</v>
      </c>
      <c r="AS118" s="2">
        <v>18</v>
      </c>
      <c r="AT118" s="2">
        <v>8</v>
      </c>
      <c r="AU118" s="2">
        <v>15</v>
      </c>
    </row>
    <row r="119" spans="3:47" x14ac:dyDescent="0.2">
      <c r="C119" s="1" t="s">
        <v>90</v>
      </c>
      <c r="T119" s="2"/>
      <c r="U119" s="2"/>
      <c r="V119" s="2">
        <v>606</v>
      </c>
      <c r="W119" s="2"/>
      <c r="X119" s="2">
        <v>1340</v>
      </c>
      <c r="Y119" s="2"/>
      <c r="Z119" s="2">
        <v>1262</v>
      </c>
      <c r="AA119" s="2"/>
      <c r="AB119" s="2">
        <v>1360</v>
      </c>
      <c r="AD119" s="2">
        <v>1257</v>
      </c>
      <c r="AE119" s="2"/>
      <c r="AF119" s="2">
        <v>1230</v>
      </c>
      <c r="AH119" s="2">
        <v>1387</v>
      </c>
      <c r="AI119" s="16"/>
      <c r="AJ119" s="2">
        <v>168</v>
      </c>
      <c r="AK119" s="2"/>
      <c r="AL119" s="2">
        <v>677</v>
      </c>
      <c r="AM119" s="2">
        <v>987</v>
      </c>
      <c r="AN119" s="2">
        <v>674</v>
      </c>
      <c r="AO119" s="2">
        <v>1662</v>
      </c>
      <c r="AP119" s="2">
        <v>1340</v>
      </c>
      <c r="AQ119" s="2">
        <v>1285</v>
      </c>
      <c r="AR119" s="2">
        <v>1275</v>
      </c>
      <c r="AS119" s="2">
        <v>1164</v>
      </c>
      <c r="AT119" s="2">
        <v>1022</v>
      </c>
      <c r="AU119" s="2">
        <v>911</v>
      </c>
    </row>
    <row r="120" spans="3:47" ht="14.25" x14ac:dyDescent="0.35">
      <c r="C120" s="1" t="s">
        <v>91</v>
      </c>
      <c r="T120" s="4"/>
      <c r="U120" s="4"/>
      <c r="V120" s="4">
        <v>765</v>
      </c>
      <c r="W120" s="4"/>
      <c r="X120" s="4">
        <v>2</v>
      </c>
      <c r="Y120" s="4"/>
      <c r="Z120" s="4">
        <v>7</v>
      </c>
      <c r="AA120" s="4"/>
      <c r="AB120" s="4">
        <v>109</v>
      </c>
      <c r="AD120" s="4">
        <v>75</v>
      </c>
      <c r="AE120" s="4"/>
      <c r="AF120" s="4">
        <v>31</v>
      </c>
      <c r="AH120" s="4">
        <v>0</v>
      </c>
      <c r="AI120" s="17"/>
      <c r="AJ120" s="4">
        <v>11</v>
      </c>
      <c r="AK120" s="4"/>
      <c r="AL120" s="4">
        <v>26</v>
      </c>
      <c r="AM120" s="4">
        <v>5</v>
      </c>
      <c r="AN120" s="19">
        <v>8</v>
      </c>
      <c r="AO120" s="19">
        <v>2</v>
      </c>
      <c r="AP120" s="4">
        <v>2</v>
      </c>
      <c r="AQ120" s="4">
        <v>2</v>
      </c>
      <c r="AR120" s="4">
        <v>116</v>
      </c>
      <c r="AS120" s="4">
        <v>75</v>
      </c>
      <c r="AT120" s="4">
        <v>43</v>
      </c>
      <c r="AU120" s="4">
        <v>11</v>
      </c>
    </row>
    <row r="121" spans="3:47" x14ac:dyDescent="0.2">
      <c r="C121" s="9" t="s">
        <v>92</v>
      </c>
      <c r="T121" s="5"/>
      <c r="U121" s="5"/>
      <c r="V121" s="5">
        <f>SUM(V115:V120)</f>
        <v>7103</v>
      </c>
      <c r="W121" s="5"/>
      <c r="X121" s="5">
        <f>SUM(X115:X120)</f>
        <v>7184</v>
      </c>
      <c r="Y121" s="5"/>
      <c r="Z121" s="5">
        <f>SUM(Z115:Z120)</f>
        <v>8065</v>
      </c>
      <c r="AA121" s="5"/>
      <c r="AB121" s="5">
        <f>SUM(AB115:AB120)</f>
        <v>8774</v>
      </c>
      <c r="AD121" s="5">
        <f>SUM(AD115:AD120)</f>
        <v>8887</v>
      </c>
      <c r="AE121" s="5"/>
      <c r="AF121" s="5">
        <f>SUM(AF115:AF120)</f>
        <v>7992</v>
      </c>
      <c r="AH121" s="5">
        <f>SUM(AH115:AH120)</f>
        <v>7172</v>
      </c>
      <c r="AI121" s="5"/>
      <c r="AJ121" s="5">
        <f>SUM(AJ115:AJ120)</f>
        <v>4841</v>
      </c>
      <c r="AK121" s="5"/>
      <c r="AL121" s="5">
        <f>SUM(AL115:AL120)</f>
        <v>4965</v>
      </c>
      <c r="AM121" s="5">
        <f>SUM(AM115:AM120)</f>
        <v>5789</v>
      </c>
      <c r="AN121" s="5">
        <f t="shared" ref="AN121:AU121" si="119">SUM(AN115:AN120)</f>
        <v>5760</v>
      </c>
      <c r="AO121" s="5">
        <f t="shared" si="119"/>
        <v>7228</v>
      </c>
      <c r="AP121" s="5">
        <f>SUM(AP115:AP120)</f>
        <v>7184</v>
      </c>
      <c r="AQ121" s="5">
        <f t="shared" si="119"/>
        <v>7755</v>
      </c>
      <c r="AR121" s="5">
        <f t="shared" si="119"/>
        <v>8618</v>
      </c>
      <c r="AS121" s="5">
        <f t="shared" si="119"/>
        <v>8486</v>
      </c>
      <c r="AT121" s="5">
        <f t="shared" si="119"/>
        <v>7603</v>
      </c>
      <c r="AU121" s="5">
        <f t="shared" si="119"/>
        <v>6847</v>
      </c>
    </row>
    <row r="122" spans="3:47" x14ac:dyDescent="0.2">
      <c r="C122" s="1" t="s">
        <v>93</v>
      </c>
      <c r="T122" s="2"/>
      <c r="U122" s="2"/>
      <c r="V122" s="2">
        <v>1126</v>
      </c>
      <c r="W122" s="2"/>
      <c r="X122" s="2">
        <v>990</v>
      </c>
      <c r="Y122" s="2"/>
      <c r="Z122" s="2">
        <v>787</v>
      </c>
      <c r="AA122" s="2"/>
      <c r="AB122" s="2">
        <v>869</v>
      </c>
      <c r="AD122" s="2">
        <v>949</v>
      </c>
      <c r="AE122" s="2"/>
      <c r="AF122" s="2">
        <v>809</v>
      </c>
      <c r="AH122" s="2">
        <v>1082</v>
      </c>
      <c r="AI122" s="2"/>
      <c r="AJ122" s="2">
        <v>859</v>
      </c>
      <c r="AK122" s="2"/>
      <c r="AL122" s="2">
        <v>1654</v>
      </c>
      <c r="AM122" s="2">
        <v>1558</v>
      </c>
      <c r="AN122" s="2">
        <v>925</v>
      </c>
      <c r="AO122" s="2">
        <v>1189</v>
      </c>
      <c r="AP122" s="2">
        <v>990</v>
      </c>
      <c r="AQ122" s="2">
        <v>905</v>
      </c>
      <c r="AR122" s="2">
        <v>1058</v>
      </c>
      <c r="AS122" s="2">
        <v>1018</v>
      </c>
      <c r="AT122" s="2">
        <v>1064</v>
      </c>
      <c r="AU122" s="2">
        <v>1173</v>
      </c>
    </row>
    <row r="123" spans="3:47" x14ac:dyDescent="0.2">
      <c r="C123" s="41" t="s">
        <v>94</v>
      </c>
      <c r="D123" s="41"/>
      <c r="E123" s="41"/>
      <c r="F123" s="41"/>
      <c r="G123" s="41"/>
      <c r="H123" s="41"/>
      <c r="I123" s="41"/>
      <c r="J123" s="41"/>
      <c r="K123" s="41"/>
      <c r="L123" s="41"/>
      <c r="M123" s="41"/>
      <c r="N123" s="41"/>
      <c r="O123" s="41"/>
      <c r="P123" s="41"/>
      <c r="Q123" s="41"/>
      <c r="R123" s="41"/>
      <c r="S123" s="41"/>
      <c r="T123" s="44"/>
      <c r="U123" s="44"/>
      <c r="V123" s="44">
        <v>2309</v>
      </c>
      <c r="W123" s="44"/>
      <c r="X123" s="44">
        <v>3540</v>
      </c>
      <c r="Y123" s="44"/>
      <c r="Z123" s="44">
        <v>3451</v>
      </c>
      <c r="AA123" s="44"/>
      <c r="AB123" s="44">
        <v>1497</v>
      </c>
      <c r="AC123" s="41"/>
      <c r="AD123" s="44">
        <v>1193</v>
      </c>
      <c r="AE123" s="44"/>
      <c r="AF123" s="44">
        <v>1698</v>
      </c>
      <c r="AG123" s="41"/>
      <c r="AH123" s="44">
        <v>1018</v>
      </c>
      <c r="AI123" s="44"/>
      <c r="AJ123" s="44">
        <v>2427</v>
      </c>
      <c r="AK123" s="44"/>
      <c r="AL123" s="44">
        <v>876</v>
      </c>
      <c r="AM123" s="44">
        <v>945</v>
      </c>
      <c r="AN123" s="44">
        <v>1390</v>
      </c>
      <c r="AO123" s="44">
        <v>2221</v>
      </c>
      <c r="AP123" s="44">
        <v>3540</v>
      </c>
      <c r="AQ123" s="44">
        <v>2509</v>
      </c>
      <c r="AR123" s="44">
        <v>1720</v>
      </c>
      <c r="AS123" s="44">
        <v>1277</v>
      </c>
      <c r="AT123" s="44">
        <v>1608</v>
      </c>
      <c r="AU123" s="44">
        <v>988</v>
      </c>
    </row>
    <row r="124" spans="3:47" x14ac:dyDescent="0.2">
      <c r="C124" s="1" t="s">
        <v>95</v>
      </c>
      <c r="T124" s="2"/>
      <c r="U124" s="2"/>
      <c r="V124" s="2">
        <v>5244</v>
      </c>
      <c r="W124" s="2"/>
      <c r="X124" s="2">
        <v>6164</v>
      </c>
      <c r="Y124" s="2"/>
      <c r="Z124" s="2">
        <v>5243</v>
      </c>
      <c r="AA124" s="2"/>
      <c r="AB124" s="2">
        <v>4501</v>
      </c>
      <c r="AD124" s="2">
        <v>5973</v>
      </c>
      <c r="AE124" s="2"/>
      <c r="AF124" s="2">
        <v>6915</v>
      </c>
      <c r="AH124" s="2">
        <v>8923</v>
      </c>
      <c r="AI124" s="2"/>
      <c r="AJ124" s="2">
        <v>10637</v>
      </c>
      <c r="AK124" s="2"/>
      <c r="AL124" s="2">
        <v>10602</v>
      </c>
      <c r="AM124" s="2">
        <v>10242</v>
      </c>
      <c r="AN124" s="2">
        <v>4409</v>
      </c>
      <c r="AO124" s="2">
        <v>5650</v>
      </c>
      <c r="AP124" s="2">
        <v>6164</v>
      </c>
      <c r="AQ124" s="2">
        <v>4353</v>
      </c>
      <c r="AR124" s="2">
        <v>4950</v>
      </c>
      <c r="AS124" s="2">
        <v>6298</v>
      </c>
      <c r="AT124" s="2">
        <v>8097</v>
      </c>
      <c r="AU124" s="2">
        <v>9802</v>
      </c>
    </row>
    <row r="125" spans="3:47" x14ac:dyDescent="0.2">
      <c r="C125" s="1" t="s">
        <v>96</v>
      </c>
      <c r="T125" s="2"/>
      <c r="U125" s="2"/>
      <c r="V125" s="2">
        <v>10103</v>
      </c>
      <c r="W125" s="2"/>
      <c r="X125" s="2">
        <v>10923</v>
      </c>
      <c r="Y125" s="2"/>
      <c r="Z125" s="2">
        <v>11317</v>
      </c>
      <c r="AA125" s="2"/>
      <c r="AB125" s="2">
        <v>9594</v>
      </c>
      <c r="AD125" s="2">
        <v>11151</v>
      </c>
      <c r="AE125" s="2"/>
      <c r="AF125" s="2">
        <v>13977</v>
      </c>
      <c r="AH125" s="2">
        <v>15749</v>
      </c>
      <c r="AI125" s="2"/>
      <c r="AJ125" s="2">
        <v>18031</v>
      </c>
      <c r="AK125" s="2"/>
      <c r="AL125" s="2">
        <v>0</v>
      </c>
      <c r="AM125" s="2">
        <v>0</v>
      </c>
      <c r="AN125" s="2">
        <v>9090</v>
      </c>
      <c r="AO125" s="2">
        <v>10453</v>
      </c>
      <c r="AP125" s="2">
        <v>10923</v>
      </c>
      <c r="AQ125" s="2">
        <v>9838</v>
      </c>
      <c r="AR125" s="2">
        <v>10141</v>
      </c>
      <c r="AS125" s="2">
        <v>12756</v>
      </c>
      <c r="AT125" s="2">
        <v>15029</v>
      </c>
      <c r="AU125" s="2">
        <v>16421</v>
      </c>
    </row>
    <row r="126" spans="3:47" x14ac:dyDescent="0.2">
      <c r="C126" s="1" t="s">
        <v>97</v>
      </c>
      <c r="T126" s="2"/>
      <c r="U126" s="2"/>
      <c r="V126" s="2">
        <v>365</v>
      </c>
      <c r="W126" s="2"/>
      <c r="X126" s="2">
        <v>111</v>
      </c>
      <c r="Y126" s="2"/>
      <c r="Z126" s="2">
        <v>111</v>
      </c>
      <c r="AA126" s="2"/>
      <c r="AB126" s="2">
        <v>88</v>
      </c>
      <c r="AD126" s="2">
        <v>106</v>
      </c>
      <c r="AE126" s="2"/>
      <c r="AF126" s="2">
        <v>285</v>
      </c>
      <c r="AH126" s="2">
        <v>433</v>
      </c>
      <c r="AI126" s="2"/>
      <c r="AJ126" s="2">
        <v>755</v>
      </c>
      <c r="AK126" s="2"/>
      <c r="AL126" s="2">
        <v>287</v>
      </c>
      <c r="AM126" s="2">
        <v>179</v>
      </c>
      <c r="AN126" s="2">
        <v>214</v>
      </c>
      <c r="AO126" s="2">
        <v>210</v>
      </c>
      <c r="AP126" s="2">
        <v>111</v>
      </c>
      <c r="AQ126" s="2">
        <v>118</v>
      </c>
      <c r="AR126" s="2">
        <v>109</v>
      </c>
      <c r="AS126" s="2">
        <v>105</v>
      </c>
      <c r="AT126" s="2">
        <v>104</v>
      </c>
      <c r="AU126" s="2">
        <v>105</v>
      </c>
    </row>
    <row r="127" spans="3:47" x14ac:dyDescent="0.2">
      <c r="C127" s="1" t="s">
        <v>71</v>
      </c>
      <c r="T127" s="2"/>
      <c r="U127" s="2"/>
      <c r="V127" s="2">
        <v>1230</v>
      </c>
      <c r="W127" s="2"/>
      <c r="X127" s="2">
        <v>1033</v>
      </c>
      <c r="Y127" s="2"/>
      <c r="Z127" s="2">
        <v>1785</v>
      </c>
      <c r="AA127" s="2"/>
      <c r="AB127" s="2">
        <v>1153</v>
      </c>
      <c r="AD127" s="2">
        <v>7145</v>
      </c>
      <c r="AE127" s="2"/>
      <c r="AF127" s="2">
        <v>5251</v>
      </c>
      <c r="AH127" s="2">
        <v>6519</v>
      </c>
      <c r="AI127" s="2"/>
      <c r="AJ127" s="2">
        <v>4511</v>
      </c>
      <c r="AK127" s="2"/>
      <c r="AL127" s="2">
        <v>4108</v>
      </c>
      <c r="AM127" s="2">
        <v>4385</v>
      </c>
      <c r="AN127" s="2">
        <v>805</v>
      </c>
      <c r="AO127" s="2">
        <v>1255</v>
      </c>
      <c r="AP127" s="2">
        <v>1033</v>
      </c>
      <c r="AQ127" s="2">
        <v>1244</v>
      </c>
      <c r="AR127" s="2">
        <v>1788</v>
      </c>
      <c r="AS127" s="2">
        <v>5848</v>
      </c>
      <c r="AT127" s="2">
        <v>4735</v>
      </c>
      <c r="AU127" s="2">
        <v>8803</v>
      </c>
    </row>
    <row r="128" spans="3:47" ht="14.25" x14ac:dyDescent="0.35">
      <c r="C128" s="1" t="s">
        <v>98</v>
      </c>
      <c r="T128" s="4"/>
      <c r="U128" s="4"/>
      <c r="V128" s="4">
        <v>94</v>
      </c>
      <c r="W128" s="4"/>
      <c r="X128" s="4">
        <v>115</v>
      </c>
      <c r="Y128" s="4"/>
      <c r="Z128" s="4">
        <v>51</v>
      </c>
      <c r="AA128" s="4"/>
      <c r="AB128" s="4">
        <v>56</v>
      </c>
      <c r="AD128" s="4">
        <v>101</v>
      </c>
      <c r="AE128" s="4"/>
      <c r="AF128" s="4">
        <v>114</v>
      </c>
      <c r="AH128" s="4">
        <v>392</v>
      </c>
      <c r="AI128" s="4"/>
      <c r="AJ128" s="4">
        <v>252</v>
      </c>
      <c r="AK128" s="4"/>
      <c r="AL128" s="19">
        <v>122</v>
      </c>
      <c r="AM128" s="19">
        <v>357</v>
      </c>
      <c r="AN128" s="19">
        <v>144</v>
      </c>
      <c r="AO128" s="19">
        <v>113</v>
      </c>
      <c r="AP128" s="4">
        <v>115</v>
      </c>
      <c r="AQ128" s="4">
        <v>59</v>
      </c>
      <c r="AR128" s="4">
        <v>62</v>
      </c>
      <c r="AS128" s="4">
        <v>125</v>
      </c>
      <c r="AT128" s="4">
        <v>140</v>
      </c>
      <c r="AU128" s="4">
        <v>148</v>
      </c>
    </row>
    <row r="129" spans="2:48" x14ac:dyDescent="0.2">
      <c r="C129" s="9" t="s">
        <v>99</v>
      </c>
      <c r="T129" s="5"/>
      <c r="U129" s="5"/>
      <c r="V129" s="5">
        <f>SUM(V122:V128)</f>
        <v>20471</v>
      </c>
      <c r="W129" s="5"/>
      <c r="X129" s="5">
        <f>SUM(X122:X128)</f>
        <v>22876</v>
      </c>
      <c r="Y129" s="5"/>
      <c r="Z129" s="5">
        <f>SUM(Z122:Z128)</f>
        <v>22745</v>
      </c>
      <c r="AA129" s="5"/>
      <c r="AB129" s="5">
        <f>SUM(AB122:AB128)</f>
        <v>17758</v>
      </c>
      <c r="AD129" s="5">
        <f>SUM(AD122:AD128)</f>
        <v>26618</v>
      </c>
      <c r="AE129" s="5"/>
      <c r="AF129" s="5">
        <f>SUM(AF122:AF128)</f>
        <v>29049</v>
      </c>
      <c r="AH129" s="5">
        <f>SUM(AH122:AH128)</f>
        <v>34116</v>
      </c>
      <c r="AI129" s="5"/>
      <c r="AJ129" s="5">
        <f>SUM(AJ122:AJ128)</f>
        <v>37472</v>
      </c>
      <c r="AK129" s="5"/>
      <c r="AL129" s="5">
        <f>SUM(AL122:AL128)</f>
        <v>17649</v>
      </c>
      <c r="AM129" s="5">
        <f>SUM(AM122:AM128)</f>
        <v>17666</v>
      </c>
      <c r="AN129" s="5">
        <f>SUM(AN122:AN128)</f>
        <v>16977</v>
      </c>
      <c r="AO129" s="5">
        <f>SUM(AO122:AO128)</f>
        <v>21091</v>
      </c>
      <c r="AP129" s="5">
        <f>SUM(AP122:AP128)</f>
        <v>22876</v>
      </c>
      <c r="AQ129" s="5">
        <f t="shared" ref="AQ129:AU129" si="120">SUM(AQ122:AQ128)</f>
        <v>19026</v>
      </c>
      <c r="AR129" s="5">
        <f t="shared" si="120"/>
        <v>19828</v>
      </c>
      <c r="AS129" s="5">
        <f t="shared" si="120"/>
        <v>27427</v>
      </c>
      <c r="AT129" s="5">
        <f t="shared" si="120"/>
        <v>30777</v>
      </c>
      <c r="AU129" s="5">
        <f t="shared" si="120"/>
        <v>37440</v>
      </c>
    </row>
    <row r="130" spans="2:48" ht="14.25" x14ac:dyDescent="0.35">
      <c r="C130" s="1" t="s">
        <v>156</v>
      </c>
      <c r="T130" s="4"/>
      <c r="U130" s="4"/>
      <c r="V130" s="4">
        <v>0</v>
      </c>
      <c r="W130" s="4"/>
      <c r="X130" s="4">
        <v>0</v>
      </c>
      <c r="Y130" s="4"/>
      <c r="Z130" s="4">
        <v>0</v>
      </c>
      <c r="AA130" s="4"/>
      <c r="AB130" s="4">
        <v>0</v>
      </c>
      <c r="AD130" s="4">
        <v>0</v>
      </c>
      <c r="AE130" s="4"/>
      <c r="AF130" s="4">
        <v>49</v>
      </c>
      <c r="AH130" s="5"/>
      <c r="AI130" s="5"/>
      <c r="AJ130" s="5"/>
      <c r="AK130" s="5"/>
      <c r="AL130" s="19">
        <v>0</v>
      </c>
      <c r="AM130" s="19">
        <v>794</v>
      </c>
      <c r="AN130" s="19">
        <v>0</v>
      </c>
      <c r="AO130" s="19">
        <v>0</v>
      </c>
      <c r="AP130" s="4">
        <v>0</v>
      </c>
      <c r="AQ130" s="4">
        <v>0</v>
      </c>
      <c r="AR130" s="5"/>
      <c r="AS130" s="4">
        <v>49</v>
      </c>
      <c r="AT130" s="5"/>
      <c r="AU130" s="5"/>
    </row>
    <row r="131" spans="2:48" x14ac:dyDescent="0.2">
      <c r="C131" s="9" t="s">
        <v>100</v>
      </c>
      <c r="T131" s="5"/>
      <c r="U131" s="5"/>
      <c r="V131" s="5">
        <f>V129+V121</f>
        <v>27574</v>
      </c>
      <c r="W131" s="5"/>
      <c r="X131" s="5">
        <f>X129+X121</f>
        <v>30060</v>
      </c>
      <c r="Y131" s="5"/>
      <c r="Z131" s="5">
        <f>Z129+Z121</f>
        <v>30810</v>
      </c>
      <c r="AA131" s="5"/>
      <c r="AB131" s="5">
        <f>AB129+AB121</f>
        <v>26532</v>
      </c>
      <c r="AD131" s="5">
        <f>AD129+AD121</f>
        <v>35505</v>
      </c>
      <c r="AE131" s="5"/>
      <c r="AF131" s="5">
        <f>AF129+AF121</f>
        <v>37041</v>
      </c>
      <c r="AH131" s="5">
        <f>AH129+AH121</f>
        <v>41288</v>
      </c>
      <c r="AI131" s="5"/>
      <c r="AJ131" s="5">
        <f>AJ129+AJ121</f>
        <v>42313</v>
      </c>
      <c r="AK131" s="5"/>
      <c r="AL131" s="5">
        <f>AL129+AL121</f>
        <v>22614</v>
      </c>
      <c r="AM131" s="5">
        <f>AM129+AM121</f>
        <v>23455</v>
      </c>
      <c r="AN131" s="5">
        <f t="shared" ref="AN131:AU131" si="121">AN129+AN121</f>
        <v>22737</v>
      </c>
      <c r="AO131" s="5">
        <f t="shared" si="121"/>
        <v>28319</v>
      </c>
      <c r="AP131" s="5">
        <f>AP129+AP121</f>
        <v>30060</v>
      </c>
      <c r="AQ131" s="5">
        <f t="shared" si="121"/>
        <v>26781</v>
      </c>
      <c r="AR131" s="5">
        <f t="shared" si="121"/>
        <v>28446</v>
      </c>
      <c r="AS131" s="5">
        <f t="shared" si="121"/>
        <v>35913</v>
      </c>
      <c r="AT131" s="5">
        <f t="shared" si="121"/>
        <v>38380</v>
      </c>
      <c r="AU131" s="5">
        <f t="shared" si="121"/>
        <v>44287</v>
      </c>
    </row>
    <row r="132" spans="2:48" ht="6.75" customHeight="1" x14ac:dyDescent="0.2">
      <c r="C132" s="11" t="s">
        <v>101</v>
      </c>
      <c r="T132" s="5"/>
      <c r="U132" s="5"/>
      <c r="V132" s="5">
        <f>V108-V114-V131</f>
        <v>0</v>
      </c>
      <c r="W132" s="5"/>
      <c r="X132" s="5">
        <f>X108-X114-X131</f>
        <v>0</v>
      </c>
      <c r="Y132" s="5"/>
      <c r="Z132" s="5">
        <f>Z108-Z114-Z131</f>
        <v>0</v>
      </c>
      <c r="AA132" s="5"/>
      <c r="AB132" s="5">
        <f>AB108-AB114-AB131</f>
        <v>0</v>
      </c>
      <c r="AD132" s="5">
        <f>AD108-AD114-AD131</f>
        <v>0</v>
      </c>
      <c r="AE132" s="5"/>
      <c r="AF132" s="5">
        <f>AF108-AF114-AF131</f>
        <v>0</v>
      </c>
      <c r="AG132" s="5">
        <f>AG108-AG114-AG131</f>
        <v>0</v>
      </c>
      <c r="AH132" s="5">
        <f>AH108-AH114-AH131</f>
        <v>0</v>
      </c>
      <c r="AI132" s="5"/>
      <c r="AJ132" s="5">
        <f>AJ108-AJ114-AJ131</f>
        <v>0</v>
      </c>
      <c r="AK132" s="5"/>
      <c r="AL132" s="5">
        <f>AL108-AL114-AL131-AL130</f>
        <v>0</v>
      </c>
      <c r="AM132" s="5">
        <f>AM108-AM114-AM131-AM130</f>
        <v>0</v>
      </c>
      <c r="AN132" s="5">
        <f t="shared" ref="AN132:AO132" si="122">AN108-AN114-AN131-AN130</f>
        <v>0</v>
      </c>
      <c r="AO132" s="5">
        <f t="shared" si="122"/>
        <v>0</v>
      </c>
      <c r="AP132" s="5">
        <f>AP108-AP114-AP131-AP130</f>
        <v>0</v>
      </c>
      <c r="AQ132" s="5">
        <f>AQ108-AQ114-AQ131-AQ130</f>
        <v>0</v>
      </c>
      <c r="AR132" s="5">
        <f>AR108-AR114-AR131</f>
        <v>0</v>
      </c>
      <c r="AS132" s="5">
        <f>AS108-AS114-AS131-AS130</f>
        <v>0</v>
      </c>
      <c r="AT132" s="5">
        <f>AT108-AT114-AT131</f>
        <v>0</v>
      </c>
      <c r="AU132" s="5">
        <f>AU108-AU114-AU131</f>
        <v>0</v>
      </c>
    </row>
    <row r="133" spans="2:48" x14ac:dyDescent="0.2">
      <c r="B133" s="1" t="s">
        <v>57</v>
      </c>
      <c r="C133" s="1" t="s">
        <v>102</v>
      </c>
    </row>
    <row r="134" spans="2:48" x14ac:dyDescent="0.2">
      <c r="C134" s="1" t="s">
        <v>103</v>
      </c>
      <c r="T134" s="2">
        <v>3221</v>
      </c>
      <c r="U134" s="16">
        <f t="shared" ref="U134:U140" si="123">AN134-T134</f>
        <v>1329</v>
      </c>
      <c r="V134" s="5">
        <f>V79</f>
        <v>535</v>
      </c>
      <c r="W134" s="16">
        <f t="shared" ref="W134:W140" si="124">AO134-V134</f>
        <v>748</v>
      </c>
      <c r="X134" s="5">
        <f>X79</f>
        <v>1432</v>
      </c>
      <c r="Y134" s="16">
        <f t="shared" ref="Y134:Y140" si="125">AP134-X134</f>
        <v>1015</v>
      </c>
      <c r="Z134" s="5">
        <f>Z79</f>
        <v>-340</v>
      </c>
      <c r="AA134" s="16">
        <f t="shared" ref="AA134:AA140" si="126">AQ134-Z134</f>
        <v>692</v>
      </c>
      <c r="AB134" s="5">
        <f>AB79</f>
        <v>674</v>
      </c>
      <c r="AC134" s="16">
        <f t="shared" ref="AC134:AC140" si="127">AR134-AB134</f>
        <v>-631</v>
      </c>
      <c r="AD134" s="5">
        <f>AD79</f>
        <v>-3762</v>
      </c>
      <c r="AE134" s="16">
        <f t="shared" ref="AE134:AE140" si="128">AS134-AD134</f>
        <v>1303</v>
      </c>
      <c r="AF134" s="5">
        <f>AF79</f>
        <v>1863</v>
      </c>
      <c r="AG134" s="16">
        <f t="shared" ref="AG134:AG140" si="129">AT134-AF134</f>
        <v>1581</v>
      </c>
      <c r="AH134" s="5">
        <f>AH79</f>
        <v>57</v>
      </c>
      <c r="AI134" s="16">
        <f t="shared" ref="AI134:AI140" si="130">AU134-AH134</f>
        <v>-724</v>
      </c>
      <c r="AJ134" s="5">
        <f>AJ79</f>
        <v>5045</v>
      </c>
      <c r="AK134" s="5"/>
      <c r="AL134" s="5">
        <f>AL79</f>
        <v>-424</v>
      </c>
      <c r="AM134" s="34">
        <v>1908</v>
      </c>
      <c r="AN134" s="5">
        <f t="shared" ref="AN134" si="131">AN79</f>
        <v>4550</v>
      </c>
      <c r="AO134" s="5">
        <f t="shared" ref="AO134" si="132">AO79</f>
        <v>1283</v>
      </c>
      <c r="AP134" s="5">
        <f>AP79</f>
        <v>2447</v>
      </c>
      <c r="AQ134" s="5">
        <f>AQ79</f>
        <v>352</v>
      </c>
      <c r="AR134" s="5">
        <f>AR79</f>
        <v>43</v>
      </c>
      <c r="AS134" s="5">
        <f t="shared" ref="AS134:AU134" si="133">AS79</f>
        <v>-2459</v>
      </c>
      <c r="AT134" s="5">
        <f>AT79</f>
        <v>3444</v>
      </c>
      <c r="AU134" s="5">
        <f t="shared" si="133"/>
        <v>-667</v>
      </c>
    </row>
    <row r="135" spans="2:48" x14ac:dyDescent="0.2">
      <c r="C135" s="1" t="s">
        <v>105</v>
      </c>
      <c r="T135" s="2">
        <v>397</v>
      </c>
      <c r="U135" s="16">
        <f t="shared" si="123"/>
        <v>629</v>
      </c>
      <c r="V135" s="2">
        <v>523</v>
      </c>
      <c r="W135" s="16">
        <f t="shared" si="124"/>
        <v>712</v>
      </c>
      <c r="X135" s="2">
        <v>740</v>
      </c>
      <c r="Y135" s="16">
        <f t="shared" si="125"/>
        <v>849</v>
      </c>
      <c r="Z135" s="2">
        <v>833</v>
      </c>
      <c r="AA135" s="16">
        <f t="shared" si="126"/>
        <v>732</v>
      </c>
      <c r="AB135" s="2">
        <v>698</v>
      </c>
      <c r="AC135" s="16">
        <f t="shared" si="127"/>
        <v>944</v>
      </c>
      <c r="AD135" s="2">
        <v>922</v>
      </c>
      <c r="AE135" s="16">
        <f t="shared" si="128"/>
        <v>693</v>
      </c>
      <c r="AF135" s="2">
        <v>752</v>
      </c>
      <c r="AG135" s="16">
        <f t="shared" si="129"/>
        <v>681</v>
      </c>
      <c r="AH135" s="2">
        <v>766</v>
      </c>
      <c r="AI135" s="16">
        <f t="shared" si="130"/>
        <v>925</v>
      </c>
      <c r="AJ135" s="2">
        <v>705</v>
      </c>
      <c r="AK135" s="2"/>
      <c r="AL135" s="34">
        <v>1848</v>
      </c>
      <c r="AM135" s="34">
        <v>927</v>
      </c>
      <c r="AN135" s="2">
        <v>1026</v>
      </c>
      <c r="AO135" s="2">
        <v>1235</v>
      </c>
      <c r="AP135" s="2">
        <v>1589</v>
      </c>
      <c r="AQ135" s="2">
        <v>1565</v>
      </c>
      <c r="AR135" s="2">
        <v>1642</v>
      </c>
      <c r="AS135" s="2">
        <v>1615</v>
      </c>
      <c r="AT135" s="2">
        <v>1433</v>
      </c>
      <c r="AU135" s="2">
        <v>1691</v>
      </c>
    </row>
    <row r="136" spans="2:48" x14ac:dyDescent="0.2">
      <c r="C136" s="1" t="s">
        <v>106</v>
      </c>
      <c r="T136" s="2">
        <v>-40</v>
      </c>
      <c r="U136" s="16">
        <f t="shared" si="123"/>
        <v>-60</v>
      </c>
      <c r="V136" s="2">
        <v>-29</v>
      </c>
      <c r="W136" s="16">
        <f t="shared" si="124"/>
        <v>-95</v>
      </c>
      <c r="X136" s="2">
        <v>-33</v>
      </c>
      <c r="Y136" s="16">
        <f t="shared" si="125"/>
        <v>-54</v>
      </c>
      <c r="Z136" s="2">
        <v>5</v>
      </c>
      <c r="AA136" s="16">
        <f t="shared" si="126"/>
        <v>17</v>
      </c>
      <c r="AB136" s="2">
        <v>114</v>
      </c>
      <c r="AC136" s="16">
        <f t="shared" si="127"/>
        <v>588</v>
      </c>
      <c r="AD136" s="2">
        <v>64</v>
      </c>
      <c r="AE136" s="16">
        <f t="shared" si="128"/>
        <v>-53</v>
      </c>
      <c r="AF136" s="2">
        <v>-39</v>
      </c>
      <c r="AG136" s="16">
        <f t="shared" si="129"/>
        <v>-44</v>
      </c>
      <c r="AH136" s="2">
        <v>-37</v>
      </c>
      <c r="AI136" s="16">
        <f t="shared" si="130"/>
        <v>-83</v>
      </c>
      <c r="AJ136" s="2">
        <v>-51</v>
      </c>
      <c r="AK136" s="2"/>
      <c r="AL136" s="34">
        <v>-20</v>
      </c>
      <c r="AM136" s="34">
        <v>-63</v>
      </c>
      <c r="AN136" s="2">
        <v>-100</v>
      </c>
      <c r="AO136" s="2">
        <v>-124</v>
      </c>
      <c r="AP136" s="2">
        <v>-87</v>
      </c>
      <c r="AQ136" s="2">
        <v>22</v>
      </c>
      <c r="AR136" s="2">
        <v>702</v>
      </c>
      <c r="AS136" s="2">
        <v>11</v>
      </c>
      <c r="AT136" s="2">
        <v>-83</v>
      </c>
      <c r="AU136" s="2">
        <v>-120</v>
      </c>
    </row>
    <row r="137" spans="2:48" x14ac:dyDescent="0.2">
      <c r="C137" s="1" t="s">
        <v>107</v>
      </c>
      <c r="T137" s="2">
        <v>-2865</v>
      </c>
      <c r="U137" s="16">
        <f t="shared" si="123"/>
        <v>-743</v>
      </c>
      <c r="V137" s="2">
        <v>207</v>
      </c>
      <c r="W137" s="16">
        <f t="shared" si="124"/>
        <v>109</v>
      </c>
      <c r="X137" s="2">
        <v>-317</v>
      </c>
      <c r="Y137" s="16">
        <f t="shared" si="125"/>
        <v>165</v>
      </c>
      <c r="Z137" s="2">
        <v>957</v>
      </c>
      <c r="AA137" s="16">
        <f t="shared" si="126"/>
        <v>-748</v>
      </c>
      <c r="AB137" s="2">
        <v>-734</v>
      </c>
      <c r="AC137" s="16">
        <f t="shared" si="127"/>
        <v>1272</v>
      </c>
      <c r="AD137" s="2">
        <v>5477</v>
      </c>
      <c r="AE137" s="16">
        <f t="shared" si="128"/>
        <v>-1270</v>
      </c>
      <c r="AF137" s="2">
        <v>-1260</v>
      </c>
      <c r="AG137" s="16">
        <f t="shared" si="129"/>
        <v>-901</v>
      </c>
      <c r="AH137" s="2">
        <v>1680</v>
      </c>
      <c r="AI137" s="16">
        <f t="shared" si="130"/>
        <v>3004</v>
      </c>
      <c r="AJ137" s="2">
        <v>-4785</v>
      </c>
      <c r="AK137" s="2"/>
      <c r="AL137" s="34">
        <v>2475</v>
      </c>
      <c r="AM137" s="34">
        <v>81</v>
      </c>
      <c r="AN137" s="2">
        <v>-3608</v>
      </c>
      <c r="AO137" s="2">
        <v>316</v>
      </c>
      <c r="AP137" s="2">
        <v>-152</v>
      </c>
      <c r="AQ137" s="2">
        <v>209</v>
      </c>
      <c r="AR137" s="2">
        <v>538</v>
      </c>
      <c r="AS137" s="2">
        <v>4207</v>
      </c>
      <c r="AT137" s="2">
        <v>-2161</v>
      </c>
      <c r="AU137" s="2">
        <v>4684</v>
      </c>
    </row>
    <row r="138" spans="2:48" x14ac:dyDescent="0.2">
      <c r="C138" s="1" t="s">
        <v>108</v>
      </c>
      <c r="T138" s="2">
        <v>-3</v>
      </c>
      <c r="U138" s="16">
        <f t="shared" si="123"/>
        <v>-17</v>
      </c>
      <c r="V138" s="2">
        <v>-3</v>
      </c>
      <c r="W138" s="16">
        <f t="shared" si="124"/>
        <v>15</v>
      </c>
      <c r="X138" s="2">
        <v>-26</v>
      </c>
      <c r="Y138" s="16">
        <f t="shared" si="125"/>
        <v>-15</v>
      </c>
      <c r="Z138" s="2">
        <v>1</v>
      </c>
      <c r="AA138" s="16">
        <f t="shared" si="126"/>
        <v>19</v>
      </c>
      <c r="AB138" s="2">
        <v>-22</v>
      </c>
      <c r="AC138" s="16">
        <f t="shared" si="127"/>
        <v>-35</v>
      </c>
      <c r="AD138" s="2">
        <v>-51</v>
      </c>
      <c r="AE138" s="16">
        <f t="shared" si="128"/>
        <v>340</v>
      </c>
      <c r="AF138" s="2">
        <v>2</v>
      </c>
      <c r="AG138" s="16">
        <f t="shared" si="129"/>
        <v>342</v>
      </c>
      <c r="AH138" s="2">
        <v>-13</v>
      </c>
      <c r="AI138" s="16">
        <f t="shared" si="130"/>
        <v>-34</v>
      </c>
      <c r="AJ138" s="2">
        <v>2</v>
      </c>
      <c r="AK138" s="2"/>
      <c r="AL138" s="34">
        <v>-453</v>
      </c>
      <c r="AM138" s="34">
        <v>-364</v>
      </c>
      <c r="AN138" s="2">
        <v>-20</v>
      </c>
      <c r="AO138" s="2">
        <v>12</v>
      </c>
      <c r="AP138" s="2">
        <v>-41</v>
      </c>
      <c r="AQ138" s="2">
        <v>20</v>
      </c>
      <c r="AR138" s="2">
        <v>-57</v>
      </c>
      <c r="AS138" s="2">
        <v>289</v>
      </c>
      <c r="AT138" s="2">
        <v>344</v>
      </c>
      <c r="AU138" s="2">
        <v>-47</v>
      </c>
    </row>
    <row r="139" spans="2:48" x14ac:dyDescent="0.2">
      <c r="C139" s="1" t="s">
        <v>109</v>
      </c>
      <c r="T139" s="2">
        <v>28</v>
      </c>
      <c r="U139" s="16">
        <f t="shared" si="123"/>
        <v>-1025</v>
      </c>
      <c r="V139" s="2">
        <v>31</v>
      </c>
      <c r="W139" s="16">
        <f t="shared" si="124"/>
        <v>-31</v>
      </c>
      <c r="X139" s="2">
        <v>33</v>
      </c>
      <c r="Y139" s="16">
        <f t="shared" si="125"/>
        <v>32</v>
      </c>
      <c r="Z139" s="2">
        <v>15</v>
      </c>
      <c r="AA139" s="16">
        <f t="shared" si="126"/>
        <v>19</v>
      </c>
      <c r="AB139" s="2">
        <v>13</v>
      </c>
      <c r="AC139" s="16">
        <f t="shared" si="127"/>
        <v>12</v>
      </c>
      <c r="AD139" s="2">
        <v>15</v>
      </c>
      <c r="AE139" s="16">
        <f t="shared" si="128"/>
        <v>18</v>
      </c>
      <c r="AF139" s="2">
        <v>42</v>
      </c>
      <c r="AG139" s="16">
        <f t="shared" si="129"/>
        <v>34</v>
      </c>
      <c r="AH139" s="2">
        <v>49</v>
      </c>
      <c r="AI139" s="16">
        <f t="shared" si="130"/>
        <v>43</v>
      </c>
      <c r="AJ139" s="2">
        <v>67</v>
      </c>
      <c r="AK139" s="2"/>
      <c r="AL139" s="34">
        <v>47</v>
      </c>
      <c r="AM139" s="34">
        <v>55</v>
      </c>
      <c r="AN139" s="2">
        <v>-997</v>
      </c>
      <c r="AO139" s="2">
        <v>0</v>
      </c>
      <c r="AP139" s="2">
        <v>65</v>
      </c>
      <c r="AQ139" s="2">
        <v>34</v>
      </c>
      <c r="AR139" s="2">
        <v>25</v>
      </c>
      <c r="AS139" s="2">
        <v>33</v>
      </c>
      <c r="AT139" s="2">
        <v>76</v>
      </c>
      <c r="AU139" s="2">
        <v>92</v>
      </c>
    </row>
    <row r="140" spans="2:48" ht="14.25" x14ac:dyDescent="0.35">
      <c r="C140" s="1" t="s">
        <v>110</v>
      </c>
      <c r="T140" s="4">
        <v>1311</v>
      </c>
      <c r="U140" s="17">
        <f t="shared" si="123"/>
        <v>-101</v>
      </c>
      <c r="V140" s="4">
        <v>455</v>
      </c>
      <c r="W140" s="17">
        <f t="shared" si="124"/>
        <v>-79</v>
      </c>
      <c r="X140" s="4">
        <v>765</v>
      </c>
      <c r="Y140" s="17">
        <f t="shared" si="125"/>
        <v>-544</v>
      </c>
      <c r="Z140" s="4">
        <v>-317</v>
      </c>
      <c r="AA140" s="17">
        <f t="shared" si="126"/>
        <v>-11</v>
      </c>
      <c r="AB140" s="4">
        <v>-10</v>
      </c>
      <c r="AC140" s="17">
        <f t="shared" si="127"/>
        <v>-697</v>
      </c>
      <c r="AD140" s="4">
        <v>-1019</v>
      </c>
      <c r="AE140" s="17">
        <f t="shared" si="128"/>
        <v>139</v>
      </c>
      <c r="AF140" s="4">
        <v>622</v>
      </c>
      <c r="AG140" s="17">
        <f t="shared" si="129"/>
        <v>-163</v>
      </c>
      <c r="AH140" s="4">
        <v>-142</v>
      </c>
      <c r="AI140" s="17">
        <f t="shared" si="130"/>
        <v>-765</v>
      </c>
      <c r="AJ140" s="4">
        <v>1807</v>
      </c>
      <c r="AK140" s="4"/>
      <c r="AL140" s="33">
        <f>-821-26</f>
        <v>-847</v>
      </c>
      <c r="AM140" s="33">
        <f>217-110</f>
        <v>107</v>
      </c>
      <c r="AN140" s="29">
        <f>1150+60</f>
        <v>1210</v>
      </c>
      <c r="AO140" s="4">
        <f>58+318</f>
        <v>376</v>
      </c>
      <c r="AP140" s="4">
        <v>221</v>
      </c>
      <c r="AQ140" s="4">
        <v>-328</v>
      </c>
      <c r="AR140" s="4">
        <v>-707</v>
      </c>
      <c r="AS140" s="4">
        <v>-880</v>
      </c>
      <c r="AT140" s="4">
        <v>459</v>
      </c>
      <c r="AU140" s="4">
        <v>-907</v>
      </c>
    </row>
    <row r="141" spans="2:48" x14ac:dyDescent="0.2">
      <c r="C141" s="1" t="s">
        <v>111</v>
      </c>
      <c r="T141" s="30">
        <f>SUM(T134:T140)-955</f>
        <v>1094</v>
      </c>
      <c r="U141" s="10">
        <f t="shared" ref="U141:AB141" si="134">SUM(U134:U140)</f>
        <v>12</v>
      </c>
      <c r="V141" s="10">
        <f t="shared" si="134"/>
        <v>1719</v>
      </c>
      <c r="W141" s="10">
        <f t="shared" si="134"/>
        <v>1379</v>
      </c>
      <c r="X141" s="10">
        <f t="shared" si="134"/>
        <v>2594</v>
      </c>
      <c r="Y141" s="10">
        <f t="shared" si="134"/>
        <v>1448</v>
      </c>
      <c r="Z141" s="10">
        <f t="shared" si="134"/>
        <v>1154</v>
      </c>
      <c r="AA141" s="10">
        <f t="shared" si="134"/>
        <v>720</v>
      </c>
      <c r="AB141" s="10">
        <f t="shared" si="134"/>
        <v>733</v>
      </c>
      <c r="AC141" s="10">
        <f t="shared" ref="AC141:AJ141" si="135">SUM(AC134:AC140)</f>
        <v>1453</v>
      </c>
      <c r="AD141" s="10">
        <f t="shared" si="135"/>
        <v>1646</v>
      </c>
      <c r="AE141" s="10">
        <f t="shared" si="135"/>
        <v>1170</v>
      </c>
      <c r="AF141" s="10">
        <f t="shared" si="135"/>
        <v>1982</v>
      </c>
      <c r="AG141" s="10">
        <f t="shared" si="135"/>
        <v>1530</v>
      </c>
      <c r="AH141" s="10">
        <f t="shared" si="135"/>
        <v>2360</v>
      </c>
      <c r="AI141" s="10">
        <f t="shared" si="135"/>
        <v>2366</v>
      </c>
      <c r="AJ141" s="10">
        <f t="shared" si="135"/>
        <v>2790</v>
      </c>
      <c r="AK141" s="10"/>
      <c r="AL141" s="10">
        <f>SUM(AL134:AL140)</f>
        <v>2626</v>
      </c>
      <c r="AM141" s="10">
        <f>SUM(AM134:AM140)</f>
        <v>2651</v>
      </c>
      <c r="AN141" s="10">
        <f>SUM(AN134:AN140)</f>
        <v>2061</v>
      </c>
      <c r="AO141" s="10">
        <f>SUM(AO134:AO140)</f>
        <v>3098</v>
      </c>
      <c r="AP141" s="10">
        <f>SUM(AP134:AP140)</f>
        <v>4042</v>
      </c>
      <c r="AQ141" s="10">
        <f t="shared" ref="AQ141:AU141" si="136">SUM(AQ134:AQ140)</f>
        <v>1874</v>
      </c>
      <c r="AR141" s="10">
        <f t="shared" si="136"/>
        <v>2186</v>
      </c>
      <c r="AS141" s="10">
        <f t="shared" si="136"/>
        <v>2816</v>
      </c>
      <c r="AT141" s="10">
        <f t="shared" si="136"/>
        <v>3512</v>
      </c>
      <c r="AU141" s="10">
        <f t="shared" si="136"/>
        <v>4726</v>
      </c>
      <c r="AV141" s="63">
        <f>((AU141/AL141)^(1/(2024-2015)))-1</f>
        <v>6.7469423418437424E-2</v>
      </c>
    </row>
    <row r="142" spans="2:48" ht="14.25" x14ac:dyDescent="0.35">
      <c r="C142" s="1" t="s">
        <v>112</v>
      </c>
      <c r="T142" s="4">
        <v>183</v>
      </c>
      <c r="U142" s="17">
        <f>AN142-T142</f>
        <v>508</v>
      </c>
      <c r="V142" s="4">
        <v>-299</v>
      </c>
      <c r="W142" s="17">
        <f>AO142-V142</f>
        <v>272</v>
      </c>
      <c r="X142" s="4">
        <v>-863</v>
      </c>
      <c r="Y142" s="17">
        <f>AP142-X142</f>
        <v>-34</v>
      </c>
      <c r="Z142" s="4">
        <v>168</v>
      </c>
      <c r="AA142" s="17">
        <f>AQ142-Z142</f>
        <v>-176</v>
      </c>
      <c r="AB142" s="4">
        <v>297</v>
      </c>
      <c r="AC142" s="17">
        <f>AR142-AB142</f>
        <v>-47</v>
      </c>
      <c r="AD142" s="4">
        <v>426</v>
      </c>
      <c r="AE142" s="17">
        <f>AS142-AD142</f>
        <v>303</v>
      </c>
      <c r="AF142" s="4">
        <v>81</v>
      </c>
      <c r="AG142" s="17">
        <f>AT142-AF142</f>
        <v>677</v>
      </c>
      <c r="AH142" s="4">
        <v>-140</v>
      </c>
      <c r="AI142" s="17">
        <f>AU142-AH142</f>
        <v>147</v>
      </c>
      <c r="AJ142" s="4">
        <v>-168</v>
      </c>
      <c r="AK142" s="4"/>
      <c r="AL142" s="19">
        <v>5</v>
      </c>
      <c r="AM142" s="19">
        <v>-168</v>
      </c>
      <c r="AN142" s="4">
        <v>691</v>
      </c>
      <c r="AO142" s="4">
        <v>-27</v>
      </c>
      <c r="AP142" s="4">
        <v>-897</v>
      </c>
      <c r="AQ142" s="4">
        <v>-8</v>
      </c>
      <c r="AR142" s="4">
        <v>250</v>
      </c>
      <c r="AS142" s="4">
        <v>729</v>
      </c>
      <c r="AT142" s="4">
        <v>758</v>
      </c>
      <c r="AU142" s="4">
        <v>7</v>
      </c>
      <c r="AV142" s="63">
        <f>((AU142/AL142)^(1/(2024-2015)))-1</f>
        <v>3.809344426552097E-2</v>
      </c>
    </row>
    <row r="143" spans="2:48" x14ac:dyDescent="0.2">
      <c r="C143" s="9" t="s">
        <v>113</v>
      </c>
      <c r="T143" s="5">
        <f t="shared" ref="T143:AB143" si="137">T141+T142</f>
        <v>1277</v>
      </c>
      <c r="U143" s="5">
        <f t="shared" si="137"/>
        <v>520</v>
      </c>
      <c r="V143" s="5">
        <f t="shared" si="137"/>
        <v>1420</v>
      </c>
      <c r="W143" s="5">
        <f t="shared" si="137"/>
        <v>1651</v>
      </c>
      <c r="X143" s="5">
        <f t="shared" si="137"/>
        <v>1731</v>
      </c>
      <c r="Y143" s="5">
        <f t="shared" si="137"/>
        <v>1414</v>
      </c>
      <c r="Z143" s="5">
        <f t="shared" si="137"/>
        <v>1322</v>
      </c>
      <c r="AA143" s="5">
        <f t="shared" si="137"/>
        <v>544</v>
      </c>
      <c r="AB143" s="5">
        <f t="shared" si="137"/>
        <v>1030</v>
      </c>
      <c r="AC143" s="5">
        <f t="shared" ref="AC143:AJ143" si="138">AC141+AC142</f>
        <v>1406</v>
      </c>
      <c r="AD143" s="5">
        <f t="shared" si="138"/>
        <v>2072</v>
      </c>
      <c r="AE143" s="5">
        <f t="shared" si="138"/>
        <v>1473</v>
      </c>
      <c r="AF143" s="5">
        <f t="shared" si="138"/>
        <v>2063</v>
      </c>
      <c r="AG143" s="5">
        <f t="shared" si="138"/>
        <v>2207</v>
      </c>
      <c r="AH143" s="5">
        <f t="shared" si="138"/>
        <v>2220</v>
      </c>
      <c r="AI143" s="5">
        <f t="shared" si="138"/>
        <v>2513</v>
      </c>
      <c r="AJ143" s="5">
        <f t="shared" si="138"/>
        <v>2622</v>
      </c>
      <c r="AK143" s="5"/>
      <c r="AL143" s="5">
        <f>AL141+AL142</f>
        <v>2631</v>
      </c>
      <c r="AM143" s="5">
        <f>AM141+AM142</f>
        <v>2483</v>
      </c>
      <c r="AN143" s="5">
        <f>AN141+AN142</f>
        <v>2752</v>
      </c>
      <c r="AO143" s="5">
        <f>AO141+AO142</f>
        <v>3071</v>
      </c>
      <c r="AP143" s="5">
        <f>AP141+AP142</f>
        <v>3145</v>
      </c>
      <c r="AQ143" s="5">
        <f t="shared" ref="AQ143:AU143" si="139">AQ141+AQ142</f>
        <v>1866</v>
      </c>
      <c r="AR143" s="5">
        <f t="shared" si="139"/>
        <v>2436</v>
      </c>
      <c r="AS143" s="5">
        <f t="shared" si="139"/>
        <v>3545</v>
      </c>
      <c r="AT143" s="5">
        <f t="shared" si="139"/>
        <v>4270</v>
      </c>
      <c r="AU143" s="5">
        <f t="shared" si="139"/>
        <v>4733</v>
      </c>
      <c r="AV143" s="63">
        <f>((AU143/AL143)^(1/(2024-2015)))-1</f>
        <v>6.7419353869799359E-2</v>
      </c>
    </row>
    <row r="144" spans="2:48" x14ac:dyDescent="0.2">
      <c r="C144" s="1" t="s">
        <v>114</v>
      </c>
      <c r="T144" s="2">
        <v>-170</v>
      </c>
      <c r="U144" s="16">
        <f t="shared" ref="U144:U150" si="140">AN144-T144</f>
        <v>-179</v>
      </c>
      <c r="V144" s="2">
        <v>-144</v>
      </c>
      <c r="W144" s="16">
        <f t="shared" ref="W144:W150" si="141">AO144-V144</f>
        <v>-183</v>
      </c>
      <c r="X144" s="2">
        <v>-157</v>
      </c>
      <c r="Y144" s="16">
        <f t="shared" ref="Y144:Y150" si="142">AP144-X144</f>
        <v>-176</v>
      </c>
      <c r="Z144" s="2">
        <v>-127</v>
      </c>
      <c r="AA144" s="16">
        <f t="shared" ref="AA144:AA150" si="143">AQ144-Z144</f>
        <v>-160</v>
      </c>
      <c r="AB144" s="2">
        <v>-136</v>
      </c>
      <c r="AC144" s="16">
        <f t="shared" ref="AC144:AC150" si="144">AR144-AB144</f>
        <v>-180</v>
      </c>
      <c r="AD144" s="2">
        <v>-135</v>
      </c>
      <c r="AE144" s="16">
        <f t="shared" ref="AE144:AE150" si="145">AS144-AD144</f>
        <v>-148</v>
      </c>
      <c r="AF144" s="2">
        <v>-152</v>
      </c>
      <c r="AG144" s="16">
        <f t="shared" ref="AG144:AG150" si="146">AT144-AF144</f>
        <v>-171</v>
      </c>
      <c r="AH144" s="2">
        <v>-152</v>
      </c>
      <c r="AI144" s="16">
        <f t="shared" ref="AI144:AI150" si="147">AU144-AH144</f>
        <v>-176</v>
      </c>
      <c r="AJ144" s="2">
        <v>-160</v>
      </c>
      <c r="AK144" s="2"/>
      <c r="AL144" s="34">
        <v>-502</v>
      </c>
      <c r="AM144" s="34">
        <v>-364</v>
      </c>
      <c r="AN144" s="2">
        <v>-349</v>
      </c>
      <c r="AO144" s="2">
        <v>-327</v>
      </c>
      <c r="AP144" s="2">
        <v>-333</v>
      </c>
      <c r="AQ144" s="2">
        <v>-287</v>
      </c>
      <c r="AR144" s="2">
        <v>-316</v>
      </c>
      <c r="AS144" s="2">
        <v>-283</v>
      </c>
      <c r="AT144" s="2">
        <v>-323</v>
      </c>
      <c r="AU144" s="2">
        <v>-328</v>
      </c>
    </row>
    <row r="145" spans="3:48" x14ac:dyDescent="0.2">
      <c r="C145" s="1" t="s">
        <v>115</v>
      </c>
      <c r="T145" s="2">
        <v>-96</v>
      </c>
      <c r="U145" s="16">
        <f t="shared" si="140"/>
        <v>-129</v>
      </c>
      <c r="V145" s="2">
        <v>-69</v>
      </c>
      <c r="W145" s="16">
        <f t="shared" si="141"/>
        <v>-114</v>
      </c>
      <c r="X145" s="2">
        <v>-65</v>
      </c>
      <c r="Y145" s="16">
        <f t="shared" si="142"/>
        <v>-69</v>
      </c>
      <c r="Z145" s="2">
        <v>-21</v>
      </c>
      <c r="AA145" s="16">
        <f t="shared" si="143"/>
        <v>-36</v>
      </c>
      <c r="AB145" s="2">
        <v>-10</v>
      </c>
      <c r="AC145" s="16">
        <f t="shared" si="144"/>
        <v>-43</v>
      </c>
      <c r="AD145" s="2">
        <v>-29</v>
      </c>
      <c r="AE145" s="16">
        <f t="shared" si="145"/>
        <v>-69</v>
      </c>
      <c r="AF145" s="2">
        <v>-100</v>
      </c>
      <c r="AG145" s="16">
        <f t="shared" si="146"/>
        <v>-79</v>
      </c>
      <c r="AH145" s="2">
        <v>-93</v>
      </c>
      <c r="AI145" s="16">
        <f t="shared" si="147"/>
        <v>-79</v>
      </c>
      <c r="AJ145" s="2">
        <v>-103</v>
      </c>
      <c r="AK145" s="2"/>
      <c r="AL145" s="34">
        <v>-495</v>
      </c>
      <c r="AM145" s="34">
        <v>-324</v>
      </c>
      <c r="AN145" s="2">
        <v>-225</v>
      </c>
      <c r="AO145" s="2">
        <v>-183</v>
      </c>
      <c r="AP145" s="2">
        <v>-134</v>
      </c>
      <c r="AQ145" s="2">
        <v>-57</v>
      </c>
      <c r="AR145" s="2">
        <v>-53</v>
      </c>
      <c r="AS145" s="2">
        <v>-98</v>
      </c>
      <c r="AT145" s="2">
        <v>-179</v>
      </c>
      <c r="AU145" s="2">
        <v>-172</v>
      </c>
    </row>
    <row r="146" spans="3:48" x14ac:dyDescent="0.2">
      <c r="C146" s="1" t="s">
        <v>116</v>
      </c>
      <c r="T146" s="2">
        <v>-345</v>
      </c>
      <c r="U146" s="16">
        <f t="shared" si="140"/>
        <v>-395</v>
      </c>
      <c r="V146" s="2">
        <v>-387</v>
      </c>
      <c r="W146" s="16">
        <f t="shared" si="141"/>
        <v>-393</v>
      </c>
      <c r="X146" s="2">
        <v>-332</v>
      </c>
      <c r="Y146" s="16">
        <f t="shared" si="142"/>
        <v>-363</v>
      </c>
      <c r="Z146" s="2">
        <v>-273</v>
      </c>
      <c r="AA146" s="16">
        <f t="shared" si="143"/>
        <v>-176</v>
      </c>
      <c r="AB146" s="2">
        <v>-183</v>
      </c>
      <c r="AC146" s="16">
        <f t="shared" si="144"/>
        <v>-204</v>
      </c>
      <c r="AD146" s="2">
        <v>-243</v>
      </c>
      <c r="AE146" s="16">
        <f t="shared" si="145"/>
        <v>-255</v>
      </c>
      <c r="AF146" s="2">
        <v>-348</v>
      </c>
      <c r="AG146" s="16">
        <f t="shared" si="146"/>
        <v>-475</v>
      </c>
      <c r="AH146" s="2">
        <v>-512</v>
      </c>
      <c r="AI146" s="16">
        <f t="shared" si="147"/>
        <v>-532</v>
      </c>
      <c r="AJ146" s="2">
        <v>-525</v>
      </c>
      <c r="AK146" s="2"/>
      <c r="AL146" s="34">
        <v>-705</v>
      </c>
      <c r="AM146" s="34">
        <v>-704</v>
      </c>
      <c r="AN146" s="2">
        <v>-740</v>
      </c>
      <c r="AO146" s="2">
        <v>-780</v>
      </c>
      <c r="AP146" s="2">
        <v>-695</v>
      </c>
      <c r="AQ146" s="2">
        <v>-449</v>
      </c>
      <c r="AR146" s="2">
        <v>-387</v>
      </c>
      <c r="AS146" s="2">
        <v>-498</v>
      </c>
      <c r="AT146" s="2">
        <v>-823</v>
      </c>
      <c r="AU146" s="2">
        <v>-1044</v>
      </c>
    </row>
    <row r="147" spans="3:48" x14ac:dyDescent="0.2">
      <c r="C147" s="1" t="s">
        <v>117</v>
      </c>
      <c r="T147" s="2">
        <v>4</v>
      </c>
      <c r="U147" s="16">
        <f t="shared" si="140"/>
        <v>-58</v>
      </c>
      <c r="V147" s="2">
        <v>-4129</v>
      </c>
      <c r="W147" s="16">
        <f t="shared" si="141"/>
        <v>-43</v>
      </c>
      <c r="X147" s="2">
        <v>-4</v>
      </c>
      <c r="Y147" s="16">
        <f t="shared" si="142"/>
        <v>-25</v>
      </c>
      <c r="Z147" s="2">
        <v>-13</v>
      </c>
      <c r="AA147" s="16">
        <f t="shared" si="143"/>
        <v>-8</v>
      </c>
      <c r="AB147" s="2">
        <v>-10</v>
      </c>
      <c r="AC147" s="16">
        <f t="shared" si="144"/>
        <v>-23</v>
      </c>
      <c r="AD147" s="2">
        <v>-7</v>
      </c>
      <c r="AE147" s="16">
        <f t="shared" si="145"/>
        <v>-483</v>
      </c>
      <c r="AF147" s="2">
        <v>-104</v>
      </c>
      <c r="AG147" s="16">
        <f t="shared" si="146"/>
        <v>-224</v>
      </c>
      <c r="AH147" s="2">
        <v>-189</v>
      </c>
      <c r="AI147" s="16">
        <f t="shared" si="147"/>
        <v>-155</v>
      </c>
      <c r="AJ147" s="2">
        <v>-147</v>
      </c>
      <c r="AK147" s="2"/>
      <c r="AL147" s="34">
        <v>-39</v>
      </c>
      <c r="AM147" s="34">
        <v>-810</v>
      </c>
      <c r="AN147" s="2">
        <v>-54</v>
      </c>
      <c r="AO147" s="2">
        <v>-4172</v>
      </c>
      <c r="AP147" s="2">
        <v>-29</v>
      </c>
      <c r="AQ147" s="2">
        <v>-21</v>
      </c>
      <c r="AR147" s="2">
        <v>-33</v>
      </c>
      <c r="AS147" s="2">
        <v>-490</v>
      </c>
      <c r="AT147" s="2">
        <v>-328</v>
      </c>
      <c r="AU147" s="2">
        <v>-344</v>
      </c>
    </row>
    <row r="148" spans="3:48" x14ac:dyDescent="0.2">
      <c r="C148" s="1" t="s">
        <v>158</v>
      </c>
      <c r="T148" s="2">
        <v>3109</v>
      </c>
      <c r="U148" s="16">
        <f t="shared" si="140"/>
        <v>-49</v>
      </c>
      <c r="V148" s="2">
        <v>0</v>
      </c>
      <c r="W148" s="16">
        <f t="shared" si="141"/>
        <v>18</v>
      </c>
      <c r="X148" s="2">
        <v>0</v>
      </c>
      <c r="Y148" s="16">
        <f t="shared" si="142"/>
        <v>47</v>
      </c>
      <c r="Z148" s="2">
        <v>1</v>
      </c>
      <c r="AA148" s="16">
        <f t="shared" si="143"/>
        <v>0</v>
      </c>
      <c r="AB148" s="2">
        <v>74</v>
      </c>
      <c r="AC148" s="16">
        <f t="shared" si="144"/>
        <v>189</v>
      </c>
      <c r="AD148" s="2">
        <v>13</v>
      </c>
      <c r="AE148" s="16">
        <f t="shared" si="145"/>
        <v>235</v>
      </c>
      <c r="AF148" s="2">
        <v>154</v>
      </c>
      <c r="AG148" s="16">
        <f t="shared" si="146"/>
        <v>-3</v>
      </c>
      <c r="AH148" s="2">
        <v>18</v>
      </c>
      <c r="AI148" s="16">
        <f t="shared" si="147"/>
        <v>95</v>
      </c>
      <c r="AJ148" s="2">
        <v>14</v>
      </c>
      <c r="AK148" s="2"/>
      <c r="AL148" s="34">
        <v>622</v>
      </c>
      <c r="AM148" s="34">
        <v>2</v>
      </c>
      <c r="AN148" s="2">
        <v>3060</v>
      </c>
      <c r="AO148" s="2">
        <v>18</v>
      </c>
      <c r="AP148" s="2">
        <v>47</v>
      </c>
      <c r="AQ148" s="2">
        <v>1</v>
      </c>
      <c r="AR148" s="2">
        <v>263</v>
      </c>
      <c r="AS148" s="2">
        <v>248</v>
      </c>
      <c r="AT148" s="2">
        <v>151</v>
      </c>
      <c r="AU148" s="2">
        <v>113</v>
      </c>
    </row>
    <row r="149" spans="3:48" x14ac:dyDescent="0.2">
      <c r="C149" s="1" t="s">
        <v>119</v>
      </c>
      <c r="T149" s="2">
        <v>-68</v>
      </c>
      <c r="U149" s="16">
        <f t="shared" si="140"/>
        <v>-1906</v>
      </c>
      <c r="V149" s="2">
        <v>1991</v>
      </c>
      <c r="W149" s="16">
        <f t="shared" si="141"/>
        <v>-41</v>
      </c>
      <c r="X149" s="2">
        <v>46</v>
      </c>
      <c r="Y149" s="16">
        <f t="shared" si="142"/>
        <v>-7</v>
      </c>
      <c r="Z149" s="2">
        <v>18</v>
      </c>
      <c r="AA149" s="16">
        <f t="shared" si="143"/>
        <v>-4</v>
      </c>
      <c r="AB149" s="2">
        <v>-210</v>
      </c>
      <c r="AC149" s="16">
        <f t="shared" si="144"/>
        <v>-2</v>
      </c>
      <c r="AD149" s="2">
        <v>-206</v>
      </c>
      <c r="AE149" s="16">
        <f t="shared" si="145"/>
        <v>39</v>
      </c>
      <c r="AF149" s="2">
        <v>-265</v>
      </c>
      <c r="AG149" s="16">
        <f t="shared" si="146"/>
        <v>63</v>
      </c>
      <c r="AH149" s="2">
        <v>-57</v>
      </c>
      <c r="AI149" s="16">
        <f t="shared" si="147"/>
        <v>-16</v>
      </c>
      <c r="AJ149" s="2">
        <v>-87</v>
      </c>
      <c r="AK149" s="2"/>
      <c r="AL149" s="34">
        <v>-61</v>
      </c>
      <c r="AM149" s="34">
        <v>5</v>
      </c>
      <c r="AN149" s="2">
        <v>-1974</v>
      </c>
      <c r="AO149" s="2">
        <v>1950</v>
      </c>
      <c r="AP149" s="2">
        <v>39</v>
      </c>
      <c r="AQ149" s="2">
        <v>14</v>
      </c>
      <c r="AR149" s="2">
        <v>-212</v>
      </c>
      <c r="AS149" s="2">
        <v>-167</v>
      </c>
      <c r="AT149" s="2">
        <v>-202</v>
      </c>
      <c r="AU149" s="2">
        <v>-73</v>
      </c>
    </row>
    <row r="150" spans="3:48" ht="14.25" x14ac:dyDescent="0.35">
      <c r="C150" s="1" t="s">
        <v>118</v>
      </c>
      <c r="T150" s="4">
        <v>0</v>
      </c>
      <c r="U150" s="17">
        <f t="shared" si="140"/>
        <v>0</v>
      </c>
      <c r="V150" s="4">
        <v>0</v>
      </c>
      <c r="W150" s="17">
        <f t="shared" si="141"/>
        <v>0</v>
      </c>
      <c r="X150" s="4">
        <v>0</v>
      </c>
      <c r="Y150" s="17">
        <f t="shared" si="142"/>
        <v>0</v>
      </c>
      <c r="Z150" s="4">
        <v>0</v>
      </c>
      <c r="AA150" s="17">
        <f t="shared" si="143"/>
        <v>0</v>
      </c>
      <c r="AB150" s="4">
        <v>0</v>
      </c>
      <c r="AC150" s="17">
        <f t="shared" si="144"/>
        <v>0</v>
      </c>
      <c r="AD150" s="4">
        <v>0</v>
      </c>
      <c r="AE150" s="17">
        <f t="shared" si="145"/>
        <v>0</v>
      </c>
      <c r="AF150" s="4">
        <v>0</v>
      </c>
      <c r="AG150" s="17">
        <f t="shared" si="146"/>
        <v>0</v>
      </c>
      <c r="AH150" s="4">
        <v>0</v>
      </c>
      <c r="AI150" s="17">
        <f t="shared" si="147"/>
        <v>0</v>
      </c>
      <c r="AJ150" s="4">
        <v>0</v>
      </c>
      <c r="AK150" s="4"/>
      <c r="AL150" s="19">
        <v>0</v>
      </c>
      <c r="AM150" s="19">
        <v>0</v>
      </c>
      <c r="AN150" s="4">
        <v>0</v>
      </c>
      <c r="AO150" s="4">
        <v>0</v>
      </c>
      <c r="AP150" s="4">
        <v>0</v>
      </c>
      <c r="AQ150" s="4">
        <v>0</v>
      </c>
      <c r="AR150" s="4">
        <v>0</v>
      </c>
      <c r="AS150" s="4">
        <v>0</v>
      </c>
      <c r="AT150" s="4">
        <v>0</v>
      </c>
      <c r="AU150" s="4">
        <v>0</v>
      </c>
    </row>
    <row r="151" spans="3:48" x14ac:dyDescent="0.2">
      <c r="C151" s="9" t="s">
        <v>120</v>
      </c>
      <c r="T151" s="5">
        <f t="shared" ref="T151:AB151" si="148">SUM(T144:T150)</f>
        <v>2434</v>
      </c>
      <c r="U151" s="5">
        <f t="shared" si="148"/>
        <v>-2716</v>
      </c>
      <c r="V151" s="5">
        <f t="shared" si="148"/>
        <v>-2738</v>
      </c>
      <c r="W151" s="5">
        <f t="shared" si="148"/>
        <v>-756</v>
      </c>
      <c r="X151" s="5">
        <f t="shared" si="148"/>
        <v>-512</v>
      </c>
      <c r="Y151" s="5">
        <f t="shared" si="148"/>
        <v>-593</v>
      </c>
      <c r="Z151" s="5">
        <f t="shared" si="148"/>
        <v>-415</v>
      </c>
      <c r="AA151" s="5">
        <f t="shared" si="148"/>
        <v>-384</v>
      </c>
      <c r="AB151" s="5">
        <f t="shared" si="148"/>
        <v>-475</v>
      </c>
      <c r="AC151" s="5">
        <f t="shared" ref="AC151:AJ151" si="149">SUM(AC144:AC150)</f>
        <v>-263</v>
      </c>
      <c r="AD151" s="5">
        <f t="shared" si="149"/>
        <v>-607</v>
      </c>
      <c r="AE151" s="5">
        <f t="shared" si="149"/>
        <v>-681</v>
      </c>
      <c r="AF151" s="5">
        <f t="shared" si="149"/>
        <v>-815</v>
      </c>
      <c r="AG151" s="5">
        <f t="shared" si="149"/>
        <v>-889</v>
      </c>
      <c r="AH151" s="5">
        <f t="shared" si="149"/>
        <v>-985</v>
      </c>
      <c r="AI151" s="5">
        <f t="shared" si="149"/>
        <v>-863</v>
      </c>
      <c r="AJ151" s="5">
        <f t="shared" si="149"/>
        <v>-1008</v>
      </c>
      <c r="AK151" s="5"/>
      <c r="AL151" s="5">
        <f t="shared" ref="AL151:AT151" si="150">SUM(AL144:AL150)</f>
        <v>-1180</v>
      </c>
      <c r="AM151" s="5">
        <f t="shared" ref="AM151" si="151">SUM(AM144:AM150)</f>
        <v>-2195</v>
      </c>
      <c r="AN151" s="5">
        <f t="shared" si="150"/>
        <v>-282</v>
      </c>
      <c r="AO151" s="5">
        <f t="shared" si="150"/>
        <v>-3494</v>
      </c>
      <c r="AP151" s="5">
        <f t="shared" si="150"/>
        <v>-1105</v>
      </c>
      <c r="AQ151" s="5">
        <f t="shared" si="150"/>
        <v>-799</v>
      </c>
      <c r="AR151" s="5">
        <f t="shared" si="150"/>
        <v>-738</v>
      </c>
      <c r="AS151" s="5">
        <f t="shared" si="150"/>
        <v>-1288</v>
      </c>
      <c r="AT151" s="5">
        <f t="shared" si="150"/>
        <v>-1704</v>
      </c>
      <c r="AU151" s="5">
        <f t="shared" ref="AU151" si="152">SUM(AU144:AU150)</f>
        <v>-1848</v>
      </c>
    </row>
    <row r="152" spans="3:48" x14ac:dyDescent="0.2">
      <c r="C152" s="56" t="s">
        <v>206</v>
      </c>
      <c r="T152" s="5">
        <f>T143+T144</f>
        <v>1107</v>
      </c>
      <c r="U152" s="5">
        <f t="shared" ref="U152:AJ152" si="153">U143+U144</f>
        <v>341</v>
      </c>
      <c r="V152" s="5">
        <f t="shared" si="153"/>
        <v>1276</v>
      </c>
      <c r="W152" s="5">
        <f t="shared" si="153"/>
        <v>1468</v>
      </c>
      <c r="X152" s="5">
        <f t="shared" si="153"/>
        <v>1574</v>
      </c>
      <c r="Y152" s="5">
        <f t="shared" si="153"/>
        <v>1238</v>
      </c>
      <c r="Z152" s="5">
        <f t="shared" si="153"/>
        <v>1195</v>
      </c>
      <c r="AA152" s="5">
        <f t="shared" si="153"/>
        <v>384</v>
      </c>
      <c r="AB152" s="5">
        <f t="shared" si="153"/>
        <v>894</v>
      </c>
      <c r="AC152" s="5">
        <f t="shared" si="153"/>
        <v>1226</v>
      </c>
      <c r="AD152" s="5">
        <f t="shared" si="153"/>
        <v>1937</v>
      </c>
      <c r="AE152" s="5">
        <f t="shared" si="153"/>
        <v>1325</v>
      </c>
      <c r="AF152" s="5">
        <f t="shared" si="153"/>
        <v>1911</v>
      </c>
      <c r="AG152" s="5">
        <f t="shared" si="153"/>
        <v>2036</v>
      </c>
      <c r="AH152" s="5">
        <f t="shared" si="153"/>
        <v>2068</v>
      </c>
      <c r="AI152" s="5">
        <f t="shared" si="153"/>
        <v>2337</v>
      </c>
      <c r="AJ152" s="5">
        <f t="shared" si="153"/>
        <v>2462</v>
      </c>
      <c r="AK152" s="5"/>
      <c r="AL152" s="5">
        <f>AL143+AL146</f>
        <v>1926</v>
      </c>
      <c r="AM152" s="5">
        <f t="shared" ref="AM152:AU152" si="154">AM143+AM146</f>
        <v>1779</v>
      </c>
      <c r="AN152" s="5">
        <f t="shared" si="154"/>
        <v>2012</v>
      </c>
      <c r="AO152" s="5">
        <f t="shared" si="154"/>
        <v>2291</v>
      </c>
      <c r="AP152" s="5">
        <f t="shared" si="154"/>
        <v>2450</v>
      </c>
      <c r="AQ152" s="5">
        <f t="shared" si="154"/>
        <v>1417</v>
      </c>
      <c r="AR152" s="5">
        <f t="shared" si="154"/>
        <v>2049</v>
      </c>
      <c r="AS152" s="5">
        <f t="shared" si="154"/>
        <v>3047</v>
      </c>
      <c r="AT152" s="5">
        <f t="shared" si="154"/>
        <v>3447</v>
      </c>
      <c r="AU152" s="5">
        <f t="shared" si="154"/>
        <v>3689</v>
      </c>
      <c r="AV152" s="57">
        <f>((AU152/AL152)^(1/(2024-2015)))-1</f>
        <v>7.4883446579879109E-2</v>
      </c>
    </row>
    <row r="153" spans="3:48" x14ac:dyDescent="0.2">
      <c r="C153" s="9"/>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row>
    <row r="154" spans="3:48" x14ac:dyDescent="0.2">
      <c r="C154" s="1" t="s">
        <v>121</v>
      </c>
      <c r="T154" s="2">
        <v>0</v>
      </c>
      <c r="U154" s="16">
        <f t="shared" ref="U154:U162" si="155">AN154-T154</f>
        <v>0</v>
      </c>
      <c r="V154" s="2">
        <v>0</v>
      </c>
      <c r="W154" s="16">
        <f t="shared" ref="W154:W162" si="156">AO154-V154</f>
        <v>0</v>
      </c>
      <c r="X154" s="2">
        <v>1</v>
      </c>
      <c r="Y154" s="16">
        <f t="shared" ref="Y154:Y162" si="157">AP154-X154</f>
        <v>1</v>
      </c>
      <c r="Z154" s="2">
        <v>0</v>
      </c>
      <c r="AA154" s="16">
        <f t="shared" ref="AA154:AA162" si="158">AQ154-Z154</f>
        <v>0</v>
      </c>
      <c r="AB154" s="2">
        <v>0</v>
      </c>
      <c r="AC154" s="16">
        <f t="shared" ref="AC154:AC162" si="159">AR154-AB154</f>
        <v>1</v>
      </c>
      <c r="AD154" s="2">
        <v>0</v>
      </c>
      <c r="AE154" s="2"/>
      <c r="AF154" s="2">
        <v>2</v>
      </c>
      <c r="AG154" s="16">
        <f t="shared" ref="AG154:AG162" si="160">AT154-AF154</f>
        <v>0</v>
      </c>
      <c r="AH154" s="2">
        <v>0</v>
      </c>
      <c r="AI154" s="16">
        <f t="shared" ref="AI154:AI162" si="161">AU154-AH154</f>
        <v>0</v>
      </c>
      <c r="AJ154" s="2">
        <v>0</v>
      </c>
      <c r="AK154" s="2"/>
      <c r="AL154" s="2">
        <v>0</v>
      </c>
      <c r="AM154" s="2">
        <v>0</v>
      </c>
      <c r="AN154" s="2">
        <v>0</v>
      </c>
      <c r="AO154" s="2">
        <v>0</v>
      </c>
      <c r="AP154" s="2">
        <v>2</v>
      </c>
      <c r="AQ154" s="2">
        <v>0</v>
      </c>
      <c r="AR154" s="2">
        <v>1</v>
      </c>
      <c r="AS154" s="2">
        <v>0</v>
      </c>
      <c r="AT154" s="2">
        <v>2</v>
      </c>
      <c r="AU154" s="2">
        <v>0</v>
      </c>
    </row>
    <row r="155" spans="3:48" x14ac:dyDescent="0.2">
      <c r="C155" s="1" t="s">
        <v>122</v>
      </c>
      <c r="T155" s="2">
        <v>-3</v>
      </c>
      <c r="U155" s="16">
        <f t="shared" si="155"/>
        <v>-1</v>
      </c>
      <c r="V155" s="2">
        <v>-1</v>
      </c>
      <c r="W155" s="16">
        <f t="shared" si="156"/>
        <v>0</v>
      </c>
      <c r="X155" s="2">
        <v>-9</v>
      </c>
      <c r="Y155" s="16">
        <f t="shared" si="157"/>
        <v>0</v>
      </c>
      <c r="Z155" s="2">
        <v>0</v>
      </c>
      <c r="AA155" s="16">
        <f t="shared" si="158"/>
        <v>0</v>
      </c>
      <c r="AB155" s="2">
        <v>0</v>
      </c>
      <c r="AC155" s="16">
        <f t="shared" si="159"/>
        <v>0</v>
      </c>
      <c r="AD155" s="2">
        <v>0</v>
      </c>
      <c r="AE155" s="2"/>
      <c r="AF155" s="2">
        <v>0</v>
      </c>
      <c r="AG155" s="16">
        <f t="shared" si="160"/>
        <v>0</v>
      </c>
      <c r="AH155" s="2">
        <v>0</v>
      </c>
      <c r="AI155" s="16">
        <f t="shared" si="161"/>
        <v>0</v>
      </c>
      <c r="AJ155" s="2">
        <v>0</v>
      </c>
      <c r="AK155" s="2"/>
      <c r="AL155" s="2">
        <v>-5</v>
      </c>
      <c r="AM155" s="2">
        <v>-9</v>
      </c>
      <c r="AN155" s="2">
        <v>-4</v>
      </c>
      <c r="AO155" s="2">
        <v>-1</v>
      </c>
      <c r="AP155" s="2">
        <v>-9</v>
      </c>
      <c r="AQ155" s="2">
        <v>0</v>
      </c>
      <c r="AR155" s="2">
        <v>0</v>
      </c>
      <c r="AS155" s="2">
        <v>0</v>
      </c>
      <c r="AT155" s="2">
        <v>0</v>
      </c>
      <c r="AU155" s="2">
        <v>0</v>
      </c>
    </row>
    <row r="156" spans="3:48" x14ac:dyDescent="0.2">
      <c r="C156" s="1" t="s">
        <v>123</v>
      </c>
      <c r="T156" s="2">
        <v>-453</v>
      </c>
      <c r="U156" s="16">
        <f t="shared" si="155"/>
        <v>4</v>
      </c>
      <c r="V156" s="2">
        <v>-117</v>
      </c>
      <c r="W156" s="16">
        <f t="shared" si="156"/>
        <v>-422</v>
      </c>
      <c r="X156" s="2">
        <v>-422</v>
      </c>
      <c r="Y156" s="16">
        <f t="shared" si="157"/>
        <v>-877</v>
      </c>
      <c r="Z156" s="2">
        <v>91</v>
      </c>
      <c r="AA156" s="16">
        <f t="shared" si="158"/>
        <v>5</v>
      </c>
      <c r="AB156" s="2">
        <v>-77</v>
      </c>
      <c r="AC156" s="16">
        <f t="shared" si="159"/>
        <v>4</v>
      </c>
      <c r="AD156" s="2">
        <v>-4</v>
      </c>
      <c r="AE156" s="16">
        <f t="shared" ref="AE156:AE162" si="162">AS156-AD156</f>
        <v>-266</v>
      </c>
      <c r="AF156" s="2">
        <v>-931</v>
      </c>
      <c r="AG156" s="16">
        <f t="shared" si="160"/>
        <v>-604</v>
      </c>
      <c r="AH156" s="2">
        <v>-574</v>
      </c>
      <c r="AI156" s="16">
        <f t="shared" si="161"/>
        <v>-746</v>
      </c>
      <c r="AJ156" s="2">
        <v>-707</v>
      </c>
      <c r="AK156" s="2"/>
      <c r="AL156" s="2">
        <v>0</v>
      </c>
      <c r="AM156" s="2">
        <v>-38</v>
      </c>
      <c r="AN156" s="2">
        <v>-449</v>
      </c>
      <c r="AO156" s="2">
        <v>-539</v>
      </c>
      <c r="AP156" s="2">
        <v>-1299</v>
      </c>
      <c r="AQ156" s="2">
        <v>96</v>
      </c>
      <c r="AR156" s="2">
        <v>-73</v>
      </c>
      <c r="AS156" s="2">
        <v>-270</v>
      </c>
      <c r="AT156" s="2">
        <v>-1535</v>
      </c>
      <c r="AU156" s="2">
        <v>-1320</v>
      </c>
    </row>
    <row r="157" spans="3:48" x14ac:dyDescent="0.2">
      <c r="C157" s="1" t="s">
        <v>124</v>
      </c>
      <c r="T157" s="2">
        <v>-17</v>
      </c>
      <c r="U157" s="16">
        <f t="shared" si="155"/>
        <v>-49</v>
      </c>
      <c r="V157" s="2">
        <v>-477</v>
      </c>
      <c r="W157" s="16">
        <f t="shared" si="156"/>
        <v>-1418</v>
      </c>
      <c r="X157" s="2">
        <v>-731</v>
      </c>
      <c r="Y157" s="16">
        <f t="shared" si="157"/>
        <v>-144</v>
      </c>
      <c r="Z157" s="2">
        <v>-73</v>
      </c>
      <c r="AA157" s="16">
        <f t="shared" si="158"/>
        <v>-705</v>
      </c>
      <c r="AB157" s="2">
        <v>-1293</v>
      </c>
      <c r="AC157" s="16">
        <f t="shared" si="159"/>
        <v>-74</v>
      </c>
      <c r="AD157" s="2">
        <v>-539</v>
      </c>
      <c r="AE157" s="16">
        <f t="shared" si="162"/>
        <v>-115</v>
      </c>
      <c r="AF157" s="2">
        <v>-243</v>
      </c>
      <c r="AG157" s="16">
        <f t="shared" si="160"/>
        <v>-68</v>
      </c>
      <c r="AH157" s="2">
        <v>-744</v>
      </c>
      <c r="AI157" s="16">
        <f t="shared" si="161"/>
        <v>-119</v>
      </c>
      <c r="AJ157" s="2">
        <v>-148</v>
      </c>
      <c r="AK157" s="2"/>
      <c r="AL157" s="2">
        <v>-79</v>
      </c>
      <c r="AM157" s="2">
        <v>-73</v>
      </c>
      <c r="AN157" s="2">
        <v>-66</v>
      </c>
      <c r="AO157" s="2">
        <v>-1895</v>
      </c>
      <c r="AP157" s="2">
        <v>-875</v>
      </c>
      <c r="AQ157" s="2">
        <v>-778</v>
      </c>
      <c r="AR157" s="2">
        <v>-1367</v>
      </c>
      <c r="AS157" s="2">
        <v>-654</v>
      </c>
      <c r="AT157" s="2">
        <v>-311</v>
      </c>
      <c r="AU157" s="2">
        <v>-863</v>
      </c>
    </row>
    <row r="158" spans="3:48" x14ac:dyDescent="0.2">
      <c r="C158" s="1" t="s">
        <v>125</v>
      </c>
      <c r="T158" s="2">
        <v>1012</v>
      </c>
      <c r="U158" s="16">
        <f t="shared" si="155"/>
        <v>46</v>
      </c>
      <c r="V158" s="2">
        <v>702</v>
      </c>
      <c r="W158" s="16">
        <f t="shared" si="156"/>
        <v>778</v>
      </c>
      <c r="X158" s="2">
        <v>22</v>
      </c>
      <c r="Y158" s="16">
        <f t="shared" si="157"/>
        <v>2</v>
      </c>
      <c r="Z158" s="2">
        <v>1373</v>
      </c>
      <c r="AA158" s="16">
        <f t="shared" si="158"/>
        <v>222</v>
      </c>
      <c r="AB158" s="2">
        <v>2151</v>
      </c>
      <c r="AC158" s="16">
        <f t="shared" si="159"/>
        <v>-5</v>
      </c>
      <c r="AD158" s="2">
        <v>514</v>
      </c>
      <c r="AE158" s="16">
        <f t="shared" si="162"/>
        <v>-4</v>
      </c>
      <c r="AF158" s="2">
        <v>9</v>
      </c>
      <c r="AG158" s="16">
        <f t="shared" si="160"/>
        <v>8</v>
      </c>
      <c r="AH158" s="2">
        <v>11</v>
      </c>
      <c r="AI158" s="16">
        <f t="shared" si="161"/>
        <v>45</v>
      </c>
      <c r="AJ158" s="2">
        <v>14</v>
      </c>
      <c r="AK158" s="2"/>
      <c r="AL158" s="2">
        <v>12</v>
      </c>
      <c r="AM158" s="2">
        <v>682</v>
      </c>
      <c r="AN158" s="2">
        <v>1058</v>
      </c>
      <c r="AO158" s="2">
        <v>1480</v>
      </c>
      <c r="AP158" s="2">
        <v>24</v>
      </c>
      <c r="AQ158" s="2">
        <v>1595</v>
      </c>
      <c r="AR158" s="2">
        <v>2146</v>
      </c>
      <c r="AS158" s="2">
        <v>510</v>
      </c>
      <c r="AT158" s="2">
        <v>17</v>
      </c>
      <c r="AU158" s="2">
        <v>56</v>
      </c>
    </row>
    <row r="159" spans="3:48" x14ac:dyDescent="0.2">
      <c r="C159" s="1" t="s">
        <v>126</v>
      </c>
      <c r="T159" s="2">
        <v>-11</v>
      </c>
      <c r="U159" s="16">
        <f t="shared" si="155"/>
        <v>-14</v>
      </c>
      <c r="V159" s="2">
        <v>1</v>
      </c>
      <c r="W159" s="16">
        <f t="shared" si="156"/>
        <v>-11</v>
      </c>
      <c r="X159" s="2">
        <v>-9</v>
      </c>
      <c r="Y159" s="16">
        <f t="shared" si="157"/>
        <v>-18</v>
      </c>
      <c r="Z159" s="2">
        <v>3</v>
      </c>
      <c r="AA159" s="16">
        <f t="shared" si="158"/>
        <v>-13</v>
      </c>
      <c r="AB159" s="2">
        <v>-8</v>
      </c>
      <c r="AC159" s="16">
        <f t="shared" si="159"/>
        <v>-4</v>
      </c>
      <c r="AD159" s="2">
        <v>-17</v>
      </c>
      <c r="AE159" s="16">
        <f t="shared" si="162"/>
        <v>0</v>
      </c>
      <c r="AF159" s="2">
        <v>-6</v>
      </c>
      <c r="AG159" s="16">
        <f t="shared" si="160"/>
        <v>1</v>
      </c>
      <c r="AH159" s="2">
        <v>-9</v>
      </c>
      <c r="AI159" s="16">
        <f t="shared" si="161"/>
        <v>-12</v>
      </c>
      <c r="AJ159" s="2">
        <v>-13</v>
      </c>
      <c r="AK159" s="2"/>
      <c r="AL159" s="2">
        <v>-14</v>
      </c>
      <c r="AM159" s="2">
        <v>-24</v>
      </c>
      <c r="AN159" s="2">
        <v>-25</v>
      </c>
      <c r="AO159" s="2">
        <v>-10</v>
      </c>
      <c r="AP159" s="2">
        <v>-27</v>
      </c>
      <c r="AQ159" s="2">
        <v>-10</v>
      </c>
      <c r="AR159" s="2">
        <v>-12</v>
      </c>
      <c r="AS159" s="2">
        <v>-17</v>
      </c>
      <c r="AT159" s="2">
        <v>-5</v>
      </c>
      <c r="AU159" s="2">
        <v>-21</v>
      </c>
    </row>
    <row r="160" spans="3:48" x14ac:dyDescent="0.2">
      <c r="C160" s="1" t="s">
        <v>127</v>
      </c>
      <c r="T160" s="2">
        <v>966</v>
      </c>
      <c r="U160" s="16">
        <f t="shared" si="155"/>
        <v>-517</v>
      </c>
      <c r="V160" s="2">
        <v>-601</v>
      </c>
      <c r="W160" s="16">
        <f t="shared" si="156"/>
        <v>129</v>
      </c>
      <c r="X160" s="2">
        <v>883</v>
      </c>
      <c r="Y160" s="16">
        <f t="shared" si="157"/>
        <v>378</v>
      </c>
      <c r="Z160" s="2">
        <v>-547</v>
      </c>
      <c r="AA160" s="16">
        <f t="shared" si="158"/>
        <v>-284</v>
      </c>
      <c r="AB160" s="2">
        <v>-1005</v>
      </c>
      <c r="AC160" s="16">
        <f t="shared" si="159"/>
        <v>230</v>
      </c>
      <c r="AD160" s="2">
        <v>-249</v>
      </c>
      <c r="AE160" s="16">
        <f t="shared" si="162"/>
        <v>90</v>
      </c>
      <c r="AF160" s="2">
        <v>-37</v>
      </c>
      <c r="AG160" s="16">
        <f t="shared" si="160"/>
        <v>-124</v>
      </c>
      <c r="AH160" s="2">
        <v>49</v>
      </c>
      <c r="AI160" s="16">
        <f t="shared" si="161"/>
        <v>-4</v>
      </c>
      <c r="AJ160" s="2">
        <v>756</v>
      </c>
      <c r="AK160" s="2"/>
      <c r="AL160" s="2">
        <v>-631</v>
      </c>
      <c r="AM160" s="2">
        <v>10</v>
      </c>
      <c r="AN160" s="2">
        <v>449</v>
      </c>
      <c r="AO160" s="2">
        <v>-472</v>
      </c>
      <c r="AP160" s="2">
        <v>1261</v>
      </c>
      <c r="AQ160" s="2">
        <v>-831</v>
      </c>
      <c r="AR160" s="2">
        <v>-775</v>
      </c>
      <c r="AS160" s="2">
        <v>-159</v>
      </c>
      <c r="AT160" s="2">
        <v>-161</v>
      </c>
      <c r="AU160" s="2">
        <v>45</v>
      </c>
    </row>
    <row r="161" spans="3:47" x14ac:dyDescent="0.2">
      <c r="C161" s="41" t="s">
        <v>128</v>
      </c>
      <c r="D161" s="41"/>
      <c r="E161" s="41"/>
      <c r="F161" s="41"/>
      <c r="G161" s="41"/>
      <c r="H161" s="41"/>
      <c r="I161" s="41"/>
      <c r="J161" s="41"/>
      <c r="K161" s="41"/>
      <c r="L161" s="41"/>
      <c r="M161" s="41"/>
      <c r="N161" s="41"/>
      <c r="O161" s="41"/>
      <c r="P161" s="41"/>
      <c r="Q161" s="41"/>
      <c r="R161" s="41"/>
      <c r="S161" s="41"/>
      <c r="T161" s="44">
        <v>-340</v>
      </c>
      <c r="U161" s="45">
        <f t="shared" si="155"/>
        <v>0</v>
      </c>
      <c r="V161" s="44">
        <v>-695</v>
      </c>
      <c r="W161" s="45">
        <f t="shared" si="156"/>
        <v>0</v>
      </c>
      <c r="X161" s="44">
        <v>-785</v>
      </c>
      <c r="Y161" s="45">
        <f t="shared" si="157"/>
        <v>0</v>
      </c>
      <c r="Z161" s="44">
        <v>0</v>
      </c>
      <c r="AA161" s="45">
        <f t="shared" si="158"/>
        <v>0</v>
      </c>
      <c r="AB161" s="44">
        <v>-183</v>
      </c>
      <c r="AC161" s="45">
        <f t="shared" si="159"/>
        <v>0</v>
      </c>
      <c r="AD161" s="44">
        <v>-213</v>
      </c>
      <c r="AE161" s="45">
        <f t="shared" si="162"/>
        <v>0</v>
      </c>
      <c r="AF161" s="44">
        <v>-564</v>
      </c>
      <c r="AG161" s="45">
        <f t="shared" si="160"/>
        <v>0</v>
      </c>
      <c r="AH161" s="44">
        <v>-911</v>
      </c>
      <c r="AI161" s="45">
        <f t="shared" si="161"/>
        <v>0</v>
      </c>
      <c r="AJ161" s="44">
        <v>-1216</v>
      </c>
      <c r="AK161" s="44"/>
      <c r="AL161" s="44">
        <v>-517</v>
      </c>
      <c r="AM161" s="44">
        <v>-612</v>
      </c>
      <c r="AN161" s="44">
        <v>-340</v>
      </c>
      <c r="AO161" s="44">
        <v>-695</v>
      </c>
      <c r="AP161" s="44">
        <v>-785</v>
      </c>
      <c r="AQ161" s="44">
        <v>0</v>
      </c>
      <c r="AR161" s="44">
        <v>-183</v>
      </c>
      <c r="AS161" s="44">
        <v>-213</v>
      </c>
      <c r="AT161" s="44">
        <v>-564</v>
      </c>
      <c r="AU161" s="44">
        <v>-911</v>
      </c>
    </row>
    <row r="162" spans="3:47" ht="14.25" x14ac:dyDescent="0.35">
      <c r="C162" s="1" t="s">
        <v>129</v>
      </c>
      <c r="T162" s="4">
        <v>-26</v>
      </c>
      <c r="U162" s="17">
        <f t="shared" si="155"/>
        <v>-6</v>
      </c>
      <c r="V162" s="4">
        <v>-26</v>
      </c>
      <c r="W162" s="17">
        <f t="shared" si="156"/>
        <v>0</v>
      </c>
      <c r="X162" s="4">
        <v>-30</v>
      </c>
      <c r="Y162" s="17">
        <f t="shared" si="157"/>
        <v>-2</v>
      </c>
      <c r="Z162" s="4">
        <v>-3</v>
      </c>
      <c r="AA162" s="17">
        <f t="shared" si="158"/>
        <v>-1</v>
      </c>
      <c r="AB162" s="4">
        <v>-5</v>
      </c>
      <c r="AC162" s="17">
        <f t="shared" si="159"/>
        <v>0</v>
      </c>
      <c r="AD162" s="4">
        <v>-12</v>
      </c>
      <c r="AE162" s="17">
        <f t="shared" si="162"/>
        <v>0</v>
      </c>
      <c r="AF162" s="4">
        <v>-19</v>
      </c>
      <c r="AG162" s="17">
        <f t="shared" si="160"/>
        <v>0</v>
      </c>
      <c r="AH162" s="4">
        <v>-54</v>
      </c>
      <c r="AI162" s="17">
        <f t="shared" si="161"/>
        <v>-5</v>
      </c>
      <c r="AJ162" s="4">
        <v>-53</v>
      </c>
      <c r="AK162" s="4"/>
      <c r="AL162" s="4">
        <v>-23</v>
      </c>
      <c r="AM162" s="4">
        <v>-30</v>
      </c>
      <c r="AN162" s="4">
        <v>-32</v>
      </c>
      <c r="AO162" s="4">
        <v>-26</v>
      </c>
      <c r="AP162" s="4">
        <v>-32</v>
      </c>
      <c r="AQ162" s="4">
        <v>-4</v>
      </c>
      <c r="AR162" s="4">
        <v>-5</v>
      </c>
      <c r="AS162" s="4">
        <v>-12</v>
      </c>
      <c r="AT162" s="4">
        <v>-19</v>
      </c>
      <c r="AU162" s="4">
        <v>-59</v>
      </c>
    </row>
    <row r="163" spans="3:47" x14ac:dyDescent="0.2">
      <c r="C163" s="9" t="s">
        <v>130</v>
      </c>
      <c r="T163" s="5">
        <f t="shared" ref="T163:AB163" si="163">SUM(T154:T162)</f>
        <v>1128</v>
      </c>
      <c r="U163" s="5">
        <f t="shared" si="163"/>
        <v>-537</v>
      </c>
      <c r="V163" s="5">
        <f t="shared" si="163"/>
        <v>-1214</v>
      </c>
      <c r="W163" s="5">
        <f t="shared" si="163"/>
        <v>-944</v>
      </c>
      <c r="X163" s="5">
        <f t="shared" si="163"/>
        <v>-1080</v>
      </c>
      <c r="Y163" s="5">
        <f t="shared" si="163"/>
        <v>-660</v>
      </c>
      <c r="Z163" s="5">
        <f t="shared" si="163"/>
        <v>844</v>
      </c>
      <c r="AA163" s="5">
        <f t="shared" si="163"/>
        <v>-776</v>
      </c>
      <c r="AB163" s="5">
        <f t="shared" si="163"/>
        <v>-420</v>
      </c>
      <c r="AC163" s="5">
        <f t="shared" ref="AC163:AJ163" si="164">SUM(AC154:AC162)</f>
        <v>152</v>
      </c>
      <c r="AD163" s="5">
        <f t="shared" si="164"/>
        <v>-520</v>
      </c>
      <c r="AE163" s="5">
        <f t="shared" si="164"/>
        <v>-295</v>
      </c>
      <c r="AF163" s="5">
        <f t="shared" si="164"/>
        <v>-1789</v>
      </c>
      <c r="AG163" s="5">
        <f t="shared" si="164"/>
        <v>-787</v>
      </c>
      <c r="AH163" s="5">
        <f t="shared" si="164"/>
        <v>-2232</v>
      </c>
      <c r="AI163" s="5">
        <f t="shared" si="164"/>
        <v>-841</v>
      </c>
      <c r="AJ163" s="5">
        <f t="shared" si="164"/>
        <v>-1367</v>
      </c>
      <c r="AK163" s="5"/>
      <c r="AL163" s="5">
        <f t="shared" ref="AL163:AM163" si="165">SUM(AL154:AL162)</f>
        <v>-1257</v>
      </c>
      <c r="AM163" s="5">
        <f t="shared" si="165"/>
        <v>-94</v>
      </c>
      <c r="AN163" s="5">
        <f t="shared" ref="AN163:AT163" si="166">SUM(AN154:AN162)</f>
        <v>591</v>
      </c>
      <c r="AO163" s="5">
        <f t="shared" si="166"/>
        <v>-2158</v>
      </c>
      <c r="AP163" s="5">
        <f t="shared" si="166"/>
        <v>-1740</v>
      </c>
      <c r="AQ163" s="5">
        <f t="shared" si="166"/>
        <v>68</v>
      </c>
      <c r="AR163" s="5">
        <f t="shared" si="166"/>
        <v>-268</v>
      </c>
      <c r="AS163" s="5">
        <f t="shared" si="166"/>
        <v>-815</v>
      </c>
      <c r="AT163" s="5">
        <f t="shared" si="166"/>
        <v>-2576</v>
      </c>
      <c r="AU163" s="5">
        <f t="shared" ref="AU163" si="167">SUM(AU154:AU162)</f>
        <v>-3073</v>
      </c>
    </row>
    <row r="164" spans="3:47" ht="14.25" x14ac:dyDescent="0.35">
      <c r="C164" s="1" t="s">
        <v>188</v>
      </c>
      <c r="T164" s="4">
        <f>14-52-139-17</f>
        <v>-194</v>
      </c>
      <c r="U164" s="17">
        <f>AN164-T164</f>
        <v>-59</v>
      </c>
      <c r="V164" s="4">
        <v>-2</v>
      </c>
      <c r="W164" s="17">
        <f>AO164-V164</f>
        <v>-1</v>
      </c>
      <c r="X164" s="4">
        <v>1</v>
      </c>
      <c r="Y164" s="17">
        <f>AP164-X164</f>
        <v>1</v>
      </c>
      <c r="Z164" s="4">
        <v>-10</v>
      </c>
      <c r="AA164" s="17">
        <f>AQ164-Z164</f>
        <v>-10</v>
      </c>
      <c r="AB164" s="4">
        <v>45</v>
      </c>
      <c r="AC164" s="17">
        <f>AR164-AB164</f>
        <v>25</v>
      </c>
      <c r="AD164" s="4">
        <v>16</v>
      </c>
      <c r="AE164" s="17">
        <f>AS164-AD164</f>
        <v>-18</v>
      </c>
      <c r="AF164" s="4">
        <v>1</v>
      </c>
      <c r="AG164" s="17">
        <f>AT164-AF164</f>
        <v>-2</v>
      </c>
      <c r="AH164" s="4">
        <v>20</v>
      </c>
      <c r="AI164" s="17">
        <f>AU164-AH164</f>
        <v>6</v>
      </c>
      <c r="AJ164" s="4">
        <v>-54</v>
      </c>
      <c r="AK164" s="4"/>
      <c r="AL164" s="35">
        <f>121-88-21+6</f>
        <v>18</v>
      </c>
      <c r="AM164" s="35">
        <f>171-111-8+15</f>
        <v>67</v>
      </c>
      <c r="AN164" s="29">
        <f>-17+14-52-198</f>
        <v>-253</v>
      </c>
      <c r="AO164" s="4">
        <v>-3</v>
      </c>
      <c r="AP164" s="4">
        <v>2</v>
      </c>
      <c r="AQ164" s="4">
        <v>-20</v>
      </c>
      <c r="AR164" s="4">
        <v>70</v>
      </c>
      <c r="AS164" s="4">
        <v>-2</v>
      </c>
      <c r="AT164" s="4">
        <v>-1</v>
      </c>
      <c r="AU164" s="4">
        <v>26</v>
      </c>
    </row>
    <row r="165" spans="3:47" x14ac:dyDescent="0.2">
      <c r="C165" s="9" t="s">
        <v>131</v>
      </c>
      <c r="T165" s="5">
        <f t="shared" ref="T165:AB165" si="168">T143+T151+T163+T164</f>
        <v>4645</v>
      </c>
      <c r="U165" s="5">
        <f t="shared" si="168"/>
        <v>-2792</v>
      </c>
      <c r="V165" s="5">
        <f t="shared" si="168"/>
        <v>-2534</v>
      </c>
      <c r="W165" s="5">
        <f t="shared" si="168"/>
        <v>-50</v>
      </c>
      <c r="X165" s="5">
        <f t="shared" si="168"/>
        <v>140</v>
      </c>
      <c r="Y165" s="5">
        <f t="shared" si="168"/>
        <v>162</v>
      </c>
      <c r="Z165" s="5">
        <f t="shared" si="168"/>
        <v>1741</v>
      </c>
      <c r="AA165" s="5">
        <f t="shared" si="168"/>
        <v>-626</v>
      </c>
      <c r="AB165" s="5">
        <f t="shared" si="168"/>
        <v>180</v>
      </c>
      <c r="AC165" s="5">
        <f t="shared" ref="AC165:AJ165" si="169">AC143+AC151+AC163+AC164</f>
        <v>1320</v>
      </c>
      <c r="AD165" s="5">
        <f t="shared" si="169"/>
        <v>961</v>
      </c>
      <c r="AE165" s="5">
        <f t="shared" si="169"/>
        <v>479</v>
      </c>
      <c r="AF165" s="5">
        <f t="shared" si="169"/>
        <v>-540</v>
      </c>
      <c r="AG165" s="5">
        <f t="shared" si="169"/>
        <v>529</v>
      </c>
      <c r="AH165" s="5">
        <f t="shared" si="169"/>
        <v>-977</v>
      </c>
      <c r="AI165" s="5">
        <f t="shared" si="169"/>
        <v>815</v>
      </c>
      <c r="AJ165" s="5">
        <f t="shared" si="169"/>
        <v>193</v>
      </c>
      <c r="AK165" s="5"/>
      <c r="AL165" s="5">
        <f t="shared" ref="AL165:AR165" si="170">AL143+AL151+AL163+AL164</f>
        <v>212</v>
      </c>
      <c r="AM165" s="5">
        <f t="shared" ref="AM165" si="171">AM143+AM151+AM163+AM164</f>
        <v>261</v>
      </c>
      <c r="AN165" s="5">
        <f t="shared" si="170"/>
        <v>2808</v>
      </c>
      <c r="AO165" s="5">
        <f t="shared" si="170"/>
        <v>-2584</v>
      </c>
      <c r="AP165" s="5">
        <f t="shared" si="170"/>
        <v>302</v>
      </c>
      <c r="AQ165" s="5">
        <f t="shared" si="170"/>
        <v>1115</v>
      </c>
      <c r="AR165" s="5">
        <f t="shared" si="170"/>
        <v>1500</v>
      </c>
      <c r="AS165" s="5">
        <f t="shared" ref="AS165:AU165" si="172">AS143+AS151+AS163+AS164</f>
        <v>1440</v>
      </c>
      <c r="AT165" s="5">
        <f>AT143+AT151+AT163+AT164</f>
        <v>-11</v>
      </c>
      <c r="AU165" s="5">
        <f t="shared" si="172"/>
        <v>-162</v>
      </c>
    </row>
    <row r="166" spans="3:47" x14ac:dyDescent="0.2">
      <c r="C166" s="1" t="s">
        <v>132</v>
      </c>
      <c r="T166" s="2">
        <f>1926+180</f>
        <v>2106</v>
      </c>
      <c r="U166" s="10">
        <f>T167</f>
        <v>6751</v>
      </c>
      <c r="V166" s="2">
        <v>4914</v>
      </c>
      <c r="W166" s="10">
        <f>V167</f>
        <v>2380</v>
      </c>
      <c r="X166" s="2">
        <v>2330</v>
      </c>
      <c r="Y166" s="10">
        <f>X167</f>
        <v>2470</v>
      </c>
      <c r="Z166" s="2">
        <v>2632</v>
      </c>
      <c r="AA166" s="10">
        <f>Z167</f>
        <v>4373</v>
      </c>
      <c r="AB166" s="2">
        <v>3747</v>
      </c>
      <c r="AC166" s="10">
        <f>AB167</f>
        <v>3927</v>
      </c>
      <c r="AD166" s="2">
        <v>5247</v>
      </c>
      <c r="AE166" s="10">
        <f>AD167</f>
        <v>6208</v>
      </c>
      <c r="AF166" s="2">
        <v>6687</v>
      </c>
      <c r="AG166" s="10">
        <f>AF167</f>
        <v>6147</v>
      </c>
      <c r="AH166" s="2">
        <v>6676</v>
      </c>
      <c r="AI166" s="10">
        <f>AH167</f>
        <v>5699</v>
      </c>
      <c r="AJ166" s="2">
        <v>6514</v>
      </c>
      <c r="AK166" s="2"/>
      <c r="AL166" s="2">
        <v>1633</v>
      </c>
      <c r="AM166" s="16">
        <f>1659+186</f>
        <v>1845</v>
      </c>
      <c r="AN166" s="2">
        <v>1926</v>
      </c>
      <c r="AO166" s="2">
        <v>4914</v>
      </c>
      <c r="AP166" s="2">
        <v>2330</v>
      </c>
      <c r="AQ166" s="2">
        <v>2632</v>
      </c>
      <c r="AR166" s="2">
        <v>3747</v>
      </c>
      <c r="AS166" s="2">
        <v>5247</v>
      </c>
      <c r="AT166" s="2">
        <v>6687</v>
      </c>
      <c r="AU166" s="2">
        <v>6676</v>
      </c>
    </row>
    <row r="167" spans="3:47" x14ac:dyDescent="0.2">
      <c r="C167" s="1" t="s">
        <v>133</v>
      </c>
      <c r="T167" s="5">
        <f t="shared" ref="T167:AB167" si="173">T166+T165</f>
        <v>6751</v>
      </c>
      <c r="U167" s="5">
        <f t="shared" si="173"/>
        <v>3959</v>
      </c>
      <c r="V167" s="5">
        <f t="shared" si="173"/>
        <v>2380</v>
      </c>
      <c r="W167" s="5">
        <f t="shared" si="173"/>
        <v>2330</v>
      </c>
      <c r="X167" s="5">
        <f t="shared" si="173"/>
        <v>2470</v>
      </c>
      <c r="Y167" s="5">
        <f t="shared" si="173"/>
        <v>2632</v>
      </c>
      <c r="Z167" s="5">
        <f t="shared" si="173"/>
        <v>4373</v>
      </c>
      <c r="AA167" s="5">
        <f t="shared" si="173"/>
        <v>3747</v>
      </c>
      <c r="AB167" s="5">
        <f t="shared" si="173"/>
        <v>3927</v>
      </c>
      <c r="AC167" s="5">
        <f t="shared" ref="AC167:AJ167" si="174">AC166+AC165</f>
        <v>5247</v>
      </c>
      <c r="AD167" s="5">
        <f t="shared" si="174"/>
        <v>6208</v>
      </c>
      <c r="AE167" s="5">
        <f t="shared" si="174"/>
        <v>6687</v>
      </c>
      <c r="AF167" s="5">
        <f t="shared" si="174"/>
        <v>6147</v>
      </c>
      <c r="AG167" s="5">
        <f t="shared" si="174"/>
        <v>6676</v>
      </c>
      <c r="AH167" s="5">
        <f t="shared" si="174"/>
        <v>5699</v>
      </c>
      <c r="AI167" s="5">
        <f t="shared" si="174"/>
        <v>6514</v>
      </c>
      <c r="AJ167" s="5">
        <f t="shared" si="174"/>
        <v>6707</v>
      </c>
      <c r="AK167" s="5"/>
      <c r="AL167" s="15">
        <f>AL166+AL165-186</f>
        <v>1659</v>
      </c>
      <c r="AM167" s="15">
        <f>AM166+AM165-180</f>
        <v>1926</v>
      </c>
      <c r="AN167" s="15">
        <f>AN166+AN165+180</f>
        <v>4914</v>
      </c>
      <c r="AO167" s="5">
        <f t="shared" ref="AO167:AT167" si="175">AO166+AO165</f>
        <v>2330</v>
      </c>
      <c r="AP167" s="5">
        <f t="shared" si="175"/>
        <v>2632</v>
      </c>
      <c r="AQ167" s="5">
        <f t="shared" si="175"/>
        <v>3747</v>
      </c>
      <c r="AR167" s="5">
        <f t="shared" si="175"/>
        <v>5247</v>
      </c>
      <c r="AS167" s="5">
        <f t="shared" si="175"/>
        <v>6687</v>
      </c>
      <c r="AT167" s="5">
        <f t="shared" si="175"/>
        <v>6676</v>
      </c>
      <c r="AU167" s="5">
        <f t="shared" ref="AU167" si="176">AU166+AU165</f>
        <v>6514</v>
      </c>
    </row>
    <row r="169" spans="3:47" x14ac:dyDescent="0.2">
      <c r="C169" s="12" t="s">
        <v>209</v>
      </c>
    </row>
    <row r="170" spans="3:47" x14ac:dyDescent="0.2">
      <c r="C170" s="1" t="s">
        <v>210</v>
      </c>
      <c r="T170" s="5">
        <f>T75+T135</f>
        <v>4045</v>
      </c>
      <c r="U170" s="5">
        <f t="shared" ref="U170:AJ170" si="177">U75+U135</f>
        <v>2421</v>
      </c>
      <c r="V170" s="5">
        <f t="shared" si="177"/>
        <v>1189</v>
      </c>
      <c r="W170" s="5">
        <f t="shared" si="177"/>
        <v>1735</v>
      </c>
      <c r="X170" s="5">
        <f t="shared" si="177"/>
        <v>2755</v>
      </c>
      <c r="Y170" s="5">
        <f t="shared" si="177"/>
        <v>2320</v>
      </c>
      <c r="Z170" s="5">
        <f t="shared" si="177"/>
        <v>301</v>
      </c>
      <c r="AA170" s="5">
        <f t="shared" si="177"/>
        <v>1834</v>
      </c>
      <c r="AB170" s="5">
        <f t="shared" si="177"/>
        <v>1658</v>
      </c>
      <c r="AC170" s="5">
        <f t="shared" si="177"/>
        <v>252</v>
      </c>
      <c r="AD170" s="5">
        <f t="shared" si="177"/>
        <v>-4108</v>
      </c>
      <c r="AE170" s="5">
        <f t="shared" si="177"/>
        <v>2603</v>
      </c>
      <c r="AF170" s="5">
        <f t="shared" si="177"/>
        <v>3266</v>
      </c>
      <c r="AG170" s="5">
        <f t="shared" si="177"/>
        <v>2923</v>
      </c>
      <c r="AH170" s="5">
        <f t="shared" si="177"/>
        <v>834</v>
      </c>
      <c r="AI170" s="5">
        <f t="shared" si="177"/>
        <v>-2</v>
      </c>
      <c r="AJ170" s="5">
        <f t="shared" si="177"/>
        <v>7876</v>
      </c>
      <c r="AL170" s="5">
        <f>AL75+AL135</f>
        <v>516</v>
      </c>
      <c r="AM170" s="5">
        <f t="shared" ref="AM170:AS170" si="178">AM75+AM135</f>
        <v>3214</v>
      </c>
      <c r="AN170" s="5">
        <f t="shared" si="178"/>
        <v>6466</v>
      </c>
      <c r="AO170" s="5">
        <f t="shared" si="178"/>
        <v>2924</v>
      </c>
      <c r="AP170" s="5">
        <f t="shared" si="178"/>
        <v>5063</v>
      </c>
      <c r="AQ170" s="5">
        <f t="shared" si="178"/>
        <v>2135</v>
      </c>
      <c r="AR170" s="5">
        <f t="shared" si="178"/>
        <v>1910</v>
      </c>
      <c r="AS170" s="5">
        <f t="shared" si="178"/>
        <v>-1505</v>
      </c>
      <c r="AT170" s="5">
        <f>AT75+AT135</f>
        <v>6189</v>
      </c>
      <c r="AU170" s="5">
        <f>AU75+AU135</f>
        <v>832</v>
      </c>
    </row>
    <row r="171" spans="3:47" x14ac:dyDescent="0.2">
      <c r="C171" s="1" t="s">
        <v>211</v>
      </c>
      <c r="AL171" s="5">
        <f>AL123+AL117-AL105</f>
        <v>783</v>
      </c>
      <c r="AM171" s="5">
        <f t="shared" ref="AM171:AU171" si="179">AM123+AM117-AM105</f>
        <v>1411</v>
      </c>
      <c r="AN171" s="5">
        <f t="shared" si="179"/>
        <v>-278</v>
      </c>
      <c r="AO171" s="5">
        <f t="shared" si="179"/>
        <v>3275</v>
      </c>
      <c r="AP171" s="5">
        <f t="shared" si="179"/>
        <v>4147</v>
      </c>
      <c r="AQ171" s="5">
        <f t="shared" si="179"/>
        <v>2844</v>
      </c>
      <c r="AR171" s="5">
        <f t="shared" si="179"/>
        <v>1567</v>
      </c>
      <c r="AS171" s="5">
        <f t="shared" si="179"/>
        <v>-32</v>
      </c>
      <c r="AT171" s="5">
        <f t="shared" si="179"/>
        <v>-377</v>
      </c>
      <c r="AU171" s="5">
        <f t="shared" si="179"/>
        <v>-1738</v>
      </c>
    </row>
    <row r="172" spans="3:47" x14ac:dyDescent="0.2">
      <c r="C172" s="1" t="s">
        <v>223</v>
      </c>
      <c r="T172" s="62" t="e">
        <f>(T117+T123)/T112</f>
        <v>#DIV/0!</v>
      </c>
      <c r="U172" s="62" t="e">
        <f t="shared" ref="U172:AU172" si="180">(U117+U123)/U112</f>
        <v>#DIV/0!</v>
      </c>
      <c r="V172" s="62">
        <f t="shared" si="180"/>
        <v>0.56307809669114139</v>
      </c>
      <c r="W172" s="62" t="e">
        <f t="shared" si="180"/>
        <v>#DIV/0!</v>
      </c>
      <c r="X172" s="62">
        <f t="shared" si="180"/>
        <v>0.54797510306361652</v>
      </c>
      <c r="Y172" s="62" t="e">
        <f t="shared" si="180"/>
        <v>#DIV/0!</v>
      </c>
      <c r="Z172" s="62">
        <f t="shared" si="180"/>
        <v>0.61840914699350169</v>
      </c>
      <c r="AA172" s="62" t="e">
        <f t="shared" si="180"/>
        <v>#DIV/0!</v>
      </c>
      <c r="AB172" s="62">
        <f t="shared" si="180"/>
        <v>0.5009970854425525</v>
      </c>
      <c r="AC172" s="62" t="e">
        <f t="shared" si="180"/>
        <v>#DIV/0!</v>
      </c>
      <c r="AD172" s="62">
        <f t="shared" si="180"/>
        <v>0.68988132417239223</v>
      </c>
      <c r="AE172" s="62" t="e">
        <f t="shared" si="180"/>
        <v>#DIV/0!</v>
      </c>
      <c r="AF172" s="62">
        <f t="shared" si="180"/>
        <v>0.59540208488458679</v>
      </c>
      <c r="AG172" s="62" t="e">
        <f t="shared" si="180"/>
        <v>#DIV/0!</v>
      </c>
      <c r="AH172" s="62">
        <f t="shared" si="180"/>
        <v>0.42824032804421464</v>
      </c>
      <c r="AI172" s="62" t="e">
        <f t="shared" si="180"/>
        <v>#DIV/0!</v>
      </c>
      <c r="AJ172" s="62">
        <f t="shared" si="180"/>
        <v>0.36590530933292997</v>
      </c>
      <c r="AL172" s="62">
        <f t="shared" si="180"/>
        <v>0.46703394348676025</v>
      </c>
      <c r="AM172" s="62">
        <f t="shared" si="180"/>
        <v>0.51173132955068246</v>
      </c>
      <c r="AN172" s="62">
        <f t="shared" si="180"/>
        <v>0.49598801754573663</v>
      </c>
      <c r="AO172" s="62">
        <f t="shared" si="180"/>
        <v>0.46884148891677124</v>
      </c>
      <c r="AP172" s="62">
        <f t="shared" si="180"/>
        <v>0.54797510306361652</v>
      </c>
      <c r="AQ172" s="62">
        <f t="shared" si="180"/>
        <v>0.53372742732205036</v>
      </c>
      <c r="AR172" s="62">
        <f t="shared" si="180"/>
        <v>0.53064403083871969</v>
      </c>
      <c r="AS172" s="62">
        <f t="shared" si="180"/>
        <v>0.63922773989050041</v>
      </c>
      <c r="AT172" s="62">
        <f t="shared" si="180"/>
        <v>0.54409605251792348</v>
      </c>
      <c r="AU172" s="62">
        <f t="shared" si="180"/>
        <v>0.46933962264150941</v>
      </c>
    </row>
  </sheetData>
  <phoneticPr fontId="13"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AC303-93F9-4DE7-80F0-A336932C568A}">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Dashboard</vt:lpstr>
      <vt:lpstr>Sheet2</vt:lpstr>
      <vt:lpstr>Acquisitions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Joaquin Goquiolay</dc:creator>
  <cp:lastModifiedBy>Joaquin Goquiolay</cp:lastModifiedBy>
  <dcterms:created xsi:type="dcterms:W3CDTF">2025-08-29T22:04:00Z</dcterms:created>
  <dcterms:modified xsi:type="dcterms:W3CDTF">2026-03-04T23:39:42Z</dcterms:modified>
</cp:coreProperties>
</file>