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mc:AlternateContent xmlns:mc="http://schemas.openxmlformats.org/markup-compatibility/2006">
    <mc:Choice Requires="x15">
      <x15ac:absPath xmlns:x15ac="http://schemas.microsoft.com/office/spreadsheetml/2010/11/ac" url="https://d.docs.live.net/9dc8c86c708ee123/Documents/corporate financials/"/>
    </mc:Choice>
  </mc:AlternateContent>
  <xr:revisionPtr revIDLastSave="6490" documentId="11_AD4DB114E441178AC67DF4DA4656FD90683EDF25" xr6:coauthVersionLast="47" xr6:coauthVersionMax="47" xr10:uidLastSave="{C7AB39F9-853E-417A-A629-E5EBB9B3F671}"/>
  <bookViews>
    <workbookView xWindow="2685" yWindow="2685" windowWidth="21600" windowHeight="12645" activeTab="1" xr2:uid="{00000000-000D-0000-FFFF-FFFF00000000}"/>
  </bookViews>
  <sheets>
    <sheet name="Tabelle1" sheetId="1" r:id="rId1"/>
    <sheet name="Model" sheetId="2" r:id="rId2"/>
    <sheet name="R&amp;D Capitalization" sheetId="5" r:id="rId3"/>
    <sheet name="x" sheetId="4" r:id="rId4"/>
    <sheet name="Alt Presentation" sheetId="3" r:id="rId5"/>
  </sheets>
  <calcPr calcId="191029"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Y101" i="2" l="1"/>
  <c r="X280" i="2"/>
  <c r="X281" i="2" s="1"/>
  <c r="Y281" i="2"/>
  <c r="Y280" i="2"/>
  <c r="X279" i="2"/>
  <c r="X278" i="2"/>
  <c r="X276" i="2"/>
  <c r="Y279" i="2"/>
  <c r="Y278" i="2"/>
  <c r="Y276" i="2"/>
  <c r="O156" i="2"/>
  <c r="P156" i="2"/>
  <c r="O155" i="2"/>
  <c r="P155" i="2"/>
  <c r="Q155" i="2"/>
  <c r="R155" i="2"/>
  <c r="S155" i="2"/>
  <c r="T155" i="2"/>
  <c r="U155" i="2"/>
  <c r="V155" i="2"/>
  <c r="W155" i="2"/>
  <c r="X155" i="2"/>
  <c r="Y271" i="2" l="1"/>
  <c r="Y273" i="2"/>
  <c r="Y270" i="2"/>
  <c r="Y269" i="2"/>
  <c r="Y153" i="2"/>
  <c r="Y148" i="2"/>
  <c r="C20" i="5"/>
  <c r="C19" i="5"/>
  <c r="D12" i="5"/>
  <c r="C12" i="5"/>
  <c r="C8" i="5"/>
  <c r="D6" i="5"/>
  <c r="C6" i="5"/>
  <c r="Y266" i="2"/>
  <c r="Y263" i="2"/>
  <c r="Y260" i="2"/>
  <c r="Y264" i="2" s="1"/>
  <c r="Y259" i="2"/>
  <c r="Y233" i="2"/>
  <c r="G40" i="2"/>
  <c r="G8" i="2"/>
  <c r="G23" i="2" s="1"/>
  <c r="Y234" i="2"/>
  <c r="C12" i="1"/>
  <c r="C11" i="1"/>
  <c r="C10" i="1"/>
  <c r="C9" i="1"/>
  <c r="Y207" i="2"/>
  <c r="Y198" i="2"/>
  <c r="Y191" i="2"/>
  <c r="C15" i="1" s="1"/>
  <c r="Y187" i="2"/>
  <c r="Y179" i="2"/>
  <c r="Z166" i="2"/>
  <c r="Y167" i="2"/>
  <c r="C8" i="1" a="1"/>
  <c r="C8" i="1" s="1"/>
  <c r="Y159" i="2"/>
  <c r="Y151" i="2"/>
  <c r="Y145" i="2"/>
  <c r="Y138" i="2"/>
  <c r="Y139" i="2"/>
  <c r="Y143" i="2"/>
  <c r="X143" i="2"/>
  <c r="W143" i="2"/>
  <c r="V143" i="2"/>
  <c r="U143" i="2"/>
  <c r="T143" i="2"/>
  <c r="S143" i="2"/>
  <c r="R143" i="2"/>
  <c r="Q143" i="2"/>
  <c r="P143" i="2"/>
  <c r="R132" i="2"/>
  <c r="S132" i="2"/>
  <c r="T132" i="2"/>
  <c r="U132" i="2"/>
  <c r="V132" i="2"/>
  <c r="W132" i="2"/>
  <c r="X132" i="2"/>
  <c r="Y132" i="2"/>
  <c r="Y123" i="2"/>
  <c r="Y125" i="2" s="1"/>
  <c r="Y91" i="2"/>
  <c r="Y92" i="2"/>
  <c r="Y94" i="2"/>
  <c r="Y95" i="2"/>
  <c r="Y96" i="2"/>
  <c r="Y97" i="2"/>
  <c r="Y99" i="2"/>
  <c r="Y105" i="2"/>
  <c r="Y106" i="2"/>
  <c r="Y107" i="2"/>
  <c r="Y108" i="2"/>
  <c r="Y109" i="2"/>
  <c r="Y111" i="2"/>
  <c r="Y112" i="2"/>
  <c r="Y113" i="2"/>
  <c r="Y65" i="2"/>
  <c r="Y49" i="2"/>
  <c r="Y50" i="2" s="1"/>
  <c r="Y35" i="2"/>
  <c r="Y24" i="2"/>
  <c r="Y25" i="2" s="1"/>
  <c r="Y104" i="2" s="1"/>
  <c r="Y17" i="2"/>
  <c r="Y18" i="2" s="1"/>
  <c r="Y21" i="2" s="1"/>
  <c r="C13" i="1" l="1"/>
  <c r="G53" i="2"/>
  <c r="Y208" i="2"/>
  <c r="C24" i="1"/>
  <c r="C26" i="1" s="1"/>
  <c r="C31" i="1"/>
  <c r="C33" i="1" s="1"/>
  <c r="Y160" i="2"/>
  <c r="Y188" i="2"/>
  <c r="Y209" i="2" s="1"/>
  <c r="Y235" i="2"/>
  <c r="Y98" i="2"/>
  <c r="C19" i="1" s="1"/>
  <c r="Y146" i="2"/>
  <c r="Y114" i="2"/>
  <c r="Y103" i="2"/>
  <c r="Y128" i="2"/>
  <c r="Y127" i="2"/>
  <c r="Y126" i="2"/>
  <c r="Y272" i="2" l="1"/>
  <c r="Y162" i="2"/>
  <c r="Y163" i="2" s="1"/>
  <c r="Y170" i="2"/>
  <c r="Y171" i="2"/>
  <c r="Y257" i="2" s="1"/>
  <c r="C35" i="1"/>
  <c r="C34" i="1" s="1"/>
  <c r="Y154" i="2"/>
  <c r="Y155" i="2"/>
  <c r="Y165" i="2"/>
  <c r="Y211" i="2" l="1"/>
  <c r="Y228" i="2" s="1"/>
  <c r="Y236" i="2" s="1"/>
  <c r="C27" i="1"/>
  <c r="Y40" i="2"/>
  <c r="Y156" i="2" s="1"/>
  <c r="Y8" i="2"/>
  <c r="Z43" i="2"/>
  <c r="P138" i="2"/>
  <c r="Q138" i="2"/>
  <c r="R138" i="2"/>
  <c r="S138" i="2"/>
  <c r="T138" i="2"/>
  <c r="U138" i="2"/>
  <c r="V138" i="2"/>
  <c r="W138" i="2"/>
  <c r="X138" i="2"/>
  <c r="P139" i="2"/>
  <c r="Q139" i="2"/>
  <c r="R139" i="2"/>
  <c r="S139" i="2"/>
  <c r="T139" i="2"/>
  <c r="U139" i="2"/>
  <c r="V139" i="2"/>
  <c r="W139" i="2"/>
  <c r="X139" i="2"/>
  <c r="O139" i="2"/>
  <c r="O138" i="2"/>
  <c r="O247" i="2"/>
  <c r="O249" i="2" s="1"/>
  <c r="P247" i="2"/>
  <c r="O234" i="2"/>
  <c r="P234" i="2"/>
  <c r="O206" i="2"/>
  <c r="O207" i="2" s="1"/>
  <c r="O157" i="2"/>
  <c r="O159" i="2" s="1"/>
  <c r="P157" i="2"/>
  <c r="O152" i="2"/>
  <c r="O151" i="2"/>
  <c r="P152" i="2"/>
  <c r="P151" i="2"/>
  <c r="O131" i="2"/>
  <c r="Z131" i="2" s="1"/>
  <c r="P131" i="2"/>
  <c r="O24" i="2"/>
  <c r="O25" i="2" s="1"/>
  <c r="P24" i="2"/>
  <c r="Q244" i="2"/>
  <c r="Q234" i="2"/>
  <c r="R234" i="2"/>
  <c r="P196" i="2"/>
  <c r="R196" i="2"/>
  <c r="Q179" i="2"/>
  <c r="Q152" i="2"/>
  <c r="Q151" i="2"/>
  <c r="R152" i="2"/>
  <c r="R151" i="2"/>
  <c r="Q24" i="2"/>
  <c r="R24" i="2"/>
  <c r="O8" i="2"/>
  <c r="O12" i="2" s="1"/>
  <c r="O17" i="2"/>
  <c r="O35" i="2"/>
  <c r="O40" i="2"/>
  <c r="O49" i="2"/>
  <c r="O55" i="2"/>
  <c r="O65" i="2"/>
  <c r="O66" i="2" s="1"/>
  <c r="O75" i="2"/>
  <c r="O78" i="2"/>
  <c r="O88" i="2"/>
  <c r="O92" i="2"/>
  <c r="O94" i="2"/>
  <c r="O95" i="2"/>
  <c r="O96" i="2"/>
  <c r="O97" i="2"/>
  <c r="O99" i="2"/>
  <c r="O105" i="2"/>
  <c r="O106" i="2"/>
  <c r="O107" i="2"/>
  <c r="O108" i="2"/>
  <c r="O109" i="2"/>
  <c r="O111" i="2"/>
  <c r="O112" i="2"/>
  <c r="O113" i="2"/>
  <c r="O123" i="2"/>
  <c r="O125" i="2" s="1"/>
  <c r="O145" i="2"/>
  <c r="O146" i="2" s="1"/>
  <c r="O167" i="2"/>
  <c r="Z167" i="2" s="1"/>
  <c r="O179" i="2"/>
  <c r="O187" i="2"/>
  <c r="O191" i="2"/>
  <c r="O198" i="2"/>
  <c r="O233" i="2"/>
  <c r="Y237" i="2" l="1"/>
  <c r="Y238" i="2"/>
  <c r="Q132" i="2"/>
  <c r="P132" i="2"/>
  <c r="Y44" i="2"/>
  <c r="Y90" i="2"/>
  <c r="Y115" i="2"/>
  <c r="Y93" i="2"/>
  <c r="Y100" i="2"/>
  <c r="Y53" i="2"/>
  <c r="Y66" i="2"/>
  <c r="Y51" i="2"/>
  <c r="Y36" i="2"/>
  <c r="Y12" i="2"/>
  <c r="Y23" i="2"/>
  <c r="Y19" i="2"/>
  <c r="O235" i="2"/>
  <c r="O44" i="2"/>
  <c r="O53" i="2"/>
  <c r="O36" i="2"/>
  <c r="O188" i="2"/>
  <c r="O153" i="2"/>
  <c r="O128" i="2"/>
  <c r="O100" i="2"/>
  <c r="O90" i="2"/>
  <c r="O141" i="2" s="1"/>
  <c r="O98" i="2"/>
  <c r="O101" i="2" s="1"/>
  <c r="O114" i="2"/>
  <c r="O115" i="2" s="1"/>
  <c r="O93" i="2"/>
  <c r="O208" i="2"/>
  <c r="O127" i="2"/>
  <c r="O126" i="2"/>
  <c r="O23" i="2"/>
  <c r="T32" i="3"/>
  <c r="T28" i="3"/>
  <c r="T29" i="3"/>
  <c r="T30" i="3"/>
  <c r="T31" i="3"/>
  <c r="T27" i="3"/>
  <c r="T18" i="3"/>
  <c r="T19" i="3"/>
  <c r="T20" i="3"/>
  <c r="T15" i="3"/>
  <c r="T16" i="3"/>
  <c r="T17" i="3"/>
  <c r="T14" i="3"/>
  <c r="T12" i="3"/>
  <c r="T13" i="3"/>
  <c r="T10" i="3"/>
  <c r="T8" i="3"/>
  <c r="T9" i="3"/>
  <c r="T7" i="3"/>
  <c r="T4" i="3"/>
  <c r="S234" i="2"/>
  <c r="T234" i="2"/>
  <c r="T196" i="2"/>
  <c r="T198" i="2" s="1"/>
  <c r="S152" i="2"/>
  <c r="S151" i="2"/>
  <c r="T152" i="2"/>
  <c r="T151" i="2"/>
  <c r="S135" i="2"/>
  <c r="T135" i="2"/>
  <c r="T54" i="2"/>
  <c r="T55" i="2" s="1"/>
  <c r="R25" i="2"/>
  <c r="Q25" i="2"/>
  <c r="P25" i="2"/>
  <c r="S24" i="2"/>
  <c r="S25" i="2" s="1"/>
  <c r="T24" i="2"/>
  <c r="T25" i="2" s="1"/>
  <c r="I234" i="2"/>
  <c r="J234" i="2"/>
  <c r="I152" i="2"/>
  <c r="J152" i="2"/>
  <c r="I54" i="2"/>
  <c r="I55" i="2" s="1"/>
  <c r="J54" i="2"/>
  <c r="J55" i="2" s="1"/>
  <c r="I24" i="2"/>
  <c r="I25" i="2" s="1"/>
  <c r="J24" i="2"/>
  <c r="J25" i="2" s="1"/>
  <c r="J136" i="2"/>
  <c r="I136" i="2"/>
  <c r="I249" i="2"/>
  <c r="I233" i="2"/>
  <c r="I207" i="2"/>
  <c r="I198" i="2"/>
  <c r="I191" i="2"/>
  <c r="I187" i="2"/>
  <c r="I179" i="2"/>
  <c r="I167" i="2"/>
  <c r="I159" i="2"/>
  <c r="I145" i="2"/>
  <c r="I123" i="2"/>
  <c r="I127" i="2" s="1"/>
  <c r="I113" i="2"/>
  <c r="I112" i="2"/>
  <c r="I111" i="2"/>
  <c r="I109" i="2"/>
  <c r="I108" i="2"/>
  <c r="I107" i="2"/>
  <c r="I106" i="2"/>
  <c r="I105" i="2"/>
  <c r="I99" i="2"/>
  <c r="I97" i="2"/>
  <c r="I96" i="2"/>
  <c r="I95" i="2"/>
  <c r="I94" i="2"/>
  <c r="I92" i="2"/>
  <c r="I88" i="2"/>
  <c r="I78" i="2"/>
  <c r="I75" i="2"/>
  <c r="I65" i="2"/>
  <c r="I49" i="2"/>
  <c r="I40" i="2"/>
  <c r="I35" i="2"/>
  <c r="I17" i="2"/>
  <c r="I8" i="2"/>
  <c r="I44" i="2" s="1"/>
  <c r="J249" i="2"/>
  <c r="J233" i="2"/>
  <c r="J207" i="2"/>
  <c r="J198" i="2"/>
  <c r="J191" i="2"/>
  <c r="J187" i="2"/>
  <c r="J179" i="2"/>
  <c r="J167" i="2"/>
  <c r="J159" i="2"/>
  <c r="J145" i="2"/>
  <c r="J123" i="2"/>
  <c r="J129" i="2" s="1"/>
  <c r="J113" i="2"/>
  <c r="J112" i="2"/>
  <c r="J111" i="2"/>
  <c r="J109" i="2"/>
  <c r="J108" i="2"/>
  <c r="J107" i="2"/>
  <c r="J106" i="2"/>
  <c r="J105" i="2"/>
  <c r="J99" i="2"/>
  <c r="J97" i="2"/>
  <c r="J96" i="2"/>
  <c r="J95" i="2"/>
  <c r="J94" i="2"/>
  <c r="J92" i="2"/>
  <c r="J88" i="2"/>
  <c r="J78" i="2"/>
  <c r="J75" i="2"/>
  <c r="J65" i="2"/>
  <c r="J49" i="2"/>
  <c r="J40" i="2"/>
  <c r="J35" i="2"/>
  <c r="J17" i="2"/>
  <c r="J8" i="2"/>
  <c r="J44" i="2" s="1"/>
  <c r="D12" i="3"/>
  <c r="E12" i="3"/>
  <c r="F12" i="3"/>
  <c r="G12" i="3"/>
  <c r="H12" i="3"/>
  <c r="I12" i="3"/>
  <c r="J12" i="3"/>
  <c r="K12" i="3"/>
  <c r="L12" i="3"/>
  <c r="M12" i="3"/>
  <c r="N12" i="3"/>
  <c r="O12" i="3"/>
  <c r="P12" i="3"/>
  <c r="Q12" i="3"/>
  <c r="R12" i="3"/>
  <c r="S12" i="3"/>
  <c r="C12" i="3"/>
  <c r="D13" i="3"/>
  <c r="E13" i="3"/>
  <c r="F13" i="3"/>
  <c r="G13" i="3"/>
  <c r="H13" i="3"/>
  <c r="I13" i="3"/>
  <c r="J13" i="3"/>
  <c r="K13" i="3"/>
  <c r="L13" i="3"/>
  <c r="M13" i="3"/>
  <c r="N13" i="3"/>
  <c r="O13" i="3"/>
  <c r="P13" i="3"/>
  <c r="Q13" i="3"/>
  <c r="R13" i="3"/>
  <c r="S13" i="3"/>
  <c r="C13" i="3"/>
  <c r="O42" i="3"/>
  <c r="J42" i="3"/>
  <c r="S42" i="3"/>
  <c r="R42" i="3"/>
  <c r="Q42" i="3"/>
  <c r="P42" i="3"/>
  <c r="N42" i="3"/>
  <c r="M42" i="3"/>
  <c r="L42" i="3"/>
  <c r="K42" i="3"/>
  <c r="I42" i="3"/>
  <c r="H42" i="3"/>
  <c r="K5" i="3"/>
  <c r="L5" i="3"/>
  <c r="M5" i="3"/>
  <c r="N5" i="3"/>
  <c r="O5" i="3"/>
  <c r="P5" i="3"/>
  <c r="Q5" i="3"/>
  <c r="R5" i="3"/>
  <c r="S5" i="3"/>
  <c r="J5" i="3"/>
  <c r="I5" i="3"/>
  <c r="H5" i="3"/>
  <c r="H32" i="3"/>
  <c r="H22" i="3"/>
  <c r="H19" i="3"/>
  <c r="H17" i="3"/>
  <c r="H20" i="3" s="1"/>
  <c r="H9" i="3"/>
  <c r="H18" i="3" s="1"/>
  <c r="C32" i="3"/>
  <c r="C22" i="3"/>
  <c r="C19" i="3"/>
  <c r="C17" i="3"/>
  <c r="C20" i="3" s="1"/>
  <c r="C9" i="3"/>
  <c r="C18" i="3" s="1"/>
  <c r="U247" i="2"/>
  <c r="U249" i="2" s="1"/>
  <c r="U234" i="2"/>
  <c r="V234" i="2"/>
  <c r="U152" i="2"/>
  <c r="U151" i="2"/>
  <c r="V152" i="2"/>
  <c r="V151" i="2"/>
  <c r="U136" i="2"/>
  <c r="V136" i="2"/>
  <c r="U54" i="2"/>
  <c r="U55" i="2" s="1"/>
  <c r="V54" i="2"/>
  <c r="V55" i="2" s="1"/>
  <c r="U24" i="2"/>
  <c r="U25" i="2" s="1"/>
  <c r="V24" i="2"/>
  <c r="V25" i="2" s="1"/>
  <c r="U2" i="2"/>
  <c r="T2" i="2" s="1"/>
  <c r="S2" i="2" s="1"/>
  <c r="R2" i="2" s="1"/>
  <c r="Q2" i="2" s="1"/>
  <c r="P2" i="2" s="1"/>
  <c r="O2" i="2" s="1"/>
  <c r="U8" i="2"/>
  <c r="T8" i="2"/>
  <c r="S8" i="2"/>
  <c r="R8" i="2"/>
  <c r="Q8" i="2"/>
  <c r="P8" i="2"/>
  <c r="U17" i="2"/>
  <c r="U18" i="2" s="1"/>
  <c r="Z18" i="2" s="1"/>
  <c r="T17" i="2"/>
  <c r="T18" i="2" s="1"/>
  <c r="S17" i="2"/>
  <c r="S18" i="2" s="1"/>
  <c r="R17" i="2"/>
  <c r="R18" i="2" s="1"/>
  <c r="Q17" i="2"/>
  <c r="Q18" i="2" s="1"/>
  <c r="P17" i="2"/>
  <c r="U35" i="2"/>
  <c r="T35" i="2"/>
  <c r="S35" i="2"/>
  <c r="R35" i="2"/>
  <c r="Q35" i="2"/>
  <c r="P35" i="2"/>
  <c r="U40" i="2"/>
  <c r="U156" i="2" s="1"/>
  <c r="T40" i="2"/>
  <c r="S40" i="2"/>
  <c r="S156" i="2" s="1"/>
  <c r="R40" i="2"/>
  <c r="Q40" i="2"/>
  <c r="Q156" i="2" s="1"/>
  <c r="P40" i="2"/>
  <c r="U49" i="2"/>
  <c r="U50" i="2" s="1"/>
  <c r="T49" i="2"/>
  <c r="T50" i="2" s="1"/>
  <c r="S49" i="2"/>
  <c r="S50" i="2" s="1"/>
  <c r="R49" i="2"/>
  <c r="R50" i="2" s="1"/>
  <c r="Q49" i="2"/>
  <c r="Q50" i="2" s="1"/>
  <c r="P49" i="2"/>
  <c r="S55" i="2"/>
  <c r="R55" i="2"/>
  <c r="Q55" i="2"/>
  <c r="P55" i="2"/>
  <c r="U65" i="2"/>
  <c r="U66" i="2" s="1"/>
  <c r="T65" i="2"/>
  <c r="T66" i="2" s="1"/>
  <c r="S65" i="2"/>
  <c r="S66" i="2" s="1"/>
  <c r="R65" i="2"/>
  <c r="Q65" i="2"/>
  <c r="P65" i="2"/>
  <c r="U75" i="2"/>
  <c r="T75" i="2"/>
  <c r="S75" i="2"/>
  <c r="R75" i="2"/>
  <c r="Q75" i="2"/>
  <c r="P75" i="2"/>
  <c r="U78" i="2"/>
  <c r="T78" i="2"/>
  <c r="S78" i="2"/>
  <c r="R78" i="2"/>
  <c r="Q78" i="2"/>
  <c r="P78" i="2"/>
  <c r="U88" i="2"/>
  <c r="T88" i="2"/>
  <c r="S88" i="2"/>
  <c r="R88" i="2"/>
  <c r="Q88" i="2"/>
  <c r="P88" i="2"/>
  <c r="U92" i="2"/>
  <c r="T92" i="2"/>
  <c r="S92" i="2"/>
  <c r="R92" i="2"/>
  <c r="Q92" i="2"/>
  <c r="P92" i="2"/>
  <c r="U94" i="2"/>
  <c r="T94" i="2"/>
  <c r="S94" i="2"/>
  <c r="R94" i="2"/>
  <c r="Q94" i="2"/>
  <c r="P94" i="2"/>
  <c r="U95" i="2"/>
  <c r="T95" i="2"/>
  <c r="S95" i="2"/>
  <c r="R95" i="2"/>
  <c r="Q95" i="2"/>
  <c r="P95" i="2"/>
  <c r="U96" i="2"/>
  <c r="T96" i="2"/>
  <c r="S96" i="2"/>
  <c r="R96" i="2"/>
  <c r="Q96" i="2"/>
  <c r="P96" i="2"/>
  <c r="U97" i="2"/>
  <c r="T97" i="2"/>
  <c r="S97" i="2"/>
  <c r="R97" i="2"/>
  <c r="Q97" i="2"/>
  <c r="P97" i="2"/>
  <c r="U99" i="2"/>
  <c r="T99" i="2"/>
  <c r="S99" i="2"/>
  <c r="R99" i="2"/>
  <c r="Q99" i="2"/>
  <c r="P99" i="2"/>
  <c r="U105" i="2"/>
  <c r="T105" i="2"/>
  <c r="S105" i="2"/>
  <c r="R105" i="2"/>
  <c r="Q105" i="2"/>
  <c r="P105" i="2"/>
  <c r="U106" i="2"/>
  <c r="T106" i="2"/>
  <c r="S106" i="2"/>
  <c r="R106" i="2"/>
  <c r="Q106" i="2"/>
  <c r="P106" i="2"/>
  <c r="U107" i="2"/>
  <c r="T107" i="2"/>
  <c r="S107" i="2"/>
  <c r="R107" i="2"/>
  <c r="Q107" i="2"/>
  <c r="P107" i="2"/>
  <c r="U108" i="2"/>
  <c r="T108" i="2"/>
  <c r="S108" i="2"/>
  <c r="R108" i="2"/>
  <c r="Q108" i="2"/>
  <c r="P108" i="2"/>
  <c r="U109" i="2"/>
  <c r="T109" i="2"/>
  <c r="S109" i="2"/>
  <c r="R109" i="2"/>
  <c r="Q109" i="2"/>
  <c r="P109" i="2"/>
  <c r="U111" i="2"/>
  <c r="T111" i="2"/>
  <c r="S111" i="2"/>
  <c r="R111" i="2"/>
  <c r="Q111" i="2"/>
  <c r="P111" i="2"/>
  <c r="U112" i="2"/>
  <c r="T112" i="2"/>
  <c r="S112" i="2"/>
  <c r="R112" i="2"/>
  <c r="Q112" i="2"/>
  <c r="P112" i="2"/>
  <c r="U113" i="2"/>
  <c r="T113" i="2"/>
  <c r="S113" i="2"/>
  <c r="R113" i="2"/>
  <c r="Q113" i="2"/>
  <c r="P113" i="2"/>
  <c r="U123" i="2"/>
  <c r="U127" i="2" s="1"/>
  <c r="T123" i="2"/>
  <c r="T127" i="2" s="1"/>
  <c r="S123" i="2"/>
  <c r="S127" i="2" s="1"/>
  <c r="R123" i="2"/>
  <c r="R127" i="2" s="1"/>
  <c r="Q123" i="2"/>
  <c r="Q127" i="2" s="1"/>
  <c r="P123" i="2"/>
  <c r="P126" i="2" s="1"/>
  <c r="U145" i="2"/>
  <c r="U146" i="2" s="1"/>
  <c r="T145" i="2"/>
  <c r="S145" i="2"/>
  <c r="R145" i="2"/>
  <c r="R153" i="2" s="1"/>
  <c r="Q145" i="2"/>
  <c r="Q146" i="2" s="1"/>
  <c r="P145" i="2"/>
  <c r="P146" i="2" s="1"/>
  <c r="U159" i="2"/>
  <c r="T159" i="2"/>
  <c r="S159" i="2"/>
  <c r="R159" i="2"/>
  <c r="Q159" i="2"/>
  <c r="P159" i="2"/>
  <c r="U167" i="2"/>
  <c r="T167" i="2"/>
  <c r="S167" i="2"/>
  <c r="R167" i="2"/>
  <c r="Q167" i="2"/>
  <c r="P167" i="2"/>
  <c r="U179" i="2"/>
  <c r="T179" i="2"/>
  <c r="S179" i="2"/>
  <c r="R179" i="2"/>
  <c r="P179" i="2"/>
  <c r="U187" i="2"/>
  <c r="T187" i="2"/>
  <c r="S187" i="2"/>
  <c r="R187" i="2"/>
  <c r="Q187" i="2"/>
  <c r="P187" i="2"/>
  <c r="U191" i="2"/>
  <c r="T191" i="2"/>
  <c r="S191" i="2"/>
  <c r="R191" i="2"/>
  <c r="Q191" i="2"/>
  <c r="P191" i="2"/>
  <c r="U198" i="2"/>
  <c r="S198" i="2"/>
  <c r="R198" i="2"/>
  <c r="Q198" i="2"/>
  <c r="P198" i="2"/>
  <c r="U207" i="2"/>
  <c r="T207" i="2"/>
  <c r="S207" i="2"/>
  <c r="R207" i="2"/>
  <c r="Q207" i="2"/>
  <c r="P207" i="2"/>
  <c r="U233" i="2"/>
  <c r="T233" i="2"/>
  <c r="S233" i="2"/>
  <c r="R233" i="2"/>
  <c r="R235" i="2" s="1"/>
  <c r="Q233" i="2"/>
  <c r="Q235" i="2" s="1"/>
  <c r="P233" i="2"/>
  <c r="P235" i="2" s="1"/>
  <c r="T249" i="2"/>
  <c r="S249" i="2"/>
  <c r="R249" i="2"/>
  <c r="Q249" i="2"/>
  <c r="P249" i="2"/>
  <c r="V8" i="2"/>
  <c r="V17" i="2"/>
  <c r="V18" i="2" s="1"/>
  <c r="V35" i="2"/>
  <c r="V40" i="2"/>
  <c r="V156" i="2" s="1"/>
  <c r="V49" i="2"/>
  <c r="V50" i="2" s="1"/>
  <c r="V65" i="2"/>
  <c r="V75" i="2"/>
  <c r="V78" i="2"/>
  <c r="V88" i="2"/>
  <c r="V92" i="2"/>
  <c r="V94" i="2"/>
  <c r="V95" i="2"/>
  <c r="V96" i="2"/>
  <c r="V97" i="2"/>
  <c r="V99" i="2"/>
  <c r="V105" i="2"/>
  <c r="V106" i="2"/>
  <c r="V107" i="2"/>
  <c r="V108" i="2"/>
  <c r="V109" i="2"/>
  <c r="V111" i="2"/>
  <c r="V112" i="2"/>
  <c r="V113" i="2"/>
  <c r="V123" i="2"/>
  <c r="V125" i="2" s="1"/>
  <c r="V145" i="2"/>
  <c r="V146" i="2" s="1"/>
  <c r="V159" i="2"/>
  <c r="V167" i="2"/>
  <c r="V179" i="2"/>
  <c r="V187" i="2"/>
  <c r="V191" i="2"/>
  <c r="V198" i="2"/>
  <c r="V207" i="2"/>
  <c r="V233" i="2"/>
  <c r="V249" i="2"/>
  <c r="J9" i="3"/>
  <c r="J18" i="3" s="1"/>
  <c r="E9" i="3"/>
  <c r="J17" i="3"/>
  <c r="J20" i="3" s="1"/>
  <c r="E17" i="3"/>
  <c r="E20" i="3" s="1"/>
  <c r="E18" i="3"/>
  <c r="J19" i="3"/>
  <c r="E19" i="3"/>
  <c r="J22" i="3"/>
  <c r="E22" i="3"/>
  <c r="J32" i="3"/>
  <c r="E32" i="3"/>
  <c r="Q22" i="3"/>
  <c r="M22" i="3"/>
  <c r="G22" i="3"/>
  <c r="K22" i="3"/>
  <c r="I22" i="3"/>
  <c r="F22" i="3"/>
  <c r="D22" i="3"/>
  <c r="R22" i="3"/>
  <c r="O22" i="3"/>
  <c r="S22" i="3"/>
  <c r="L22" i="3"/>
  <c r="P22" i="3"/>
  <c r="N22" i="3"/>
  <c r="Q32" i="3"/>
  <c r="Q19" i="3"/>
  <c r="Q17" i="3"/>
  <c r="Q20" i="3" s="1"/>
  <c r="Q9" i="3"/>
  <c r="Q18" i="3" s="1"/>
  <c r="N9" i="3"/>
  <c r="N18" i="3" s="1"/>
  <c r="R9" i="3"/>
  <c r="R18" i="3" s="1"/>
  <c r="G9" i="3"/>
  <c r="G18" i="3" s="1"/>
  <c r="K9" i="3"/>
  <c r="K18" i="3" s="1"/>
  <c r="I9" i="3"/>
  <c r="I18" i="3" s="1"/>
  <c r="F9" i="3"/>
  <c r="F18" i="3" s="1"/>
  <c r="D9" i="3"/>
  <c r="D18" i="3" s="1"/>
  <c r="N17" i="3"/>
  <c r="N20" i="3" s="1"/>
  <c r="R17" i="3"/>
  <c r="R20" i="3" s="1"/>
  <c r="G17" i="3"/>
  <c r="G20" i="3" s="1"/>
  <c r="K17" i="3"/>
  <c r="K20" i="3" s="1"/>
  <c r="I17" i="3"/>
  <c r="I20" i="3" s="1"/>
  <c r="F17" i="3"/>
  <c r="F20" i="3" s="1"/>
  <c r="D17" i="3"/>
  <c r="D20" i="3" s="1"/>
  <c r="N19" i="3"/>
  <c r="R19" i="3"/>
  <c r="G19" i="3"/>
  <c r="K19" i="3"/>
  <c r="I19" i="3"/>
  <c r="F19" i="3"/>
  <c r="D19" i="3"/>
  <c r="N32" i="3"/>
  <c r="R32" i="3"/>
  <c r="G32" i="3"/>
  <c r="K32" i="3"/>
  <c r="I32" i="3"/>
  <c r="F32" i="3"/>
  <c r="D32" i="3"/>
  <c r="M32" i="3"/>
  <c r="M19" i="3"/>
  <c r="M17" i="3"/>
  <c r="M20" i="3" s="1"/>
  <c r="M9" i="3"/>
  <c r="M18" i="3" s="1"/>
  <c r="S32" i="3"/>
  <c r="O32" i="3"/>
  <c r="S19" i="3"/>
  <c r="O19" i="3"/>
  <c r="S17" i="3"/>
  <c r="S20" i="3" s="1"/>
  <c r="O17" i="3"/>
  <c r="O20" i="3" s="1"/>
  <c r="S9" i="3"/>
  <c r="S18" i="3" s="1"/>
  <c r="O9" i="3"/>
  <c r="O18" i="3" s="1"/>
  <c r="P32" i="3"/>
  <c r="L32" i="3"/>
  <c r="L19" i="3"/>
  <c r="P19" i="3"/>
  <c r="P17" i="3"/>
  <c r="P20" i="3" s="1"/>
  <c r="L17" i="3"/>
  <c r="L20" i="3" s="1"/>
  <c r="P9" i="3"/>
  <c r="P18" i="3" s="1"/>
  <c r="L9" i="3"/>
  <c r="L18" i="3" s="1"/>
  <c r="F69" i="2"/>
  <c r="F68" i="2"/>
  <c r="D69" i="2"/>
  <c r="D68" i="2"/>
  <c r="D54" i="2"/>
  <c r="D46" i="2"/>
  <c r="D22" i="2"/>
  <c r="D14" i="2"/>
  <c r="F46" i="2"/>
  <c r="D40" i="2"/>
  <c r="F39" i="2"/>
  <c r="F38" i="2"/>
  <c r="F22" i="2"/>
  <c r="F14" i="2"/>
  <c r="D8" i="2"/>
  <c r="F6" i="2"/>
  <c r="F7" i="2"/>
  <c r="F5" i="2"/>
  <c r="L252" i="2"/>
  <c r="L240" i="2"/>
  <c r="L241" i="2"/>
  <c r="L242" i="2"/>
  <c r="L243" i="2"/>
  <c r="L244" i="2"/>
  <c r="L245" i="2"/>
  <c r="L247" i="2"/>
  <c r="L248" i="2"/>
  <c r="L239" i="2"/>
  <c r="L232" i="2"/>
  <c r="L231" i="2"/>
  <c r="L230" i="2"/>
  <c r="L229" i="2"/>
  <c r="L212" i="2"/>
  <c r="L213" i="2"/>
  <c r="L214" i="2"/>
  <c r="L215" i="2"/>
  <c r="L216" i="2"/>
  <c r="L217" i="2"/>
  <c r="L218" i="2"/>
  <c r="L219" i="2"/>
  <c r="L220" i="2"/>
  <c r="L221" i="2"/>
  <c r="L222" i="2"/>
  <c r="L223" i="2"/>
  <c r="L224" i="2"/>
  <c r="L225" i="2"/>
  <c r="L226" i="2"/>
  <c r="L227" i="2"/>
  <c r="L207" i="2"/>
  <c r="L198" i="2"/>
  <c r="L191" i="2"/>
  <c r="L187" i="2"/>
  <c r="L179" i="2"/>
  <c r="L161" i="2"/>
  <c r="L158" i="2"/>
  <c r="L157" i="2"/>
  <c r="L149" i="2"/>
  <c r="L150" i="2"/>
  <c r="L152" i="2"/>
  <c r="L147" i="2"/>
  <c r="L144" i="2"/>
  <c r="L142" i="2"/>
  <c r="L135" i="2"/>
  <c r="L134" i="2"/>
  <c r="L110" i="2"/>
  <c r="L70" i="2"/>
  <c r="L71" i="2"/>
  <c r="L72" i="2"/>
  <c r="L73" i="2"/>
  <c r="L74" i="2"/>
  <c r="L76" i="2"/>
  <c r="L77" i="2"/>
  <c r="L79" i="2"/>
  <c r="L80" i="2"/>
  <c r="L81" i="2"/>
  <c r="L82" i="2"/>
  <c r="L83" i="2"/>
  <c r="L84" i="2"/>
  <c r="L85" i="2"/>
  <c r="L86" i="2"/>
  <c r="L87" i="2"/>
  <c r="L69" i="2"/>
  <c r="L64" i="2"/>
  <c r="L63" i="2"/>
  <c r="L62" i="2"/>
  <c r="L61" i="2"/>
  <c r="L60" i="2"/>
  <c r="L59" i="2"/>
  <c r="L58" i="2"/>
  <c r="L57" i="2"/>
  <c r="L56" i="2"/>
  <c r="L54" i="2"/>
  <c r="L52" i="2"/>
  <c r="L48" i="2"/>
  <c r="L47" i="2"/>
  <c r="L46" i="2"/>
  <c r="L45" i="2"/>
  <c r="L43" i="2"/>
  <c r="L42" i="2"/>
  <c r="L39" i="2"/>
  <c r="L38" i="2"/>
  <c r="L34" i="2"/>
  <c r="L26" i="2"/>
  <c r="L27" i="2"/>
  <c r="L28" i="2"/>
  <c r="L29" i="2"/>
  <c r="L30" i="2"/>
  <c r="L31" i="2"/>
  <c r="L32" i="2"/>
  <c r="L33" i="2"/>
  <c r="L22" i="2"/>
  <c r="L14" i="2"/>
  <c r="L15" i="2"/>
  <c r="L16" i="2"/>
  <c r="L13" i="2"/>
  <c r="L11" i="2"/>
  <c r="L10" i="2"/>
  <c r="L6" i="2"/>
  <c r="L7" i="2"/>
  <c r="L5" i="2"/>
  <c r="K249" i="2"/>
  <c r="M249" i="2"/>
  <c r="K234" i="2"/>
  <c r="M234" i="2"/>
  <c r="K233" i="2"/>
  <c r="M233" i="2"/>
  <c r="M207" i="2"/>
  <c r="M198" i="2"/>
  <c r="M191" i="2"/>
  <c r="M187" i="2"/>
  <c r="K179" i="2"/>
  <c r="M179" i="2"/>
  <c r="K167" i="2"/>
  <c r="M167" i="2"/>
  <c r="K159" i="2"/>
  <c r="M159" i="2"/>
  <c r="K151" i="2"/>
  <c r="M151" i="2"/>
  <c r="K145" i="2"/>
  <c r="K146" i="2" s="1"/>
  <c r="M145" i="2"/>
  <c r="M146" i="2" s="1"/>
  <c r="K136" i="2"/>
  <c r="M136" i="2"/>
  <c r="K91" i="2"/>
  <c r="K92" i="2"/>
  <c r="K94" i="2"/>
  <c r="K95" i="2"/>
  <c r="K96" i="2"/>
  <c r="K97" i="2"/>
  <c r="K99" i="2"/>
  <c r="K103" i="2"/>
  <c r="K105" i="2"/>
  <c r="K106" i="2"/>
  <c r="K107" i="2"/>
  <c r="K108" i="2"/>
  <c r="K109" i="2"/>
  <c r="K111" i="2"/>
  <c r="K112" i="2"/>
  <c r="K113" i="2"/>
  <c r="M113" i="2"/>
  <c r="M112" i="2"/>
  <c r="M111" i="2"/>
  <c r="M109" i="2"/>
  <c r="M108" i="2"/>
  <c r="M107" i="2"/>
  <c r="M106" i="2"/>
  <c r="M105" i="2"/>
  <c r="M103" i="2"/>
  <c r="M99" i="2"/>
  <c r="M97" i="2"/>
  <c r="M96" i="2"/>
  <c r="M95" i="2"/>
  <c r="M94" i="2"/>
  <c r="M92" i="2"/>
  <c r="M91" i="2"/>
  <c r="F91" i="2" s="1"/>
  <c r="K65" i="2"/>
  <c r="M65" i="2"/>
  <c r="K55" i="2"/>
  <c r="K104" i="2" s="1"/>
  <c r="M55" i="2"/>
  <c r="M104" i="2" s="1"/>
  <c r="K49" i="2"/>
  <c r="D52" i="2" s="1"/>
  <c r="M49" i="2"/>
  <c r="F52" i="2" s="1"/>
  <c r="K35" i="2"/>
  <c r="M35" i="2"/>
  <c r="K17" i="2"/>
  <c r="M17" i="2"/>
  <c r="K40" i="2"/>
  <c r="M40" i="2"/>
  <c r="K8" i="2"/>
  <c r="K12" i="2" s="1"/>
  <c r="M8" i="2"/>
  <c r="M53" i="2" s="1"/>
  <c r="E208" i="2"/>
  <c r="E188" i="2"/>
  <c r="E249" i="2"/>
  <c r="C249" i="2"/>
  <c r="E233" i="2"/>
  <c r="E235" i="2" s="1"/>
  <c r="C233" i="2"/>
  <c r="C235" i="2" s="1"/>
  <c r="E136" i="2"/>
  <c r="C136" i="2"/>
  <c r="Q66" i="2" l="1"/>
  <c r="S51" i="2"/>
  <c r="R66" i="2"/>
  <c r="T51" i="2"/>
  <c r="O154" i="2"/>
  <c r="U51" i="2"/>
  <c r="Z50" i="2"/>
  <c r="T53" i="2"/>
  <c r="T156" i="2"/>
  <c r="R53" i="2"/>
  <c r="R156" i="2"/>
  <c r="Y102" i="2"/>
  <c r="Y141" i="2"/>
  <c r="Z141" i="2" s="1"/>
  <c r="Q51" i="2"/>
  <c r="R51" i="2"/>
  <c r="P66" i="2"/>
  <c r="V41" i="2"/>
  <c r="V53" i="2"/>
  <c r="P41" i="2"/>
  <c r="P53" i="2"/>
  <c r="Q41" i="2"/>
  <c r="Q53" i="2"/>
  <c r="R19" i="2"/>
  <c r="S41" i="2"/>
  <c r="S53" i="2"/>
  <c r="T19" i="2"/>
  <c r="V66" i="2"/>
  <c r="U41" i="2"/>
  <c r="U53" i="2"/>
  <c r="V51" i="2"/>
  <c r="R41" i="2"/>
  <c r="T41" i="2"/>
  <c r="T9" i="2"/>
  <c r="P12" i="2"/>
  <c r="P9" i="2"/>
  <c r="Q12" i="2"/>
  <c r="Q9" i="2"/>
  <c r="R23" i="2"/>
  <c r="R9" i="2"/>
  <c r="V19" i="2"/>
  <c r="S23" i="2"/>
  <c r="S9" i="2"/>
  <c r="V12" i="2"/>
  <c r="V9" i="2"/>
  <c r="U44" i="2"/>
  <c r="U9" i="2"/>
  <c r="Q19" i="2"/>
  <c r="S19" i="2"/>
  <c r="U19" i="2"/>
  <c r="O102" i="2"/>
  <c r="T36" i="2"/>
  <c r="S153" i="2"/>
  <c r="V36" i="2"/>
  <c r="P36" i="2"/>
  <c r="R36" i="2"/>
  <c r="Q36" i="2"/>
  <c r="S36" i="2"/>
  <c r="L145" i="2"/>
  <c r="L146" i="2" s="1"/>
  <c r="L208" i="2"/>
  <c r="T235" i="2"/>
  <c r="Q44" i="2"/>
  <c r="V235" i="2"/>
  <c r="J153" i="2"/>
  <c r="J154" i="2" s="1"/>
  <c r="U36" i="2"/>
  <c r="O160" i="2"/>
  <c r="R100" i="2"/>
  <c r="R93" i="2"/>
  <c r="O209" i="2"/>
  <c r="S235" i="2"/>
  <c r="J66" i="2"/>
  <c r="F8" i="2"/>
  <c r="F23" i="2" s="1"/>
  <c r="L8" i="2"/>
  <c r="L44" i="2" s="1"/>
  <c r="P100" i="2"/>
  <c r="P44" i="2"/>
  <c r="P23" i="2"/>
  <c r="I36" i="2"/>
  <c r="M12" i="2"/>
  <c r="M114" i="2"/>
  <c r="M115" i="2" s="1"/>
  <c r="L40" i="2"/>
  <c r="P128" i="2"/>
  <c r="J235" i="2"/>
  <c r="T153" i="2"/>
  <c r="P98" i="2"/>
  <c r="P101" i="2" s="1"/>
  <c r="U188" i="2"/>
  <c r="P90" i="2"/>
  <c r="P141" i="2" s="1"/>
  <c r="I153" i="2"/>
  <c r="I160" i="2" s="1"/>
  <c r="I162" i="2" s="1"/>
  <c r="I211" i="2" s="1"/>
  <c r="I228" i="2" s="1"/>
  <c r="P208" i="2"/>
  <c r="P127" i="2"/>
  <c r="P125" i="2"/>
  <c r="J53" i="2"/>
  <c r="I53" i="2"/>
  <c r="L159" i="2"/>
  <c r="L233" i="2"/>
  <c r="Q90" i="2"/>
  <c r="Q141" i="2" s="1"/>
  <c r="Q100" i="2"/>
  <c r="Q23" i="2"/>
  <c r="R44" i="2"/>
  <c r="R12" i="2"/>
  <c r="R90" i="2"/>
  <c r="R141" i="2" s="1"/>
  <c r="P114" i="2"/>
  <c r="P115" i="2" s="1"/>
  <c r="Q128" i="2"/>
  <c r="U98" i="2"/>
  <c r="U101" i="2" s="1"/>
  <c r="I100" i="2"/>
  <c r="M23" i="2"/>
  <c r="Q126" i="2"/>
  <c r="R146" i="2"/>
  <c r="I66" i="2"/>
  <c r="P93" i="2"/>
  <c r="F40" i="2"/>
  <c r="S146" i="2"/>
  <c r="T146" i="2"/>
  <c r="T98" i="2"/>
  <c r="T101" i="2" s="1"/>
  <c r="T90" i="2"/>
  <c r="T141" i="2" s="1"/>
  <c r="T93" i="2"/>
  <c r="U93" i="2"/>
  <c r="S12" i="2"/>
  <c r="R208" i="2"/>
  <c r="Q125" i="2"/>
  <c r="S100" i="2"/>
  <c r="S44" i="2"/>
  <c r="T23" i="2"/>
  <c r="T12" i="2"/>
  <c r="M100" i="2"/>
  <c r="S208" i="2"/>
  <c r="T100" i="2"/>
  <c r="S90" i="2"/>
  <c r="S141" i="2" s="1"/>
  <c r="T44" i="2"/>
  <c r="U23" i="2"/>
  <c r="U12" i="2"/>
  <c r="S93" i="2"/>
  <c r="T208" i="2"/>
  <c r="U100" i="2"/>
  <c r="U90" i="2"/>
  <c r="U141" i="2" s="1"/>
  <c r="L136" i="2"/>
  <c r="Q208" i="2"/>
  <c r="U235" i="2"/>
  <c r="I235" i="2"/>
  <c r="I98" i="2"/>
  <c r="R154" i="2"/>
  <c r="R160" i="2"/>
  <c r="J188" i="2"/>
  <c r="P153" i="2"/>
  <c r="S128" i="2"/>
  <c r="Q114" i="2"/>
  <c r="Q115" i="2" s="1"/>
  <c r="J208" i="2"/>
  <c r="L249" i="2"/>
  <c r="T126" i="2"/>
  <c r="E209" i="2"/>
  <c r="Q153" i="2"/>
  <c r="T128" i="2"/>
  <c r="R114" i="2"/>
  <c r="R115" i="2" s="1"/>
  <c r="I208" i="2"/>
  <c r="I188" i="2"/>
  <c r="R128" i="2"/>
  <c r="L35" i="2"/>
  <c r="P188" i="2"/>
  <c r="R125" i="2"/>
  <c r="S114" i="2"/>
  <c r="S115" i="2" s="1"/>
  <c r="Q93" i="2"/>
  <c r="J114" i="2"/>
  <c r="J115" i="2" s="1"/>
  <c r="R126" i="2"/>
  <c r="L65" i="2"/>
  <c r="D53" i="2"/>
  <c r="Q188" i="2"/>
  <c r="S125" i="2"/>
  <c r="T114" i="2"/>
  <c r="T115" i="2" s="1"/>
  <c r="Q98" i="2"/>
  <c r="Q101" i="2" s="1"/>
  <c r="S126" i="2"/>
  <c r="R188" i="2"/>
  <c r="T125" i="2"/>
  <c r="I114" i="2"/>
  <c r="I115" i="2" s="1"/>
  <c r="R98" i="2"/>
  <c r="R101" i="2" s="1"/>
  <c r="S98" i="2"/>
  <c r="S101" i="2" s="1"/>
  <c r="K235" i="2"/>
  <c r="L99" i="2"/>
  <c r="S188" i="2"/>
  <c r="J146" i="2"/>
  <c r="M235" i="2"/>
  <c r="M66" i="2"/>
  <c r="L49" i="2"/>
  <c r="T188" i="2"/>
  <c r="J100" i="2"/>
  <c r="J98" i="2"/>
  <c r="J93" i="2"/>
  <c r="I93" i="2"/>
  <c r="I23" i="2"/>
  <c r="I90" i="2"/>
  <c r="I141" i="2" s="1"/>
  <c r="I129" i="2"/>
  <c r="I126" i="2"/>
  <c r="I128" i="2"/>
  <c r="I12" i="2"/>
  <c r="I146" i="2"/>
  <c r="J12" i="2"/>
  <c r="J126" i="2"/>
  <c r="J23" i="2"/>
  <c r="J128" i="2"/>
  <c r="J127" i="2"/>
  <c r="J90" i="2"/>
  <c r="J141" i="2" s="1"/>
  <c r="J36" i="2"/>
  <c r="U208" i="2"/>
  <c r="V208" i="2"/>
  <c r="U153" i="2"/>
  <c r="V98" i="2"/>
  <c r="V101" i="2" s="1"/>
  <c r="U114" i="2"/>
  <c r="U115" i="2" s="1"/>
  <c r="L17" i="2"/>
  <c r="U128" i="2"/>
  <c r="U125" i="2"/>
  <c r="U126" i="2"/>
  <c r="V93" i="2"/>
  <c r="V100" i="2"/>
  <c r="V44" i="2"/>
  <c r="V90" i="2"/>
  <c r="V141" i="2" s="1"/>
  <c r="V188" i="2"/>
  <c r="V128" i="2"/>
  <c r="V127" i="2"/>
  <c r="V126" i="2"/>
  <c r="V114" i="2"/>
  <c r="V115" i="2" s="1"/>
  <c r="V23" i="2"/>
  <c r="V153" i="2"/>
  <c r="D90" i="2"/>
  <c r="D23" i="2"/>
  <c r="L188" i="2"/>
  <c r="K66" i="2"/>
  <c r="K23" i="2"/>
  <c r="M93" i="2"/>
  <c r="M36" i="2"/>
  <c r="K53" i="2"/>
  <c r="K36" i="2"/>
  <c r="M153" i="2"/>
  <c r="M154" i="2" s="1"/>
  <c r="K93" i="2"/>
  <c r="M188" i="2"/>
  <c r="M90" i="2"/>
  <c r="M141" i="2" s="1"/>
  <c r="K153" i="2"/>
  <c r="K154" i="2" s="1"/>
  <c r="M208" i="2"/>
  <c r="M44" i="2"/>
  <c r="K100" i="2"/>
  <c r="K98" i="2"/>
  <c r="K90" i="2"/>
  <c r="K141" i="2" s="1"/>
  <c r="K44" i="2"/>
  <c r="K114" i="2"/>
  <c r="K115" i="2" s="1"/>
  <c r="M98" i="2"/>
  <c r="W151" i="2"/>
  <c r="X151" i="2"/>
  <c r="L151" i="2" s="1"/>
  <c r="E145" i="2"/>
  <c r="E153" i="2" s="1"/>
  <c r="E160" i="2" s="1"/>
  <c r="E162" i="2" s="1"/>
  <c r="C145" i="2"/>
  <c r="C146" i="2" s="1"/>
  <c r="E40" i="2"/>
  <c r="C40" i="2"/>
  <c r="E8" i="2"/>
  <c r="C8" i="2"/>
  <c r="W249" i="2"/>
  <c r="X249" i="2"/>
  <c r="W234" i="2"/>
  <c r="X234" i="2"/>
  <c r="L234" i="2" s="1"/>
  <c r="W233" i="2"/>
  <c r="X233" i="2"/>
  <c r="W207" i="2"/>
  <c r="X207" i="2"/>
  <c r="W198" i="2"/>
  <c r="X198" i="2"/>
  <c r="W191" i="2"/>
  <c r="X191" i="2"/>
  <c r="W187" i="2"/>
  <c r="X187" i="2"/>
  <c r="W179" i="2"/>
  <c r="X179" i="2"/>
  <c r="W167" i="2"/>
  <c r="X167" i="2"/>
  <c r="W123" i="2"/>
  <c r="X123" i="2"/>
  <c r="W159" i="2"/>
  <c r="X159" i="2"/>
  <c r="W145" i="2"/>
  <c r="X145" i="2"/>
  <c r="X112" i="2"/>
  <c r="L112" i="2" s="1"/>
  <c r="W112" i="2"/>
  <c r="X113" i="2"/>
  <c r="L113" i="2" s="1"/>
  <c r="W113" i="2"/>
  <c r="W111" i="2"/>
  <c r="X111" i="2"/>
  <c r="L111" i="2" s="1"/>
  <c r="X109" i="2"/>
  <c r="L109" i="2" s="1"/>
  <c r="W109" i="2"/>
  <c r="W88" i="2"/>
  <c r="X88" i="2"/>
  <c r="L88" i="2" s="1"/>
  <c r="W65" i="2"/>
  <c r="X65" i="2"/>
  <c r="W35" i="2"/>
  <c r="X35" i="2"/>
  <c r="X108" i="2"/>
  <c r="L108" i="2" s="1"/>
  <c r="W108" i="2"/>
  <c r="X107" i="2"/>
  <c r="L107" i="2" s="1"/>
  <c r="W107" i="2"/>
  <c r="W106" i="2"/>
  <c r="X106" i="2"/>
  <c r="L106" i="2" s="1"/>
  <c r="W105" i="2"/>
  <c r="X105" i="2"/>
  <c r="L105" i="2" s="1"/>
  <c r="W99" i="2"/>
  <c r="X99" i="2"/>
  <c r="W94" i="2"/>
  <c r="W95" i="2"/>
  <c r="W96" i="2"/>
  <c r="W97" i="2"/>
  <c r="X95" i="2"/>
  <c r="L95" i="2" s="1"/>
  <c r="X96" i="2"/>
  <c r="L96" i="2" s="1"/>
  <c r="X97" i="2"/>
  <c r="L97" i="2" s="1"/>
  <c r="X94" i="2"/>
  <c r="L94" i="2" s="1"/>
  <c r="W92" i="2"/>
  <c r="X92" i="2"/>
  <c r="L92" i="2" s="1"/>
  <c r="X91" i="2"/>
  <c r="W78" i="2"/>
  <c r="X78" i="2"/>
  <c r="L78" i="2" s="1"/>
  <c r="W75" i="2"/>
  <c r="X75" i="2"/>
  <c r="L75" i="2" s="1"/>
  <c r="W54" i="2"/>
  <c r="W55" i="2" s="1"/>
  <c r="X55" i="2"/>
  <c r="L55" i="2" s="1"/>
  <c r="W49" i="2"/>
  <c r="W50" i="2" s="1"/>
  <c r="X49" i="2"/>
  <c r="X50" i="2" s="1"/>
  <c r="W24" i="2"/>
  <c r="W25" i="2" s="1"/>
  <c r="X24" i="2"/>
  <c r="X25" i="2" s="1"/>
  <c r="L25" i="2" s="1"/>
  <c r="W17" i="2"/>
  <c r="W18" i="2" s="1"/>
  <c r="X17" i="2"/>
  <c r="X18" i="2" s="1"/>
  <c r="W40" i="2"/>
  <c r="W156" i="2" s="1"/>
  <c r="X40" i="2"/>
  <c r="W8" i="2"/>
  <c r="X8" i="2"/>
  <c r="C7" i="1" a="1"/>
  <c r="C7" i="1" s="1"/>
  <c r="C6" i="1" a="1"/>
  <c r="C6" i="1" s="1"/>
  <c r="C16" i="1" s="1"/>
  <c r="C14" i="1"/>
  <c r="C36" i="1" s="1"/>
  <c r="C5" i="1" a="1"/>
  <c r="C5" i="1" s="1"/>
  <c r="C4" i="1" a="1"/>
  <c r="C4" i="1" s="1"/>
  <c r="C3" i="1" a="1"/>
  <c r="C3" i="1" s="1"/>
  <c r="M3" i="2" s="1"/>
  <c r="T154" i="2" l="1"/>
  <c r="R162" i="2"/>
  <c r="R163" i="2" s="1"/>
  <c r="R170" i="2"/>
  <c r="R171" i="2" s="1"/>
  <c r="O162" i="2"/>
  <c r="O163" i="2" s="1"/>
  <c r="O170" i="2"/>
  <c r="O171" i="2" s="1"/>
  <c r="S160" i="2"/>
  <c r="X53" i="2"/>
  <c r="X156" i="2"/>
  <c r="C20" i="1"/>
  <c r="J160" i="2"/>
  <c r="J162" i="2" s="1"/>
  <c r="J211" i="2" s="1"/>
  <c r="J228" i="2" s="1"/>
  <c r="J251" i="2" s="1"/>
  <c r="J254" i="2" s="1"/>
  <c r="L209" i="2"/>
  <c r="W66" i="2"/>
  <c r="W41" i="2"/>
  <c r="W53" i="2"/>
  <c r="X51" i="2"/>
  <c r="X66" i="2"/>
  <c r="W51" i="2"/>
  <c r="Z40" i="2"/>
  <c r="X41" i="2"/>
  <c r="Y41" i="2"/>
  <c r="W12" i="2"/>
  <c r="W9" i="2"/>
  <c r="X9" i="2"/>
  <c r="Y9" i="2"/>
  <c r="U102" i="2"/>
  <c r="X19" i="2"/>
  <c r="W19" i="2"/>
  <c r="C23" i="1" s="1"/>
  <c r="S154" i="2"/>
  <c r="T102" i="2"/>
  <c r="S102" i="2"/>
  <c r="R102" i="2"/>
  <c r="V102" i="2"/>
  <c r="Q102" i="2"/>
  <c r="P102" i="2"/>
  <c r="L153" i="2"/>
  <c r="L154" i="2" s="1"/>
  <c r="L91" i="2"/>
  <c r="Z91" i="2"/>
  <c r="X12" i="2"/>
  <c r="Z12" i="2" s="1"/>
  <c r="Z8" i="2"/>
  <c r="V209" i="2"/>
  <c r="F90" i="2"/>
  <c r="I251" i="2"/>
  <c r="I254" i="2" s="1"/>
  <c r="L66" i="2"/>
  <c r="L53" i="2"/>
  <c r="L100" i="2"/>
  <c r="F53" i="2"/>
  <c r="X36" i="2"/>
  <c r="W36" i="2"/>
  <c r="L12" i="2"/>
  <c r="L23" i="2"/>
  <c r="U209" i="2"/>
  <c r="I154" i="2"/>
  <c r="L235" i="2"/>
  <c r="L36" i="2"/>
  <c r="T160" i="2"/>
  <c r="R211" i="2"/>
  <c r="R228" i="2" s="1"/>
  <c r="Q209" i="2"/>
  <c r="R209" i="2"/>
  <c r="P209" i="2"/>
  <c r="T209" i="2"/>
  <c r="I236" i="2"/>
  <c r="I238" i="2" s="1"/>
  <c r="S209" i="2"/>
  <c r="X235" i="2"/>
  <c r="I209" i="2"/>
  <c r="C91" i="2"/>
  <c r="D91" i="2" s="1"/>
  <c r="M209" i="2"/>
  <c r="J209" i="2"/>
  <c r="Q154" i="2"/>
  <c r="Q160" i="2"/>
  <c r="L114" i="2"/>
  <c r="L115" i="2" s="1"/>
  <c r="P154" i="2"/>
  <c r="P160" i="2"/>
  <c r="I165" i="2"/>
  <c r="I163" i="2"/>
  <c r="M160" i="2"/>
  <c r="M162" i="2" s="1"/>
  <c r="M211" i="2" s="1"/>
  <c r="M228" i="2" s="1"/>
  <c r="M236" i="2" s="1"/>
  <c r="U160" i="2"/>
  <c r="U154" i="2"/>
  <c r="L98" i="2"/>
  <c r="V160" i="2"/>
  <c r="V154" i="2"/>
  <c r="K160" i="2"/>
  <c r="K162" i="2" s="1"/>
  <c r="K163" i="2" s="1"/>
  <c r="C17" i="1"/>
  <c r="E163" i="2"/>
  <c r="E211" i="2"/>
  <c r="E228" i="2" s="1"/>
  <c r="E236" i="2" s="1"/>
  <c r="X128" i="2"/>
  <c r="X125" i="2"/>
  <c r="X126" i="2"/>
  <c r="X127" i="2"/>
  <c r="W125" i="2"/>
  <c r="W126" i="2"/>
  <c r="W127" i="2"/>
  <c r="W128" i="2"/>
  <c r="C90" i="2"/>
  <c r="C141" i="2" s="1"/>
  <c r="C153" i="2"/>
  <c r="C160" i="2" s="1"/>
  <c r="C162" i="2" s="1"/>
  <c r="E154" i="2"/>
  <c r="X153" i="2"/>
  <c r="W153" i="2"/>
  <c r="E146" i="2"/>
  <c r="E90" i="2"/>
  <c r="E141" i="2" s="1"/>
  <c r="X208" i="2"/>
  <c r="E23" i="2"/>
  <c r="C53" i="2"/>
  <c r="C23" i="2"/>
  <c r="E53" i="2"/>
  <c r="X188" i="2"/>
  <c r="W188" i="2"/>
  <c r="W208" i="2"/>
  <c r="W235" i="2"/>
  <c r="X114" i="2"/>
  <c r="X115" i="2" s="1"/>
  <c r="W114" i="2"/>
  <c r="W115" i="2" s="1"/>
  <c r="W90" i="2"/>
  <c r="W141" i="2" s="1"/>
  <c r="X146" i="2"/>
  <c r="W146" i="2"/>
  <c r="X103" i="2"/>
  <c r="L103" i="2" s="1"/>
  <c r="W103" i="2"/>
  <c r="W93" i="2"/>
  <c r="W100" i="2"/>
  <c r="W98" i="2"/>
  <c r="W101" i="2" s="1"/>
  <c r="X104" i="2"/>
  <c r="L104" i="2" s="1"/>
  <c r="W104" i="2"/>
  <c r="X100" i="2"/>
  <c r="Z100" i="2" s="1"/>
  <c r="X90" i="2"/>
  <c r="X98" i="2"/>
  <c r="X101" i="2" s="1"/>
  <c r="X93" i="2"/>
  <c r="L93" i="2" s="1"/>
  <c r="X23" i="2"/>
  <c r="W23" i="2"/>
  <c r="W44" i="2"/>
  <c r="X44" i="2"/>
  <c r="Z44" i="2" s="1"/>
  <c r="O211" i="2" l="1"/>
  <c r="O228" i="2" s="1"/>
  <c r="J236" i="2"/>
  <c r="J238" i="2" s="1"/>
  <c r="J163" i="2"/>
  <c r="O165" i="2"/>
  <c r="P162" i="2"/>
  <c r="P165" i="2" s="1"/>
  <c r="P170" i="2"/>
  <c r="P171" i="2" s="1"/>
  <c r="S162" i="2"/>
  <c r="S170" i="2"/>
  <c r="S171" i="2" s="1"/>
  <c r="Q162" i="2"/>
  <c r="Q165" i="2" s="1"/>
  <c r="Q170" i="2"/>
  <c r="Q171" i="2" s="1"/>
  <c r="V162" i="2"/>
  <c r="V163" i="2" s="1"/>
  <c r="V170" i="2"/>
  <c r="V171" i="2" s="1"/>
  <c r="U162" i="2"/>
  <c r="U211" i="2" s="1"/>
  <c r="U228" i="2" s="1"/>
  <c r="U236" i="2" s="1"/>
  <c r="U170" i="2"/>
  <c r="U171" i="2" s="1"/>
  <c r="T162" i="2"/>
  <c r="T165" i="2" s="1"/>
  <c r="T170" i="2"/>
  <c r="T171" i="2" s="1"/>
  <c r="W160" i="2"/>
  <c r="W171" i="2"/>
  <c r="R165" i="2"/>
  <c r="X154" i="2"/>
  <c r="J165" i="2"/>
  <c r="P211" i="2"/>
  <c r="P228" i="2" s="1"/>
  <c r="P236" i="2" s="1"/>
  <c r="P163" i="2"/>
  <c r="C30" i="1"/>
  <c r="Z51" i="2"/>
  <c r="X102" i="2"/>
  <c r="L160" i="2"/>
  <c r="W102" i="2"/>
  <c r="O236" i="2"/>
  <c r="O251" i="2"/>
  <c r="O254" i="2" s="1"/>
  <c r="J237" i="2"/>
  <c r="R236" i="2"/>
  <c r="R251" i="2"/>
  <c r="R254" i="2" s="1"/>
  <c r="I237" i="2"/>
  <c r="W154" i="2"/>
  <c r="M165" i="2"/>
  <c r="M251" i="2"/>
  <c r="M254" i="2" s="1"/>
  <c r="M163" i="2"/>
  <c r="K165" i="2"/>
  <c r="K211" i="2"/>
  <c r="K228" i="2" s="1"/>
  <c r="K251" i="2" s="1"/>
  <c r="K254" i="2" s="1"/>
  <c r="L253" i="2" s="1"/>
  <c r="L162" i="2"/>
  <c r="X141" i="2"/>
  <c r="L141" i="2" s="1"/>
  <c r="L90" i="2"/>
  <c r="M238" i="2"/>
  <c r="M237" i="2"/>
  <c r="E238" i="2"/>
  <c r="E237" i="2"/>
  <c r="C163" i="2"/>
  <c r="C211" i="2"/>
  <c r="C228" i="2" s="1"/>
  <c r="C236" i="2" s="1"/>
  <c r="X160" i="2"/>
  <c r="C154" i="2"/>
  <c r="W209" i="2"/>
  <c r="X209" i="2"/>
  <c r="V165" i="2" l="1"/>
  <c r="V211" i="2"/>
  <c r="V228" i="2" s="1"/>
  <c r="Q163" i="2"/>
  <c r="Q211" i="2"/>
  <c r="Q228" i="2" s="1"/>
  <c r="Q251" i="2" s="1"/>
  <c r="Q254" i="2" s="1"/>
  <c r="X162" i="2"/>
  <c r="X165" i="2" s="1"/>
  <c r="X170" i="2"/>
  <c r="X171" i="2" s="1"/>
  <c r="X257" i="2" s="1"/>
  <c r="U165" i="2"/>
  <c r="T163" i="2"/>
  <c r="P251" i="2"/>
  <c r="P254" i="2" s="1"/>
  <c r="S163" i="2"/>
  <c r="S211" i="2"/>
  <c r="S228" i="2" s="1"/>
  <c r="S165" i="2"/>
  <c r="T211" i="2"/>
  <c r="T228" i="2" s="1"/>
  <c r="T236" i="2" s="1"/>
  <c r="T237" i="2" s="1"/>
  <c r="U163" i="2"/>
  <c r="W162" i="2"/>
  <c r="W170" i="2"/>
  <c r="Q236" i="2"/>
  <c r="Q237" i="2" s="1"/>
  <c r="X211" i="2"/>
  <c r="X228" i="2" s="1"/>
  <c r="X251" i="2" s="1"/>
  <c r="X254" i="2" s="1"/>
  <c r="X163" i="2"/>
  <c r="U251" i="2"/>
  <c r="U254" i="2" s="1"/>
  <c r="P238" i="2"/>
  <c r="P237" i="2"/>
  <c r="O238" i="2"/>
  <c r="O237" i="2"/>
  <c r="R237" i="2"/>
  <c r="R238" i="2"/>
  <c r="U238" i="2"/>
  <c r="U237" i="2"/>
  <c r="K236" i="2"/>
  <c r="K237" i="2" s="1"/>
  <c r="V251" i="2"/>
  <c r="V254" i="2" s="1"/>
  <c r="V236" i="2"/>
  <c r="L163" i="2"/>
  <c r="L164" i="2" s="1"/>
  <c r="L165" i="2" s="1"/>
  <c r="L211" i="2"/>
  <c r="L228" i="2" s="1"/>
  <c r="C238" i="2"/>
  <c r="C237" i="2"/>
  <c r="Q238" i="2" l="1"/>
  <c r="S236" i="2"/>
  <c r="S251" i="2"/>
  <c r="S254" i="2" s="1"/>
  <c r="T238" i="2"/>
  <c r="W163" i="2"/>
  <c r="W211" i="2"/>
  <c r="W228" i="2" s="1"/>
  <c r="W165" i="2"/>
  <c r="T251" i="2"/>
  <c r="T254" i="2" s="1"/>
  <c r="X236" i="2"/>
  <c r="X238" i="2" s="1"/>
  <c r="K238" i="2"/>
  <c r="V237" i="2"/>
  <c r="V238" i="2"/>
  <c r="L251" i="2"/>
  <c r="L254" i="2" s="1"/>
  <c r="L236" i="2"/>
  <c r="X237" i="2" l="1"/>
  <c r="W236" i="2"/>
  <c r="W251" i="2"/>
  <c r="W254" i="2" s="1"/>
  <c r="S238" i="2"/>
  <c r="S237" i="2"/>
  <c r="L237" i="2"/>
  <c r="L238" i="2"/>
  <c r="W237" i="2" l="1"/>
  <c r="W238"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tc={68F2DEA8-9FAB-44B7-9FC6-5BCACBDB6EC3}</author>
    <author>tc={3B03CFC6-1499-44C5-98EA-AD8E2F4CE4BC}</author>
    <author>tc={74499B11-028E-4776-97C6-29751F9CE3D2}</author>
    <author>tc={CAC1400A-9E92-4002-8AB9-8E9B9755F8C2}</author>
    <author>tc={51C3005A-2C73-4DA9-BD3C-02C00B0855B8}</author>
    <author>tc={DAE6699C-F7A3-42F9-8480-DA970EDFE4B8}</author>
    <author>tc={C6DB90A6-61A6-4190-B619-7D7FA6BBC747}</author>
    <author>tc={94DC3BE5-6CCC-4988-AE4F-731ED2E5C496}</author>
    <author>tc={DCFF5CE6-0B69-4B3B-947D-B12B3ACB9E7D}</author>
    <author>tc={006992A0-6F8C-4F64-AB0E-B7F936D5248A}</author>
    <author>tc={4C00E73E-7280-4FAC-B1FC-E30FF27038B0}</author>
    <author>tc={73DD2840-A1FD-4FD9-B7DC-604A0597D5F1}</author>
    <author>tc={CC00D0EC-26E9-4230-BC94-FD6A8A266407}</author>
  </authors>
  <commentList>
    <comment ref="Y2" authorId="0" shapeId="0" xr:uid="{68F2DEA8-9FAB-44B7-9FC6-5BCACBDB6EC3}">
      <text>
        <t>[Threaded comment]
Your version of Excel allows you to read this threaded comment; however, any edits to it will get removed if the file is opened in a newer version of Excel. Learn more: https://go.microsoft.com/fwlink/?linkid=870924
Comment:
    P.345 of 369
Reply:
    Consolidated: p.243</t>
      </text>
    </comment>
    <comment ref="Z18" authorId="1" shapeId="0" xr:uid="{3B03CFC6-1499-44C5-98EA-AD8E2F4CE4BC}">
      <text>
        <t>[Threaded comment]
Your version of Excel allows you to read this threaded comment; however, any edits to it will get removed if the file is opened in a newer version of Excel. Learn more: https://go.microsoft.com/fwlink/?linkid=870924
Comment:
    5-yr cagr</t>
      </text>
    </comment>
    <comment ref="B117" authorId="2" shapeId="0" xr:uid="{74499B11-028E-4776-97C6-29751F9CE3D2}">
      <text>
        <t>[Threaded comment]
Your version of Excel allows you to read this threaded comment; however, any edits to it will get removed if the file is opened in a newer version of Excel. Learn more: https://go.microsoft.com/fwlink/?linkid=870924
Comment:
    P.259</t>
      </text>
    </comment>
    <comment ref="B123" authorId="3" shapeId="0" xr:uid="{CAC1400A-9E92-4002-8AB9-8E9B9755F8C2}">
      <text>
        <t>[Threaded comment]
Your version of Excel allows you to read this threaded comment; however, any edits to it will get removed if the file is opened in a newer version of Excel. Learn more: https://go.microsoft.com/fwlink/?linkid=870924
Comment:
    P.259</t>
      </text>
    </comment>
    <comment ref="B137" authorId="4" shapeId="0" xr:uid="{51C3005A-2C73-4DA9-BD3C-02C00B0855B8}">
      <text>
        <t>[Threaded comment]
Your version of Excel allows you to read this threaded comment; however, any edits to it will get removed if the file is opened in a newer version of Excel. Learn more: https://go.microsoft.com/fwlink/?linkid=870924
Comment:
    P.259</t>
      </text>
    </comment>
    <comment ref="B167" authorId="5" shapeId="0" xr:uid="{DAE6699C-F7A3-42F9-8480-DA970EDFE4B8}">
      <text>
        <t>[Threaded comment]
Your version of Excel allows you to read this threaded comment; however, any edits to it will get removed if the file is opened in a newer version of Excel. Learn more: https://go.microsoft.com/fwlink/?linkid=870924
Comment:
    P.265 of 352</t>
      </text>
    </comment>
    <comment ref="R196" authorId="6" shapeId="0" xr:uid="{C6DB90A6-61A6-4190-B619-7D7FA6BBC747}">
      <text>
        <t>[Threaded comment]
Your version of Excel allows you to read this threaded comment; however, any edits to it will get removed if the file is opened in a newer version of Excel. Learn more: https://go.microsoft.com/fwlink/?linkid=870924
Comment:
    Refund liability of Eur 30.3</t>
      </text>
    </comment>
    <comment ref="O206" authorId="7" shapeId="0" xr:uid="{94DC3BE5-6CCC-4988-AE4F-731ED2E5C496}">
      <text>
        <t>[Threaded comment]
Your version of Excel allows you to read this threaded comment; however, any edits to it will get removed if the file is opened in a newer version of Excel. Learn more: https://go.microsoft.com/fwlink/?linkid=870924
Comment:
    Eur 374 million in construction contract/service business payables</t>
      </text>
    </comment>
    <comment ref="P239" authorId="8" shapeId="0" xr:uid="{DCFF5CE6-0B69-4B3B-947D-B12B3ACB9E7D}">
      <text>
        <t>[Threaded comment]
Your version of Excel allows you to read this threaded comment; however, any edits to it will get removed if the file is opened in a newer version of Excel. Learn more: https://go.microsoft.com/fwlink/?linkid=870924
Comment:
    Proceed from a convertible bond issuance</t>
      </text>
    </comment>
    <comment ref="Y261" authorId="9" shapeId="0" xr:uid="{006992A0-6F8C-4F64-AB0E-B7F936D5248A}">
      <text>
        <t xml:space="preserve">[Threaded comment]
Your version of Excel allows you to read this threaded comment; however, any edits to it will get removed if the file is opened in a newer version of Excel. Learn more: https://go.microsoft.com/fwlink/?linkid=870924
Comment:
    See Note 14. This represents capitalized development assets and right-of-use assets
Reply:
    this item includes capitalized, internally generated development assets as well as right-of-use assets and licenses. In the reporting period, MTU capitalized a total of €246 million (previous year: €181 million) for intangible assets. The increase results principally from capital expenditure of €158 million (previous year: €96 million) for the acquisition of maintenance licenses for the LEAP and GEnx engine programs by the site in Fort Worth, USA, and €81 million (previous year: €59 million) relate to internally generated developments in the scope of participation in engine programs, particularly the Pratt &amp; Whitney GTF™ engine family and also to internally developed software. Out of the capital expenditure on maintenance licenses, €158 million (previous year: €0 million) are not yet cash-effective. </t>
      </text>
    </comment>
    <comment ref="Y266" authorId="10" shapeId="0" xr:uid="{4C00E73E-7280-4FAC-B1FC-E30FF27038B0}">
      <text>
        <t>[Threaded comment]
Your version of Excel allows you to read this threaded comment; however, any edits to it will get removed if the file is opened in a newer version of Excel. Learn more: https://go.microsoft.com/fwlink/?linkid=870924
Comment:
    Deduced Eur 2 million for D&amp;A related to R&amp;D</t>
      </text>
    </comment>
    <comment ref="B267" authorId="11" shapeId="0" xr:uid="{73DD2840-A1FD-4FD9-B7DC-604A0597D5F1}">
      <text>
        <t>[Threaded comment]
Your version of Excel allows you to read this threaded comment; however, any edits to it will get removed if the file is opened in a newer version of Excel. Learn more: https://go.microsoft.com/fwlink/?linkid=870924
Comment:
    From disclosure</t>
      </text>
    </comment>
    <comment ref="Y277" authorId="12" shapeId="0" xr:uid="{CC00D0EC-26E9-4230-BC94-FD6A8A266407}">
      <text>
        <t>[Threaded comment]
Your version of Excel allows you to read this threaded comment; however, any edits to it will get removed if the file is opened in a newer version of Excel. Learn more: https://go.microsoft.com/fwlink/?linkid=870924
Comment:
    See P.248 of 369; 2025 Annual Report</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2"/>
        </ext>
      </extLst>
    </bk>
  </futureMetadata>
  <cellMetadata count="1">
    <bk>
      <rc t="1" v="0"/>
    </bk>
  </cellMetadata>
  <valueMetadata count="1">
    <bk>
      <rc t="2" v="0"/>
    </bk>
  </valueMetadata>
</metadata>
</file>

<file path=xl/sharedStrings.xml><?xml version="1.0" encoding="utf-8"?>
<sst xmlns="http://schemas.openxmlformats.org/spreadsheetml/2006/main" count="551" uniqueCount="415">
  <si>
    <t xml:space="preserve">Price: </t>
  </si>
  <si>
    <t>52w High:</t>
  </si>
  <si>
    <t>52w Low:</t>
  </si>
  <si>
    <t>Market Cap</t>
  </si>
  <si>
    <t>Shares outstanding</t>
  </si>
  <si>
    <t>P/E</t>
  </si>
  <si>
    <t>HQ:</t>
  </si>
  <si>
    <t>Dachauer Str. 665
80995 München
Germany</t>
  </si>
  <si>
    <t>Military engine business</t>
  </si>
  <si>
    <t>other revenue</t>
  </si>
  <si>
    <t>Commercial &amp; military (OEM segment)</t>
  </si>
  <si>
    <t>Commercial engine business</t>
  </si>
  <si>
    <t>Commercial maintenance business</t>
  </si>
  <si>
    <t>Commercial maintenance buisness (MRO)</t>
  </si>
  <si>
    <t>Consolidation</t>
  </si>
  <si>
    <t>P.235</t>
  </si>
  <si>
    <t>P.228 for cons.</t>
  </si>
  <si>
    <t>Adjusted revenue</t>
  </si>
  <si>
    <t>Gross profit</t>
  </si>
  <si>
    <t>Amortization of intangibles</t>
  </si>
  <si>
    <t>Depreciation of PPE</t>
  </si>
  <si>
    <t>Non-cash amortization of program assets</t>
  </si>
  <si>
    <t>Impairment losses</t>
  </si>
  <si>
    <t>D&amp;A/adjustments/impairments</t>
  </si>
  <si>
    <t>EBIT</t>
  </si>
  <si>
    <t>Special items</t>
  </si>
  <si>
    <t>Adjusted EBIT</t>
  </si>
  <si>
    <t>Profit/loss of companies accounted for using equity meth.</t>
  </si>
  <si>
    <t>Carrying amount of companeis accounted for using the equity meth</t>
  </si>
  <si>
    <t>Assets</t>
  </si>
  <si>
    <t>Liabilities</t>
  </si>
  <si>
    <t>margin%</t>
  </si>
  <si>
    <t>Material other non-cash items</t>
  </si>
  <si>
    <t xml:space="preserve">CapEx: </t>
  </si>
  <si>
    <t>Intangible assets</t>
  </si>
  <si>
    <t>PPE</t>
  </si>
  <si>
    <t>Acquired program assets, dev work, and other assets</t>
  </si>
  <si>
    <t>Total CAPEX</t>
  </si>
  <si>
    <t>Perecent of revenue</t>
  </si>
  <si>
    <t>X</t>
  </si>
  <si>
    <t>Consolidated Financials</t>
  </si>
  <si>
    <t>Revenue</t>
  </si>
  <si>
    <t>COGS</t>
  </si>
  <si>
    <t>Gross Profit</t>
  </si>
  <si>
    <t>MTU Group Revenue</t>
  </si>
  <si>
    <t>Check from previous analysis - Revenue</t>
  </si>
  <si>
    <t>R&amp;D</t>
  </si>
  <si>
    <t>Selling Expenses</t>
  </si>
  <si>
    <t>G&amp;A</t>
  </si>
  <si>
    <t>Net interest income/expense</t>
  </si>
  <si>
    <t>Other financial income/expense</t>
  </si>
  <si>
    <t>Financial expense</t>
  </si>
  <si>
    <t>Income taxes</t>
  </si>
  <si>
    <t>Net Income</t>
  </si>
  <si>
    <t>Owners of MTU AG</t>
  </si>
  <si>
    <t>non-controlling interests</t>
  </si>
  <si>
    <t>Geographic distribution</t>
  </si>
  <si>
    <t>Germany</t>
  </si>
  <si>
    <t>Europe, not Germany</t>
  </si>
  <si>
    <t>North America</t>
  </si>
  <si>
    <t>Asia</t>
  </si>
  <si>
    <t>Other Regions</t>
  </si>
  <si>
    <t>Lease engines?</t>
  </si>
  <si>
    <t>Spare parts</t>
  </si>
  <si>
    <t>Good if aircraft are aging? I.e., slower production lines = more business??</t>
  </si>
  <si>
    <t>Basic EPS</t>
  </si>
  <si>
    <t>Intangible assets &amp; goodwill</t>
  </si>
  <si>
    <t>Financial assets accounted for using equity meth</t>
  </si>
  <si>
    <t>Other financial assets</t>
  </si>
  <si>
    <t>Acquired program assets, development work and other assets</t>
  </si>
  <si>
    <t>deferred taxes</t>
  </si>
  <si>
    <t>Total noncurrent assets</t>
  </si>
  <si>
    <t>Inventories</t>
  </si>
  <si>
    <t>Trade receivables</t>
  </si>
  <si>
    <t>Contract assets</t>
  </si>
  <si>
    <t>income tax receivables</t>
  </si>
  <si>
    <t>Other assets</t>
  </si>
  <si>
    <t>Cash &amp; equivalents</t>
  </si>
  <si>
    <t>Total current assets</t>
  </si>
  <si>
    <t>Total Assets</t>
  </si>
  <si>
    <t>Equity - owners of AG</t>
  </si>
  <si>
    <t>Noncontrolling interests</t>
  </si>
  <si>
    <t>Total Equity</t>
  </si>
  <si>
    <t xml:space="preserve">Pension provisions </t>
  </si>
  <si>
    <t>Other provisions</t>
  </si>
  <si>
    <t>Financial liabilities</t>
  </si>
  <si>
    <t>Contract liabilities</t>
  </si>
  <si>
    <t>Other liabilities</t>
  </si>
  <si>
    <t>Total noncurrent liabilties</t>
  </si>
  <si>
    <t>Income tax liabilities</t>
  </si>
  <si>
    <t>Refund liabilities</t>
  </si>
  <si>
    <t>Trade payables</t>
  </si>
  <si>
    <t>Total current liabilities</t>
  </si>
  <si>
    <t>Total liabilities</t>
  </si>
  <si>
    <t>check</t>
  </si>
  <si>
    <t>Net income</t>
  </si>
  <si>
    <t>Non-cash amortization</t>
  </si>
  <si>
    <t>Amortization, depreciaiton, writups or impairments of other noncurrents</t>
  </si>
  <si>
    <t>profit/loss of equity investments</t>
  </si>
  <si>
    <t>Dividends received</t>
  </si>
  <si>
    <t>Gains/losses on disposal of assets</t>
  </si>
  <si>
    <t>Result effective change in pension provisions</t>
  </si>
  <si>
    <t>Change in other provisions</t>
  </si>
  <si>
    <t>Change in refund liabilities</t>
  </si>
  <si>
    <t>Change in working capital</t>
  </si>
  <si>
    <t>Other non-cash</t>
  </si>
  <si>
    <t>interest paid</t>
  </si>
  <si>
    <t>interest received</t>
  </si>
  <si>
    <t>income taxes</t>
  </si>
  <si>
    <t>income taxes paid</t>
  </si>
  <si>
    <t>Operating Cash Flow</t>
  </si>
  <si>
    <t>Financial assets</t>
  </si>
  <si>
    <t>acquired program assets, development work and other assets</t>
  </si>
  <si>
    <t>CapEx</t>
  </si>
  <si>
    <t>Proceeds from disposal of PPE/other financials</t>
  </si>
  <si>
    <t>Conversion from EBITDA%</t>
  </si>
  <si>
    <t>Conversion from Net Income%</t>
  </si>
  <si>
    <t>Financing Cash Flow</t>
  </si>
  <si>
    <t>Cash inflow form other bonds and notes</t>
  </si>
  <si>
    <t>Settlement of lease liabilities</t>
  </si>
  <si>
    <t>Settlement of purchase price liabilities for stakes in programs</t>
  </si>
  <si>
    <t>Increase in other financial liabilities</t>
  </si>
  <si>
    <t>Repayment of other financial liabilities</t>
  </si>
  <si>
    <t>Capital repayment/increase</t>
  </si>
  <si>
    <t>Investing Cash Flow</t>
  </si>
  <si>
    <t>Change in cash position</t>
  </si>
  <si>
    <t>ForEx impact</t>
  </si>
  <si>
    <t>Opening Cash</t>
  </si>
  <si>
    <t>Closing Cash</t>
  </si>
  <si>
    <t xml:space="preserve">PW GTU engine: </t>
  </si>
  <si>
    <t>In addition to being responsible for the high-speed low-pressure turbine and the first four stages of the high-pressure compressor, MTU also manufactures brush seals and nickel blisks for high-pressure compressor components that fall outside its design responsibility. Moreover, MTU in Munich is responsible for the final assembly of one-third of the production PW1100G-JM for the A320neo.</t>
  </si>
  <si>
    <t>Q1'2025</t>
  </si>
  <si>
    <t>Q1'2024</t>
  </si>
  <si>
    <t>Other operating income/(expense), net</t>
  </si>
  <si>
    <t>Geographic distribution (percentage)</t>
  </si>
  <si>
    <t>Customer funded R&amp;D</t>
  </si>
  <si>
    <t>Company expensed R&amp;D</t>
  </si>
  <si>
    <t>Total R&amp;D</t>
  </si>
  <si>
    <t>profit/loss of companies using the equity method</t>
  </si>
  <si>
    <t>Other/Catch-all</t>
  </si>
  <si>
    <t>Segment information - OEM</t>
  </si>
  <si>
    <t>Segment information - MRO</t>
  </si>
  <si>
    <t>Q2'2024</t>
  </si>
  <si>
    <t>Q2'2025</t>
  </si>
  <si>
    <t>Current backlog of Eur. 25B largely driven by PW GTF engine family (PW 1100G-JM) and V2500</t>
  </si>
  <si>
    <t>Received orders of $1.75 B at June 25 Paris Air Show</t>
  </si>
  <si>
    <t>1H2025</t>
  </si>
  <si>
    <t>1H2024</t>
  </si>
  <si>
    <t>6Mo. Figures</t>
  </si>
  <si>
    <t>Group Total Revenue</t>
  </si>
  <si>
    <t>R&amp;D Schedule (M. Eur)</t>
  </si>
  <si>
    <t>P.22/57:</t>
  </si>
  <si>
    <t>Military Applications</t>
  </si>
  <si>
    <r>
      <t xml:space="preserve">Eurofighter - </t>
    </r>
    <r>
      <rPr>
        <sz val="11"/>
        <color theme="1"/>
        <rFont val="Calibri"/>
        <family val="2"/>
        <scheme val="minor"/>
      </rPr>
      <t>EJ200 engines. 160 orders from spain and Germany. Fighter engine - key revenue driver</t>
    </r>
  </si>
  <si>
    <r>
      <t>A400-</t>
    </r>
    <r>
      <rPr>
        <sz val="11"/>
        <color theme="1"/>
        <rFont val="Calibri"/>
        <family val="2"/>
        <scheme val="minor"/>
      </rPr>
      <t xml:space="preserve"> 178 in order. </t>
    </r>
    <r>
      <rPr>
        <b/>
        <sz val="11"/>
        <color theme="1"/>
        <rFont val="Calibri"/>
        <family val="2"/>
        <scheme val="minor"/>
      </rPr>
      <t xml:space="preserve">TP400-D6 </t>
    </r>
    <r>
      <rPr>
        <sz val="11"/>
        <color theme="1"/>
        <rFont val="Calibri"/>
        <family val="2"/>
        <scheme val="minor"/>
      </rPr>
      <t>engines. Good for aftermarket</t>
    </r>
  </si>
  <si>
    <r>
      <t xml:space="preserve">Sikorsky Ch-53K- </t>
    </r>
    <r>
      <rPr>
        <sz val="11"/>
        <color theme="1"/>
        <rFont val="Calibri"/>
        <family val="2"/>
        <scheme val="minor"/>
      </rPr>
      <t xml:space="preserve">Germany and French orders appx. 480. </t>
    </r>
  </si>
  <si>
    <t xml:space="preserve">Commercial </t>
  </si>
  <si>
    <r>
      <rPr>
        <b/>
        <sz val="11"/>
        <color theme="1"/>
        <rFont val="Calibri"/>
        <family val="2"/>
        <scheme val="minor"/>
      </rPr>
      <t xml:space="preserve">V2500 </t>
    </r>
    <r>
      <rPr>
        <sz val="11"/>
        <color theme="1"/>
        <rFont val="Calibri"/>
        <family val="2"/>
        <scheme val="minor"/>
      </rPr>
      <t xml:space="preserve">- engine developed in 1980's. Demand for maintenance, repair, an d overhaul. </t>
    </r>
  </si>
  <si>
    <t xml:space="preserve">MTU has 38% market share </t>
  </si>
  <si>
    <t>Revenues from: spair parts, repairs, durability.</t>
  </si>
  <si>
    <t>PW 1000G-JM</t>
  </si>
  <si>
    <t>MTU has 35% market share  for MRO shop visits</t>
  </si>
  <si>
    <t>Revenues from: MRO cost management, Repair technologies, maturing aftermarket contracts</t>
  </si>
  <si>
    <t>PW LEAP-1A &amp; LEAP-1B</t>
  </si>
  <si>
    <t>GEnx</t>
  </si>
  <si>
    <t>GE90</t>
  </si>
  <si>
    <t>Equity BV</t>
  </si>
  <si>
    <t>BVPS</t>
  </si>
  <si>
    <t>P/BV</t>
  </si>
  <si>
    <t>2H2024</t>
  </si>
  <si>
    <t>Commercial engine business revenue</t>
  </si>
  <si>
    <t>OEM business</t>
  </si>
  <si>
    <t xml:space="preserve">Commercial Maintenance </t>
  </si>
  <si>
    <t>Q3'2023</t>
  </si>
  <si>
    <t>Q3'2024</t>
  </si>
  <si>
    <t>EBIT (reported)</t>
  </si>
  <si>
    <t>OEM business EBIT</t>
  </si>
  <si>
    <t>Commercial maintenance business EBIT</t>
  </si>
  <si>
    <t>Adjusted EBIT:</t>
  </si>
  <si>
    <t>Adjusted Net Income</t>
  </si>
  <si>
    <t>Reported Net Income</t>
  </si>
  <si>
    <t>EPS</t>
  </si>
  <si>
    <t>Adjusted EPS</t>
  </si>
  <si>
    <t>Reported EBITDA</t>
  </si>
  <si>
    <t>Adjusted EBITDA</t>
  </si>
  <si>
    <t>FCF</t>
  </si>
  <si>
    <t>Company-funded R&amp;D</t>
  </si>
  <si>
    <t>Customer-funded R&amp;D</t>
  </si>
  <si>
    <t>R&amp;D expense</t>
  </si>
  <si>
    <t>CapEx on PPE</t>
  </si>
  <si>
    <t xml:space="preserve">Balance sheet: </t>
  </si>
  <si>
    <t>Intangibles</t>
  </si>
  <si>
    <t>Pension provision</t>
  </si>
  <si>
    <t xml:space="preserve">Equity </t>
  </si>
  <si>
    <t>Net financial debt</t>
  </si>
  <si>
    <t>total assets &amp; liabilities</t>
  </si>
  <si>
    <t xml:space="preserve">Order backlog </t>
  </si>
  <si>
    <t>Q4'2023</t>
  </si>
  <si>
    <t>Non-IFRS:</t>
  </si>
  <si>
    <t>Segment-level P&amp;L</t>
  </si>
  <si>
    <t>OEM business EBIT mgn</t>
  </si>
  <si>
    <t>Commercial maintenance business EBIT mgn</t>
  </si>
  <si>
    <t>EBIT mgn</t>
  </si>
  <si>
    <t>Q4'2024</t>
  </si>
  <si>
    <t>Attractive-ish</t>
  </si>
  <si>
    <t>Net Income mgn</t>
  </si>
  <si>
    <t>Engine Portfolio</t>
  </si>
  <si>
    <t>Engine</t>
  </si>
  <si>
    <t>Application</t>
  </si>
  <si>
    <t>EIS</t>
  </si>
  <si>
    <t>CF6</t>
  </si>
  <si>
    <t>A300|747|C-5M</t>
  </si>
  <si>
    <t>41,500-69,800 IBF</t>
  </si>
  <si>
    <t>EJ200</t>
  </si>
  <si>
    <t xml:space="preserve">Eurofighter Typhoon </t>
  </si>
  <si>
    <t>MTU Service</t>
  </si>
  <si>
    <t>Turbine &amp; compressor parts</t>
  </si>
  <si>
    <t>Thrust category (IBF)</t>
  </si>
  <si>
    <t xml:space="preserve">Engineering &amp; parts for compressor. </t>
  </si>
  <si>
    <t>787</t>
  </si>
  <si>
    <t>66,500-76,100</t>
  </si>
  <si>
    <t>Dev. Manu, assembly, repair of turbine center frame.</t>
  </si>
  <si>
    <t>GE9X</t>
  </si>
  <si>
    <t>777X</t>
  </si>
  <si>
    <t>100,000</t>
  </si>
  <si>
    <t>planned</t>
  </si>
  <si>
    <t>dev,manu,assembly, repair of turbine center frame</t>
  </si>
  <si>
    <t>GTF (PW)</t>
  </si>
  <si>
    <t>Manufacturer</t>
  </si>
  <si>
    <t>PW</t>
  </si>
  <si>
    <t>GE</t>
  </si>
  <si>
    <t>F110</t>
  </si>
  <si>
    <t>29,000</t>
  </si>
  <si>
    <t xml:space="preserve">Manu turbine disks for low-pressure compressor </t>
  </si>
  <si>
    <t>F414</t>
  </si>
  <si>
    <t>Parts for high and low pressure turbine</t>
  </si>
  <si>
    <t>22,000</t>
  </si>
  <si>
    <t>F/A-18 Super hornet</t>
  </si>
  <si>
    <t>A320 neo | A220| Embraer E-jets</t>
  </si>
  <si>
    <t>F-16|F-15|F-15EX</t>
  </si>
  <si>
    <t>Manu high-speed, low pressure turbine + forward 4 stages of high pressure compressor</t>
  </si>
  <si>
    <t>GP7000</t>
  </si>
  <si>
    <t>A380</t>
  </si>
  <si>
    <t>70,000-81,500</t>
  </si>
  <si>
    <t>Various components + maintenance of low-pressure turbine</t>
  </si>
  <si>
    <t>JT8D-200</t>
  </si>
  <si>
    <t>MD-80</t>
  </si>
  <si>
    <t xml:space="preserve">18,500-21,700 </t>
  </si>
  <si>
    <t>Various components of various assemblies</t>
  </si>
  <si>
    <t>Lazrac 04</t>
  </si>
  <si>
    <t>Dessault Alpha Jet</t>
  </si>
  <si>
    <t>3,000</t>
  </si>
  <si>
    <t xml:space="preserve">Hot section of engine </t>
  </si>
  <si>
    <t>MTR390</t>
  </si>
  <si>
    <t>Airbus Tiger heli</t>
  </si>
  <si>
    <t>MTU/RR</t>
  </si>
  <si>
    <t>1467 shp (shaft horsepower)</t>
  </si>
  <si>
    <t>Manu high-pressure turbine and combustor</t>
  </si>
  <si>
    <t>PW300</t>
  </si>
  <si>
    <t xml:space="preserve">Dassault Falcon </t>
  </si>
  <si>
    <t>4,000-7,000</t>
  </si>
  <si>
    <t>PW500</t>
  </si>
  <si>
    <t>Cessna citation/Excel/XLS</t>
  </si>
  <si>
    <t>3,000-4,500</t>
  </si>
  <si>
    <t>development of entire low-pressure turbine, incl. exit case and mixer</t>
  </si>
  <si>
    <t>PW800</t>
  </si>
  <si>
    <t>Gulfstream G400/500/700| Dassault Falcon 6X</t>
  </si>
  <si>
    <t>10,000-20,000</t>
  </si>
  <si>
    <t>high-pressure compressor and low-pressure turbine</t>
  </si>
  <si>
    <t>757|C-17</t>
  </si>
  <si>
    <t>37,500-43,000</t>
  </si>
  <si>
    <t>PW2000</t>
  </si>
  <si>
    <t>PW4000</t>
  </si>
  <si>
    <t>777-200(ER) &amp; -300</t>
  </si>
  <si>
    <t>74,000-98,000</t>
  </si>
  <si>
    <t>Safran helicopter engines</t>
  </si>
  <si>
    <t>RB199</t>
  </si>
  <si>
    <t>Panavia Tornado</t>
  </si>
  <si>
    <t>16,000-17,000</t>
  </si>
  <si>
    <t>Manu. Intermediate pressure and high-pressure compressor + intermediate pressure turbine</t>
  </si>
  <si>
    <t>T408</t>
  </si>
  <si>
    <t>Sikorsky CH-53K</t>
  </si>
  <si>
    <t>7,510 shp</t>
  </si>
  <si>
    <t>The power turbine</t>
  </si>
  <si>
    <t>T64</t>
  </si>
  <si>
    <t>Sikorsky CH-53G/GS/GA/GE</t>
  </si>
  <si>
    <t>4,330 shp</t>
  </si>
  <si>
    <t>Maintenance</t>
  </si>
  <si>
    <t>TP400-D6</t>
  </si>
  <si>
    <t>A400M</t>
  </si>
  <si>
    <t>11,000 shp</t>
  </si>
  <si>
    <t>Joint venture with RR and Safran</t>
  </si>
  <si>
    <t>RR/Safran/MTU</t>
  </si>
  <si>
    <t>V2500</t>
  </si>
  <si>
    <t>PW/PAWEI/Japanese aero engines</t>
  </si>
  <si>
    <t>Airbus A319/320/321|MD-90| Embraer C-390</t>
  </si>
  <si>
    <t>22,000-33,000</t>
  </si>
  <si>
    <t>JV</t>
  </si>
  <si>
    <t>Q2'2022</t>
  </si>
  <si>
    <t>Net Debt</t>
  </si>
  <si>
    <t>EBITDA</t>
  </si>
  <si>
    <t>Enterprise Value</t>
  </si>
  <si>
    <t>Q4'2022</t>
  </si>
  <si>
    <t>Q2'2023</t>
  </si>
  <si>
    <t>Q1'2022</t>
  </si>
  <si>
    <t>Q1'2023</t>
  </si>
  <si>
    <t>Profit/loss of companies using equity meth.+ PL of equity investments</t>
  </si>
  <si>
    <t>Q4'2021</t>
  </si>
  <si>
    <t>Q3'2021</t>
  </si>
  <si>
    <t>Q3'2022</t>
  </si>
  <si>
    <t>Y/Y growth</t>
  </si>
  <si>
    <t>Mix</t>
  </si>
  <si>
    <t>OEM</t>
  </si>
  <si>
    <t>1H2023</t>
  </si>
  <si>
    <t>1H2022</t>
  </si>
  <si>
    <t>Cash outflow from other bonds and notes</t>
  </si>
  <si>
    <t>TTM Figures</t>
  </si>
  <si>
    <t>Year end stock price</t>
  </si>
  <si>
    <t>Carrying amount of companies accounted for using the equity meth</t>
  </si>
  <si>
    <t>BS Restated:</t>
  </si>
  <si>
    <t>Sale of treasury shares</t>
  </si>
  <si>
    <t>Pre-tax /EBT</t>
  </si>
  <si>
    <t>Dividend payemnt to shareholers of AG &amp; Noncontrolling</t>
  </si>
  <si>
    <t>Segment Share</t>
  </si>
  <si>
    <t>MRO</t>
  </si>
  <si>
    <t>GE/PW</t>
  </si>
  <si>
    <t>RR/MTU</t>
  </si>
  <si>
    <t>MTU/FiatAvio</t>
  </si>
  <si>
    <t>CAGR</t>
  </si>
  <si>
    <t>CEO</t>
  </si>
  <si>
    <t xml:space="preserve">Dr. Johannes Bussmann </t>
  </si>
  <si>
    <t>FY2025</t>
  </si>
  <si>
    <t>fina</t>
  </si>
  <si>
    <t>Segment-level EBITDA</t>
  </si>
  <si>
    <t>OEM Segment</t>
  </si>
  <si>
    <t>Backlog</t>
  </si>
  <si>
    <t>EBITDA (Calculation 1)</t>
  </si>
  <si>
    <t>5-yr avg EBITDA AVG</t>
  </si>
  <si>
    <t>MRO Segment</t>
  </si>
  <si>
    <t>TEV/2025 EBITDA</t>
  </si>
  <si>
    <t>Date updated:</t>
  </si>
  <si>
    <t>Valuation multiple</t>
  </si>
  <si>
    <t>TEV/EBITDA Valuation multiple</t>
  </si>
  <si>
    <t>Implied Valuation</t>
  </si>
  <si>
    <t>TTM EBITDA</t>
  </si>
  <si>
    <t>SOTP Valuation</t>
  </si>
  <si>
    <t>Difference from actual</t>
  </si>
  <si>
    <t>&lt;=5-yr CAGR</t>
  </si>
  <si>
    <t>(-) Cash</t>
  </si>
  <si>
    <t>(+) Debt</t>
  </si>
  <si>
    <t>(+) Pension</t>
  </si>
  <si>
    <t>(+) Minority</t>
  </si>
  <si>
    <t>% of SOTP</t>
  </si>
  <si>
    <t>Q1'2026</t>
  </si>
  <si>
    <t>Backlog (B. Eur)</t>
  </si>
  <si>
    <t xml:space="preserve">CFO </t>
  </si>
  <si>
    <t>katja Garcia Vila</t>
  </si>
  <si>
    <t xml:space="preserve">Effective tax rate: </t>
  </si>
  <si>
    <t xml:space="preserve">NOPAT build: </t>
  </si>
  <si>
    <t>NOPAT</t>
  </si>
  <si>
    <t>Implied Levered FCF</t>
  </si>
  <si>
    <t>Unlevered FCFF Build</t>
  </si>
  <si>
    <t>EBIAT</t>
  </si>
  <si>
    <t>Net CapEx</t>
  </si>
  <si>
    <t>(+) R&amp;D</t>
  </si>
  <si>
    <t>(-) amortization of R&amp;D</t>
  </si>
  <si>
    <t>(+) Acquisitions</t>
  </si>
  <si>
    <t>(+) Adjusted Net CapEx</t>
  </si>
  <si>
    <t>(+) δ NWC</t>
  </si>
  <si>
    <t>Reinvestment</t>
  </si>
  <si>
    <t>reinvest/EBIAT (Amount of NOPAT used to reinvest)</t>
  </si>
  <si>
    <t xml:space="preserve">FCFF </t>
  </si>
  <si>
    <t xml:space="preserve">Capex schedule: </t>
  </si>
  <si>
    <t>PPE (CFS)</t>
  </si>
  <si>
    <t>Intangibles (CFS)</t>
  </si>
  <si>
    <t>Capitalized maintenance license (footnotes)</t>
  </si>
  <si>
    <t>Gross Capex</t>
  </si>
  <si>
    <t>Disposals</t>
  </si>
  <si>
    <t>Program assets + development (footnotes)</t>
  </si>
  <si>
    <t>in € million</t>
  </si>
  <si>
    <t>Change against previous year</t>
  </si>
  <si>
    <t>in %</t>
  </si>
  <si>
    <t>Commercial engine business (OEM)</t>
  </si>
  <si>
    <t>Military engine business (OEM)</t>
  </si>
  <si>
    <t>Commercial maintenance business (MRO)</t>
  </si>
  <si>
    <t>Total research and development expenses</t>
  </si>
  <si>
    <t>Refund of research and development expenses</t>
  </si>
  <si>
    <t>−26</t>
  </si>
  <si>
    <t>−23.3</t>
  </si>
  <si>
    <t>Research and development expenses – own contribution</t>
  </si>
  <si>
    <t>Expenditure meeting recognition criteria for intangible assets</t>
  </si>
  <si>
    <t>Commercial and military engine business (OEM)</t>
  </si>
  <si>
    <t>Amortization of previously capitalized development expenses</t>
  </si>
  <si>
    <t>−54</t>
  </si>
  <si>
    <t>−60.3</t>
  </si>
  <si>
    <t>Research and development expenses – effect on profit or loss</t>
  </si>
  <si>
    <t>−46</t>
  </si>
  <si>
    <t>−20.1</t>
  </si>
  <si>
    <t>thereof: in gross profit</t>
  </si>
  <si>
    <t>−51</t>
  </si>
  <si>
    <t>−41.7</t>
  </si>
  <si>
    <t>thereof: in functional costs – research and development</t>
  </si>
  <si>
    <t>Adjustments - Joaquin</t>
  </si>
  <si>
    <t>(+) expensed R&amp;D</t>
  </si>
  <si>
    <t>(-) notional R&amp;D amortization</t>
  </si>
  <si>
    <t>Joaquin - Useful life of R&amp;D (# years)</t>
  </si>
  <si>
    <t>R&amp;D asset amortization (Joaquin adjustment)</t>
  </si>
  <si>
    <t>No. employees</t>
  </si>
  <si>
    <t>Unlevered FCFF Build (Method 2)</t>
  </si>
  <si>
    <t>Levered FCF</t>
  </si>
  <si>
    <t>(+) Interes texpense</t>
  </si>
  <si>
    <t>Tax rate</t>
  </si>
  <si>
    <t xml:space="preserve">FCFF(2) </t>
  </si>
  <si>
    <t>Implied Reinvestment</t>
  </si>
  <si>
    <t>Percent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</si>
</sst>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3" formatCode="_(* #,##0.00_);_(* \(#,##0.00\);_(* &quot;-&quot;??_);_(@_)"/>
    <numFmt numFmtId="164" formatCode="_([$€-2]\ * #,##0.00_);_([$€-2]\ * \(#,##0.00\);_([$€-2]\ * &quot;-&quot;??_);_(@_)"/>
    <numFmt numFmtId="165" formatCode="_([$€-2]\ * #,##0_);_([$€-2]\ * \(#,##0\);_([$€-2]\ * &quot;-&quot;_);_(@_)"/>
    <numFmt numFmtId="166" formatCode="0.00\x"/>
    <numFmt numFmtId="167" formatCode="&quot;FY&quot;yyyy"/>
    <numFmt numFmtId="168" formatCode="_(* #,##0.0_);_(* \(#,##0.0\);_(* &quot;-&quot;??_);_(@_)"/>
    <numFmt numFmtId="169" formatCode="_(* #,##0_);_(* \(#,##0\);_(* &quot;-&quot;??_);_(@_)"/>
    <numFmt numFmtId="170" formatCode="0.00%;\(0.00%\)"/>
    <numFmt numFmtId="171" formatCode="0%;\(0%\)"/>
    <numFmt numFmtId="172" formatCode="0.0%"/>
    <numFmt numFmtId="173" formatCode="0.0%;\(0.0%\)"/>
  </numFmts>
  <fonts count="34" x14ac:knownFonts="1">
    <font>
      <sz val="11"/>
      <color theme="1"/>
      <name val="Calibri"/>
      <family val="2"/>
      <scheme val="minor"/>
    </font>
    <font>
      <sz val="11"/>
      <color theme="1"/>
      <name val="Calibri"/>
      <family val="2"/>
      <scheme val="minor"/>
    </font>
    <font>
      <b/>
      <sz val="11"/>
      <color theme="1"/>
      <name val="Calibri"/>
      <family val="2"/>
      <scheme val="minor"/>
    </font>
    <font>
      <b/>
      <u/>
      <sz val="11"/>
      <color theme="1"/>
      <name val="Calibri"/>
      <family val="2"/>
      <scheme val="minor"/>
    </font>
    <font>
      <i/>
      <sz val="11"/>
      <color theme="1"/>
      <name val="Calibri"/>
      <family val="2"/>
      <scheme val="minor"/>
    </font>
    <font>
      <sz val="9"/>
      <color theme="1"/>
      <name val="Calibri"/>
      <family val="2"/>
      <scheme val="minor"/>
    </font>
    <font>
      <b/>
      <sz val="9"/>
      <color theme="1"/>
      <name val="Calibri"/>
      <family val="2"/>
      <scheme val="minor"/>
    </font>
    <font>
      <i/>
      <sz val="9"/>
      <color theme="1"/>
      <name val="Calibri"/>
      <family val="2"/>
      <scheme val="minor"/>
    </font>
    <font>
      <b/>
      <u/>
      <sz val="9"/>
      <color theme="0"/>
      <name val="Calibri"/>
      <family val="2"/>
      <scheme val="minor"/>
    </font>
    <font>
      <sz val="9"/>
      <color theme="0"/>
      <name val="Calibri"/>
      <family val="2"/>
      <scheme val="minor"/>
    </font>
    <font>
      <b/>
      <sz val="9"/>
      <color theme="0"/>
      <name val="Calibri"/>
      <family val="2"/>
      <scheme val="minor"/>
    </font>
    <font>
      <sz val="9"/>
      <color rgb="FF0000FF"/>
      <name val="Calibri"/>
      <family val="2"/>
      <scheme val="minor"/>
    </font>
    <font>
      <u val="singleAccounting"/>
      <sz val="9"/>
      <color rgb="FF0000FF"/>
      <name val="Calibri"/>
      <family val="2"/>
      <scheme val="minor"/>
    </font>
    <font>
      <sz val="9"/>
      <name val="Calibri"/>
      <family val="2"/>
      <scheme val="minor"/>
    </font>
    <font>
      <u val="singleAccounting"/>
      <sz val="9"/>
      <name val="Calibri"/>
      <family val="2"/>
      <scheme val="minor"/>
    </font>
    <font>
      <b/>
      <sz val="9"/>
      <color rgb="FF0000FF"/>
      <name val="Calibri"/>
      <family val="2"/>
      <scheme val="minor"/>
    </font>
    <font>
      <b/>
      <sz val="9"/>
      <name val="Calibri"/>
      <family val="2"/>
      <scheme val="minor"/>
    </font>
    <font>
      <u/>
      <sz val="9"/>
      <color theme="1"/>
      <name val="Calibri"/>
      <family val="2"/>
      <scheme val="minor"/>
    </font>
    <font>
      <u val="singleAccounting"/>
      <sz val="9"/>
      <color theme="1"/>
      <name val="Calibri"/>
      <family val="2"/>
      <scheme val="minor"/>
    </font>
    <font>
      <b/>
      <u/>
      <sz val="9"/>
      <color theme="1"/>
      <name val="Calibri"/>
      <family val="2"/>
      <scheme val="minor"/>
    </font>
    <font>
      <sz val="8"/>
      <name val="Calibri"/>
      <family val="2"/>
      <scheme val="minor"/>
    </font>
    <font>
      <sz val="8"/>
      <color theme="1"/>
      <name val="Calibri"/>
      <family val="2"/>
      <scheme val="minor"/>
    </font>
    <font>
      <b/>
      <sz val="8"/>
      <color theme="1"/>
      <name val="Calibri"/>
      <family val="2"/>
      <scheme val="minor"/>
    </font>
    <font>
      <u val="singleAccounting"/>
      <sz val="8"/>
      <color theme="1"/>
      <name val="Calibri"/>
      <family val="2"/>
      <scheme val="minor"/>
    </font>
    <font>
      <u/>
      <sz val="8"/>
      <color theme="1"/>
      <name val="Calibri"/>
      <family val="2"/>
      <scheme val="minor"/>
    </font>
    <font>
      <sz val="8"/>
      <color rgb="FF0000FF"/>
      <name val="Calibri"/>
      <family val="2"/>
      <scheme val="minor"/>
    </font>
    <font>
      <u/>
      <sz val="11"/>
      <color theme="1"/>
      <name val="Calibri"/>
      <family val="2"/>
      <scheme val="minor"/>
    </font>
    <font>
      <sz val="11"/>
      <color rgb="FF0000FF"/>
      <name val="Calibri"/>
      <family val="2"/>
      <scheme val="minor"/>
    </font>
    <font>
      <u/>
      <sz val="11"/>
      <color rgb="FF0000FF"/>
      <name val="Calibri"/>
      <family val="2"/>
      <scheme val="minor"/>
    </font>
    <font>
      <u val="singleAccounting"/>
      <sz val="11"/>
      <color rgb="FF0000FF"/>
      <name val="Calibri"/>
      <family val="2"/>
      <scheme val="minor"/>
    </font>
    <font>
      <b/>
      <sz val="11"/>
      <color rgb="FFFF0000"/>
      <name val="Calibri"/>
      <family val="2"/>
      <scheme val="minor"/>
    </font>
    <font>
      <sz val="9"/>
      <color rgb="FFFF0000"/>
      <name val="Calibri"/>
      <family val="2"/>
      <scheme val="minor"/>
    </font>
    <font>
      <b/>
      <u/>
      <sz val="9"/>
      <color theme="1"/>
      <name val="Calibri"/>
      <family val="2"/>
    </font>
    <font>
      <b/>
      <sz val="9"/>
      <color theme="1"/>
      <name val="Calibri"/>
      <family val="2"/>
    </font>
  </fonts>
  <fills count="7">
    <fill>
      <patternFill patternType="none"/>
    </fill>
    <fill>
      <patternFill patternType="gray125"/>
    </fill>
    <fill>
      <patternFill patternType="solid">
        <fgColor rgb="FFFFFF00"/>
        <bgColor indexed="64"/>
      </patternFill>
    </fill>
    <fill>
      <patternFill patternType="solid">
        <fgColor rgb="FF000000"/>
        <bgColor indexed="64"/>
      </patternFill>
    </fill>
    <fill>
      <patternFill patternType="solid">
        <fgColor theme="2" tint="-9.9978637043366805E-2"/>
        <bgColor indexed="64"/>
      </patternFill>
    </fill>
    <fill>
      <patternFill patternType="solid">
        <fgColor theme="7" tint="0.79998168889431442"/>
        <bgColor indexed="64"/>
      </patternFill>
    </fill>
    <fill>
      <patternFill patternType="solid">
        <fgColor theme="5" tint="0.79998168889431442"/>
        <bgColor indexed="64"/>
      </patternFill>
    </fill>
  </fills>
  <borders count="14">
    <border>
      <left/>
      <right/>
      <top/>
      <bottom/>
      <diagonal/>
    </border>
    <border>
      <left/>
      <right/>
      <top style="dashed">
        <color auto="1"/>
      </top>
      <bottom/>
      <diagonal/>
    </border>
    <border>
      <left/>
      <right/>
      <top/>
      <bottom style="dashed">
        <color auto="1"/>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top style="thin">
        <color indexed="64"/>
      </top>
      <bottom style="double">
        <color indexed="64"/>
      </bottom>
      <diagonal/>
    </border>
    <border>
      <left style="thin">
        <color indexed="64"/>
      </left>
      <right/>
      <top style="thin">
        <color indexed="64"/>
      </top>
      <bottom style="medium">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166">
    <xf numFmtId="0" fontId="0" fillId="0" borderId="0" xfId="0"/>
    <xf numFmtId="0" fontId="2" fillId="0" borderId="0" xfId="0" applyFont="1"/>
    <xf numFmtId="0" fontId="0" fillId="0" borderId="0" xfId="0" applyAlignment="1">
      <alignment horizontal="left" indent="1"/>
    </xf>
    <xf numFmtId="0" fontId="3" fillId="0" borderId="0" xfId="0" applyFont="1"/>
    <xf numFmtId="0" fontId="4" fillId="0" borderId="0" xfId="0" applyFont="1"/>
    <xf numFmtId="0" fontId="5" fillId="0" borderId="0" xfId="0" applyFont="1"/>
    <xf numFmtId="0" fontId="5" fillId="0" borderId="0" xfId="0" applyFont="1" applyAlignment="1">
      <alignment horizontal="left" indent="1"/>
    </xf>
    <xf numFmtId="0" fontId="6" fillId="0" borderId="0" xfId="0" applyFont="1"/>
    <xf numFmtId="0" fontId="5" fillId="0" borderId="0" xfId="0" applyFont="1" applyAlignment="1">
      <alignment horizontal="left"/>
    </xf>
    <xf numFmtId="0" fontId="7" fillId="0" borderId="0" xfId="0" applyFont="1" applyAlignment="1">
      <alignment horizontal="left" indent="1"/>
    </xf>
    <xf numFmtId="0" fontId="7" fillId="0" borderId="0" xfId="0" applyFont="1"/>
    <xf numFmtId="0" fontId="6" fillId="0" borderId="0" xfId="0" applyFont="1" applyAlignment="1">
      <alignment horizontal="left"/>
    </xf>
    <xf numFmtId="0" fontId="8" fillId="3" borderId="0" xfId="0" applyFont="1" applyFill="1"/>
    <xf numFmtId="0" fontId="9" fillId="3" borderId="0" xfId="0" applyFont="1" applyFill="1"/>
    <xf numFmtId="0" fontId="10" fillId="3" borderId="0" xfId="0" applyFont="1" applyFill="1"/>
    <xf numFmtId="0" fontId="6" fillId="4" borderId="0" xfId="0" applyFont="1" applyFill="1"/>
    <xf numFmtId="0" fontId="5" fillId="2" borderId="0" xfId="0" applyFont="1" applyFill="1"/>
    <xf numFmtId="167" fontId="5" fillId="0" borderId="0" xfId="0" applyNumberFormat="1" applyFont="1" applyAlignment="1">
      <alignment horizontal="center"/>
    </xf>
    <xf numFmtId="169" fontId="11" fillId="0" borderId="0" xfId="1" applyNumberFormat="1" applyFont="1"/>
    <xf numFmtId="169" fontId="12" fillId="0" borderId="0" xfId="1" applyNumberFormat="1" applyFont="1"/>
    <xf numFmtId="169" fontId="6" fillId="0" borderId="0" xfId="0" applyNumberFormat="1" applyFont="1"/>
    <xf numFmtId="170" fontId="13" fillId="0" borderId="0" xfId="1" applyNumberFormat="1" applyFont="1"/>
    <xf numFmtId="169" fontId="5" fillId="0" borderId="0" xfId="0" applyNumberFormat="1" applyFont="1"/>
    <xf numFmtId="169" fontId="13" fillId="0" borderId="0" xfId="1" applyNumberFormat="1" applyFont="1"/>
    <xf numFmtId="169" fontId="14" fillId="0" borderId="0" xfId="1" applyNumberFormat="1" applyFont="1"/>
    <xf numFmtId="43" fontId="11" fillId="0" borderId="0" xfId="1" applyFont="1"/>
    <xf numFmtId="164" fontId="11" fillId="0" borderId="0" xfId="0" applyNumberFormat="1" applyFont="1"/>
    <xf numFmtId="164" fontId="5" fillId="0" borderId="0" xfId="0" applyNumberFormat="1" applyFont="1"/>
    <xf numFmtId="169" fontId="15" fillId="0" borderId="0" xfId="1" applyNumberFormat="1" applyFont="1"/>
    <xf numFmtId="169" fontId="16" fillId="0" borderId="0" xfId="1" applyNumberFormat="1" applyFont="1"/>
    <xf numFmtId="169" fontId="17" fillId="0" borderId="0" xfId="1" applyNumberFormat="1" applyFont="1"/>
    <xf numFmtId="171" fontId="13" fillId="0" borderId="0" xfId="1" applyNumberFormat="1" applyFont="1"/>
    <xf numFmtId="43" fontId="5" fillId="0" borderId="0" xfId="0" applyNumberFormat="1" applyFont="1"/>
    <xf numFmtId="169" fontId="11" fillId="2" borderId="0" xfId="1" applyNumberFormat="1" applyFont="1" applyFill="1"/>
    <xf numFmtId="169" fontId="12" fillId="2" borderId="0" xfId="1" applyNumberFormat="1" applyFont="1" applyFill="1"/>
    <xf numFmtId="169" fontId="5" fillId="2" borderId="0" xfId="0" applyNumberFormat="1" applyFont="1" applyFill="1"/>
    <xf numFmtId="169" fontId="6" fillId="2" borderId="0" xfId="0" applyNumberFormat="1" applyFont="1" applyFill="1"/>
    <xf numFmtId="169" fontId="13" fillId="2" borderId="0" xfId="1" applyNumberFormat="1" applyFont="1" applyFill="1"/>
    <xf numFmtId="169" fontId="5" fillId="0" borderId="0" xfId="1" applyNumberFormat="1" applyFont="1"/>
    <xf numFmtId="169" fontId="18" fillId="0" borderId="0" xfId="1" applyNumberFormat="1" applyFont="1"/>
    <xf numFmtId="170" fontId="5" fillId="0" borderId="0" xfId="1" applyNumberFormat="1" applyFont="1"/>
    <xf numFmtId="172" fontId="13" fillId="0" borderId="0" xfId="2" applyNumberFormat="1" applyFont="1"/>
    <xf numFmtId="0" fontId="17" fillId="0" borderId="0" xfId="0" applyFont="1"/>
    <xf numFmtId="0" fontId="19" fillId="0" borderId="0" xfId="0" applyFont="1"/>
    <xf numFmtId="0" fontId="5" fillId="4" borderId="0" xfId="0" applyFont="1" applyFill="1" applyAlignment="1">
      <alignment horizontal="center"/>
    </xf>
    <xf numFmtId="3" fontId="5" fillId="0" borderId="0" xfId="0" applyNumberFormat="1" applyFont="1"/>
    <xf numFmtId="0" fontId="5" fillId="0" borderId="0" xfId="0" quotePrefix="1" applyFont="1"/>
    <xf numFmtId="0" fontId="5" fillId="0" borderId="0" xfId="0" quotePrefix="1" applyFont="1" applyAlignment="1">
      <alignment horizontal="left"/>
    </xf>
    <xf numFmtId="3" fontId="5" fillId="0" borderId="0" xfId="0" quotePrefix="1" applyNumberFormat="1" applyFont="1"/>
    <xf numFmtId="0" fontId="5" fillId="0" borderId="0" xfId="0" applyFont="1" applyAlignment="1">
      <alignment horizontal="center"/>
    </xf>
    <xf numFmtId="0" fontId="7" fillId="0" borderId="0" xfId="0" applyFont="1" applyAlignment="1">
      <alignment horizontal="center"/>
    </xf>
    <xf numFmtId="171" fontId="13" fillId="0" borderId="0" xfId="1" applyNumberFormat="1" applyFont="1" applyBorder="1"/>
    <xf numFmtId="167" fontId="5" fillId="2" borderId="0" xfId="0" applyNumberFormat="1" applyFont="1" applyFill="1" applyAlignment="1">
      <alignment horizontal="center"/>
    </xf>
    <xf numFmtId="169" fontId="16" fillId="0" borderId="0" xfId="0" applyNumberFormat="1" applyFont="1"/>
    <xf numFmtId="172" fontId="16" fillId="0" borderId="0" xfId="2" applyNumberFormat="1" applyFont="1"/>
    <xf numFmtId="169" fontId="18" fillId="0" borderId="0" xfId="0" applyNumberFormat="1" applyFont="1"/>
    <xf numFmtId="169" fontId="11" fillId="0" borderId="0" xfId="0" applyNumberFormat="1" applyFont="1"/>
    <xf numFmtId="169" fontId="6" fillId="0" borderId="0" xfId="1" applyNumberFormat="1" applyFont="1"/>
    <xf numFmtId="164" fontId="15" fillId="0" borderId="0" xfId="0" applyNumberFormat="1" applyFont="1"/>
    <xf numFmtId="172" fontId="5" fillId="0" borderId="0" xfId="2" applyNumberFormat="1" applyFont="1"/>
    <xf numFmtId="173" fontId="13" fillId="0" borderId="0" xfId="1" applyNumberFormat="1" applyFont="1"/>
    <xf numFmtId="170" fontId="5" fillId="0" borderId="0" xfId="0" applyNumberFormat="1" applyFont="1"/>
    <xf numFmtId="0" fontId="5" fillId="0" borderId="1" xfId="0" applyFont="1" applyBorder="1" applyAlignment="1">
      <alignment horizontal="left"/>
    </xf>
    <xf numFmtId="0" fontId="5" fillId="0" borderId="1" xfId="0" applyFont="1" applyBorder="1"/>
    <xf numFmtId="169" fontId="5" fillId="0" borderId="1" xfId="0" applyNumberFormat="1" applyFont="1" applyBorder="1"/>
    <xf numFmtId="0" fontId="7" fillId="0" borderId="2" xfId="0" applyFont="1" applyBorder="1" applyAlignment="1">
      <alignment horizontal="left" indent="1"/>
    </xf>
    <xf numFmtId="0" fontId="5" fillId="0" borderId="2" xfId="0" applyFont="1" applyBorder="1"/>
    <xf numFmtId="169" fontId="5" fillId="0" borderId="2" xfId="0" applyNumberFormat="1" applyFont="1" applyBorder="1"/>
    <xf numFmtId="173" fontId="13" fillId="0" borderId="2" xfId="1" applyNumberFormat="1" applyFont="1" applyBorder="1"/>
    <xf numFmtId="169" fontId="11" fillId="0" borderId="0" xfId="1" applyNumberFormat="1" applyFont="1" applyBorder="1"/>
    <xf numFmtId="168" fontId="11" fillId="0" borderId="0" xfId="1" applyNumberFormat="1" applyFont="1" applyBorder="1" applyAlignment="1">
      <alignment horizontal="left" indent="1"/>
    </xf>
    <xf numFmtId="170" fontId="13" fillId="0" borderId="0" xfId="1" applyNumberFormat="1" applyFont="1" applyBorder="1"/>
    <xf numFmtId="168" fontId="11" fillId="2" borderId="0" xfId="1" applyNumberFormat="1" applyFont="1" applyFill="1" applyBorder="1"/>
    <xf numFmtId="168" fontId="5" fillId="2" borderId="0" xfId="1" applyNumberFormat="1" applyFont="1" applyFill="1" applyBorder="1"/>
    <xf numFmtId="43" fontId="11" fillId="0" borderId="0" xfId="1" applyFont="1" applyBorder="1"/>
    <xf numFmtId="43" fontId="13" fillId="0" borderId="0" xfId="1" applyFont="1" applyBorder="1"/>
    <xf numFmtId="172" fontId="5" fillId="0" borderId="0" xfId="2" applyNumberFormat="1" applyFont="1" applyFill="1"/>
    <xf numFmtId="9" fontId="13" fillId="0" borderId="0" xfId="2" applyFont="1" applyBorder="1"/>
    <xf numFmtId="173" fontId="5" fillId="0" borderId="0" xfId="0" applyNumberFormat="1" applyFont="1"/>
    <xf numFmtId="173" fontId="7" fillId="0" borderId="0" xfId="0" applyNumberFormat="1" applyFont="1" applyAlignment="1">
      <alignment horizontal="left" indent="1"/>
    </xf>
    <xf numFmtId="0" fontId="6" fillId="0" borderId="1" xfId="0" applyFont="1" applyBorder="1"/>
    <xf numFmtId="170" fontId="13" fillId="0" borderId="1" xfId="1" applyNumberFormat="1" applyFont="1" applyBorder="1"/>
    <xf numFmtId="170" fontId="5" fillId="0" borderId="1" xfId="1" applyNumberFormat="1" applyFont="1" applyBorder="1"/>
    <xf numFmtId="169" fontId="13" fillId="0" borderId="1" xfId="1" applyNumberFormat="1" applyFont="1" applyBorder="1"/>
    <xf numFmtId="170" fontId="13" fillId="0" borderId="2" xfId="1" applyNumberFormat="1" applyFont="1" applyBorder="1"/>
    <xf numFmtId="170" fontId="5" fillId="0" borderId="2" xfId="1" applyNumberFormat="1" applyFont="1" applyBorder="1"/>
    <xf numFmtId="9" fontId="13" fillId="0" borderId="2" xfId="2" applyFont="1" applyBorder="1"/>
    <xf numFmtId="173" fontId="13" fillId="0" borderId="0" xfId="1" applyNumberFormat="1" applyFont="1" applyBorder="1"/>
    <xf numFmtId="166" fontId="13" fillId="0" borderId="0" xfId="1" applyNumberFormat="1" applyFont="1" applyBorder="1"/>
    <xf numFmtId="166" fontId="11" fillId="0" borderId="0" xfId="1" applyNumberFormat="1" applyFont="1" applyBorder="1"/>
    <xf numFmtId="169" fontId="13" fillId="0" borderId="0" xfId="1" applyNumberFormat="1" applyFont="1" applyBorder="1"/>
    <xf numFmtId="0" fontId="21" fillId="0" borderId="0" xfId="0" applyFont="1"/>
    <xf numFmtId="14" fontId="21" fillId="0" borderId="0" xfId="0" applyNumberFormat="1" applyFont="1"/>
    <xf numFmtId="0" fontId="22" fillId="0" borderId="0" xfId="0" applyFont="1"/>
    <xf numFmtId="164" fontId="22" fillId="0" borderId="0" xfId="0" applyNumberFormat="1" applyFont="1"/>
    <xf numFmtId="0" fontId="21" fillId="0" borderId="0" xfId="0" applyFont="1" applyAlignment="1">
      <alignment horizontal="left" indent="1"/>
    </xf>
    <xf numFmtId="164" fontId="21" fillId="0" borderId="0" xfId="0" applyNumberFormat="1" applyFont="1"/>
    <xf numFmtId="3" fontId="21" fillId="0" borderId="0" xfId="0" applyNumberFormat="1" applyFont="1"/>
    <xf numFmtId="166" fontId="21" fillId="0" borderId="0" xfId="0" applyNumberFormat="1" applyFont="1"/>
    <xf numFmtId="165" fontId="21" fillId="0" borderId="0" xfId="0" applyNumberFormat="1" applyFont="1"/>
    <xf numFmtId="169" fontId="23" fillId="0" borderId="0" xfId="1" applyNumberFormat="1" applyFont="1"/>
    <xf numFmtId="169" fontId="21" fillId="0" borderId="0" xfId="1" applyNumberFormat="1" applyFont="1"/>
    <xf numFmtId="0" fontId="21" fillId="5" borderId="0" xfId="0" applyFont="1" applyFill="1"/>
    <xf numFmtId="166" fontId="21" fillId="5" borderId="0" xfId="0" applyNumberFormat="1" applyFont="1" applyFill="1"/>
    <xf numFmtId="0" fontId="24" fillId="0" borderId="0" xfId="0" applyFont="1"/>
    <xf numFmtId="9" fontId="21" fillId="0" borderId="0" xfId="2" applyFont="1"/>
    <xf numFmtId="166" fontId="25" fillId="0" borderId="0" xfId="0" applyNumberFormat="1" applyFont="1"/>
    <xf numFmtId="0" fontId="22" fillId="0" borderId="3" xfId="0" applyFont="1" applyBorder="1"/>
    <xf numFmtId="169" fontId="21" fillId="0" borderId="4" xfId="0" applyNumberFormat="1" applyFont="1" applyBorder="1"/>
    <xf numFmtId="0" fontId="21" fillId="0" borderId="5" xfId="0" applyFont="1" applyBorder="1"/>
    <xf numFmtId="9" fontId="0" fillId="0" borderId="6" xfId="2" applyFont="1" applyBorder="1"/>
    <xf numFmtId="0" fontId="21" fillId="0" borderId="7" xfId="0" applyFont="1" applyBorder="1"/>
    <xf numFmtId="169" fontId="21" fillId="0" borderId="7" xfId="0" applyNumberFormat="1" applyFont="1" applyBorder="1"/>
    <xf numFmtId="165" fontId="21" fillId="5" borderId="0" xfId="0" applyNumberFormat="1" applyFont="1" applyFill="1"/>
    <xf numFmtId="0" fontId="11" fillId="0" borderId="0" xfId="0" applyFont="1"/>
    <xf numFmtId="0" fontId="26" fillId="0" borderId="0" xfId="0" applyFont="1"/>
    <xf numFmtId="169" fontId="27" fillId="0" borderId="0" xfId="1" applyNumberFormat="1" applyFont="1"/>
    <xf numFmtId="169" fontId="28" fillId="0" borderId="0" xfId="1" applyNumberFormat="1" applyFont="1"/>
    <xf numFmtId="169" fontId="0" fillId="0" borderId="0" xfId="0" applyNumberFormat="1"/>
    <xf numFmtId="169" fontId="29" fillId="0" borderId="0" xfId="1" applyNumberFormat="1" applyFont="1"/>
    <xf numFmtId="0" fontId="30" fillId="0" borderId="0" xfId="0" applyFont="1"/>
    <xf numFmtId="43" fontId="0" fillId="0" borderId="0" xfId="0" applyNumberFormat="1"/>
    <xf numFmtId="169" fontId="27" fillId="6" borderId="0" xfId="1" applyNumberFormat="1" applyFont="1" applyFill="1"/>
    <xf numFmtId="0" fontId="31" fillId="0" borderId="0" xfId="0" applyFont="1"/>
    <xf numFmtId="0" fontId="0" fillId="5" borderId="0" xfId="0" applyFill="1"/>
    <xf numFmtId="169" fontId="0" fillId="5" borderId="0" xfId="0" applyNumberFormat="1" applyFill="1"/>
    <xf numFmtId="9" fontId="5" fillId="0" borderId="0" xfId="2" applyFont="1"/>
    <xf numFmtId="0" fontId="5" fillId="0" borderId="7" xfId="0" applyFont="1" applyBorder="1"/>
    <xf numFmtId="169" fontId="5" fillId="0" borderId="7" xfId="0" applyNumberFormat="1" applyFont="1" applyBorder="1"/>
    <xf numFmtId="0" fontId="5" fillId="0" borderId="8" xfId="0" applyFont="1" applyBorder="1"/>
    <xf numFmtId="169" fontId="5" fillId="0" borderId="8" xfId="0" applyNumberFormat="1" applyFont="1" applyBorder="1"/>
    <xf numFmtId="0" fontId="7" fillId="5" borderId="0" xfId="0" applyFont="1" applyFill="1" applyAlignment="1">
      <alignment horizontal="left" indent="1"/>
    </xf>
    <xf numFmtId="169" fontId="5" fillId="5" borderId="0" xfId="0" applyNumberFormat="1" applyFont="1" applyFill="1"/>
    <xf numFmtId="0" fontId="5" fillId="5" borderId="0" xfId="0" applyFont="1" applyFill="1"/>
    <xf numFmtId="169" fontId="11" fillId="5" borderId="0" xfId="1" applyNumberFormat="1" applyFont="1" applyFill="1" applyBorder="1"/>
    <xf numFmtId="168" fontId="11" fillId="5" borderId="0" xfId="1" applyNumberFormat="1" applyFont="1" applyFill="1" applyBorder="1" applyAlignment="1">
      <alignment horizontal="left" indent="1"/>
    </xf>
    <xf numFmtId="170" fontId="13" fillId="5" borderId="0" xfId="1" applyNumberFormat="1" applyFont="1" applyFill="1" applyBorder="1"/>
    <xf numFmtId="168" fontId="11" fillId="5" borderId="0" xfId="1" applyNumberFormat="1" applyFont="1" applyFill="1" applyBorder="1"/>
    <xf numFmtId="168" fontId="5" fillId="5" borderId="0" xfId="1" applyNumberFormat="1" applyFont="1" applyFill="1" applyBorder="1"/>
    <xf numFmtId="43" fontId="11" fillId="5" borderId="0" xfId="1" applyFont="1" applyFill="1" applyBorder="1"/>
    <xf numFmtId="43" fontId="13" fillId="5" borderId="0" xfId="1" applyFont="1" applyFill="1" applyBorder="1"/>
    <xf numFmtId="0" fontId="9" fillId="3" borderId="9" xfId="0" applyFont="1" applyFill="1" applyBorder="1"/>
    <xf numFmtId="0" fontId="5" fillId="0" borderId="10" xfId="0" applyFont="1" applyBorder="1"/>
    <xf numFmtId="0" fontId="5" fillId="0" borderId="4" xfId="0" applyFont="1" applyBorder="1"/>
    <xf numFmtId="0" fontId="5" fillId="5" borderId="11" xfId="0" applyFont="1" applyFill="1" applyBorder="1" applyAlignment="1">
      <alignment horizontal="left" indent="1"/>
    </xf>
    <xf numFmtId="43" fontId="11" fillId="5" borderId="12" xfId="1" applyFont="1" applyFill="1" applyBorder="1"/>
    <xf numFmtId="0" fontId="5" fillId="5" borderId="5" xfId="0" applyFont="1" applyFill="1" applyBorder="1" applyAlignment="1">
      <alignment horizontal="left" indent="1"/>
    </xf>
    <xf numFmtId="169" fontId="11" fillId="5" borderId="13" xfId="1" applyNumberFormat="1" applyFont="1" applyFill="1" applyBorder="1"/>
    <xf numFmtId="168" fontId="11" fillId="5" borderId="13" xfId="1" applyNumberFormat="1" applyFont="1" applyFill="1" applyBorder="1" applyAlignment="1">
      <alignment horizontal="left" indent="1"/>
    </xf>
    <xf numFmtId="0" fontId="5" fillId="5" borderId="13" xfId="0" applyFont="1" applyFill="1" applyBorder="1"/>
    <xf numFmtId="170" fontId="13" fillId="5" borderId="13" xfId="1" applyNumberFormat="1" applyFont="1" applyFill="1" applyBorder="1"/>
    <xf numFmtId="168" fontId="11" fillId="5" borderId="13" xfId="1" applyNumberFormat="1" applyFont="1" applyFill="1" applyBorder="1"/>
    <xf numFmtId="168" fontId="5" fillId="5" borderId="13" xfId="1" applyNumberFormat="1" applyFont="1" applyFill="1" applyBorder="1"/>
    <xf numFmtId="43" fontId="11" fillId="5" borderId="13" xfId="1" applyFont="1" applyFill="1" applyBorder="1"/>
    <xf numFmtId="43" fontId="13" fillId="5" borderId="13" xfId="1" applyFont="1" applyFill="1" applyBorder="1"/>
    <xf numFmtId="9" fontId="13" fillId="5" borderId="13" xfId="2" applyFont="1" applyFill="1" applyBorder="1"/>
    <xf numFmtId="9" fontId="13" fillId="5" borderId="6" xfId="2" applyFont="1" applyFill="1" applyBorder="1"/>
    <xf numFmtId="0" fontId="32" fillId="0" borderId="0" xfId="0" applyFont="1"/>
    <xf numFmtId="0" fontId="33" fillId="0" borderId="0" xfId="0" applyFont="1"/>
    <xf numFmtId="0" fontId="5" fillId="0" borderId="0" xfId="0" applyFont="1" applyAlignment="1">
      <alignment horizontal="left" indent="3"/>
    </xf>
    <xf numFmtId="0" fontId="6" fillId="0" borderId="0" xfId="0" applyFont="1" applyAlignment="1">
      <alignment horizontal="left" indent="3"/>
    </xf>
    <xf numFmtId="0" fontId="5" fillId="0" borderId="0" xfId="0" applyFont="1" applyAlignment="1">
      <alignment horizontal="left" indent="2"/>
    </xf>
    <xf numFmtId="0" fontId="33" fillId="0" borderId="0" xfId="0" applyFont="1" applyAlignment="1">
      <alignment horizontal="left"/>
    </xf>
    <xf numFmtId="0" fontId="33" fillId="0" borderId="7" xfId="0" applyFont="1" applyBorder="1"/>
    <xf numFmtId="0" fontId="32" fillId="0" borderId="8" xfId="0" applyFont="1" applyBorder="1"/>
    <xf numFmtId="1" fontId="5" fillId="0" borderId="0" xfId="0" applyNumberFormat="1" applyFont="1"/>
  </cellXfs>
  <cellStyles count="3">
    <cellStyle name="Comma" xfId="1" builtinId="3"/>
    <cellStyle name="Normal" xfId="0" builtinId="0"/>
    <cellStyle name="Percent" xfId="2" builtinId="5"/>
  </cellStyles>
  <dxfs count="0"/>
  <tableStyles count="0" defaultTableStyle="TableStyleMedium2" defaultPivotStyle="PivotStyleLight16"/>
  <colors>
    <mruColors>
      <color rgb="FF0000FF"/>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microsoft.com/office/2017/06/relationships/rdSupportingPropertyBagStructure" Target="richData/rdsupportingpropertybagstructure.xml"/><Relationship Id="rId3" Type="http://schemas.openxmlformats.org/officeDocument/2006/relationships/worksheet" Target="worksheets/sheet3.xml"/><Relationship Id="rId7" Type="http://schemas.openxmlformats.org/officeDocument/2006/relationships/styles" Target="styles.xml"/><Relationship Id="rId12" Type="http://schemas.microsoft.com/office/2017/06/relationships/richStyles" Target="richData/richStyles.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theme" Target="theme/theme1.xml"/><Relationship Id="rId11" Type="http://schemas.microsoft.com/office/2017/06/relationships/rdRichValueStructure" Target="richData/rdrichvaluestructure.xml"/><Relationship Id="rId5" Type="http://schemas.openxmlformats.org/officeDocument/2006/relationships/worksheet" Target="worksheets/sheet5.xml"/><Relationship Id="rId15" Type="http://schemas.microsoft.com/office/2017/06/relationships/rdRichValueTypes" Target="richData/rdRichValueTypes.xml"/><Relationship Id="rId10" Type="http://schemas.microsoft.com/office/2017/06/relationships/rdRichValue" Target="richData/rdrichvalue.xml"/><Relationship Id="rId4" Type="http://schemas.openxmlformats.org/officeDocument/2006/relationships/worksheet" Target="worksheets/sheet4.xml"/><Relationship Id="rId9" Type="http://schemas.openxmlformats.org/officeDocument/2006/relationships/sheetMetadata" Target="metadata.xml"/><Relationship Id="rId14" Type="http://schemas.microsoft.com/office/2017/06/relationships/rdSupportingPropertyBag" Target="richData/rdsupportingpropertybag.xml"/></Relationships>
</file>

<file path=xl/persons/person.xml><?xml version="1.0" encoding="utf-8"?>
<personList xmlns="http://schemas.microsoft.com/office/spreadsheetml/2018/threadedcomments" xmlns:x="http://schemas.openxmlformats.org/spreadsheetml/2006/main">
  <person displayName="Joaquin Goquiolay" id="{5DB4600B-A16F-4306-B076-97CE1AD93469}" userId="9dc8c86c708ee123" providerId="Windows Live"/>
</personList>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DotNotation"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s>
</rvTypesInfo>
</file>

<file path=xl/richData/rdrichvalue.xml><?xml version="1.0" encoding="utf-8"?>
<rvData xmlns="http://schemas.microsoft.com/office/spreadsheetml/2017/richdata" count="3">
  <rv s="0">
    <v>https://www.bing.com/financeapi/forcetrigger?t=afg352&amp;q=XFRA%3aMTX&amp;form=skydnc</v>
    <v>Learn more on Bing</v>
  </rv>
  <rv s="1">
    <v>en-US</v>
    <v>afg352</v>
    <v>268435456</v>
    <v>1</v>
    <v>Powered by Refinitiv</v>
    <v>0</v>
    <v>MTU Aero Engines AG (XFRA:MTX)</v>
    <v>2</v>
    <v>3</v>
    <v>Finance</v>
    <v>4</v>
    <v>402.7</v>
    <v>99.98</v>
    <v>0.91049999999999998</v>
    <v>17.2</v>
    <v>5.5233999999999998E-2</v>
    <v>EUR</v>
    <v>MTU Aero Engines AG is a Germany-based engine manufacturer of military aircraft engines in all thrust and power categories and stationary gas turbines. The Company operates through two segments: the commercial and military engine business (OEM) and the commercial maintenance business (MRO). The commercial and military engine business (OEM) segment covers the development and production of modules, components, and parts for engine programs, including final assembly, as well as maintenance services. The commercial maintenance business (MRO) segment covers all activities relating to the maintenance, repair, and overhaul of commercial engines and associated services. It operates through numerous subsidiaries in Europe, the Americas, Asia, and Australia.</v>
    <v>13902</v>
    <v>Deutsche Boerse AG</v>
    <v>XFRA</v>
    <v>XFRA</v>
    <v>Dachauer Strasse 665, MUNICH, BAYERN, 80995 DE</v>
    <v>332.6</v>
    <v>Aerospace &amp; Defense</v>
    <v>Stock</v>
    <v>46188.481944444444</v>
    <v>0</v>
    <v>323</v>
    <v>20883900000</v>
    <v>MTU Aero Engines AG</v>
    <v>MTU Aero Engines AG</v>
    <v>323</v>
    <v>17.800699999999999</v>
    <v>311.39999999999998</v>
    <v>328.6</v>
    <v>53909160</v>
    <v>MTX</v>
    <v>MTU Aero Engines AG (XFRA:MTX)</v>
    <v>102</v>
    <v>159750</v>
    <v>2005</v>
  </rv>
  <rv s="2">
    <v>1</v>
  </rv>
</rvData>
</file>

<file path=xl/richData/rdrichvaluestructure.xml><?xml version="1.0" encoding="utf-8"?>
<rvStructures xmlns="http://schemas.microsoft.com/office/spreadsheetml/2017/richdata" count="3">
  <s t="_hyperlink">
    <k n="Address" t="s"/>
    <k n="Text" t="s"/>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Shares outstanding"/>
    <k n="Ticker symbol" t="s"/>
    <k n="UniqueName" t="s"/>
    <k n="Volume"/>
    <k n="Volume average"/>
    <k n="Year incorporated"/>
  </s>
  <s t="_linkedentity">
    <k n="%cvi" t="r"/>
  </s>
</rvStructures>
</file>

<file path=xl/richData/rdsupportingpropertybag.xml><?xml version="1.0" encoding="utf-8"?>
<supportingPropertyBags xmlns="http://schemas.microsoft.com/office/spreadsheetml/2017/richdata2">
  <spbArrays count="1">
    <a count="42">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ExchangeID</v>
      <v t="s">%ProviderInfo</v>
    </a>
  </spbArrays>
  <spbData count="5">
    <spb s="0">
      <v>0</v>
      <v>Name</v>
      <v>LearnMoreOnLink</v>
    </spb>
    <spb s="1">
      <v>0</v>
      <v>0</v>
      <v>0</v>
    </spb>
    <spb s="2">
      <v>1</v>
      <v>1</v>
      <v>1</v>
      <v>1</v>
    </spb>
    <spb s="3">
      <v>1</v>
      <v>2</v>
      <v>2</v>
      <v>1</v>
      <v>3</v>
      <v>1</v>
      <v>1</v>
      <v>1</v>
      <v>4</v>
      <v>4</v>
      <v>5</v>
      <v>6</v>
      <v>1</v>
      <v>1</v>
      <v>1</v>
      <v>4</v>
      <v>7</v>
      <v>8</v>
      <v>9</v>
      <v>4</v>
    </spb>
    <spb s="4">
      <v>Delayed 15 minutes</v>
      <v>from previous close</v>
      <v>from previous close</v>
      <v>GMT</v>
    </spb>
  </spbData>
</supportingPropertyBags>
</file>

<file path=xl/richData/rdsupportingpropertybagstructure.xml><?xml version="1.0" encoding="utf-8"?>
<spbStructures xmlns="http://schemas.microsoft.com/office/spreadsheetml/2017/richdata2" count="5">
  <s>
    <k n="^Order" t="spba"/>
    <k n="TitleProperty" t="s"/>
    <k n="SubTitleProperty" t="s"/>
  </s>
  <s>
    <k n="ShowInCardView" t="b"/>
    <k n="ShowInDotNotation" t="b"/>
    <k n="ShowInAutoComplete" t="b"/>
  </s>
  <s>
    <k n="ExchangeID" t="spb"/>
    <k n="UniqueName" t="spb"/>
    <k n="`%ProviderInfo" t="spb"/>
    <k n="LearnMoreOnLink" t="spb"/>
  </s>
  <s>
    <k n="Low" t="i"/>
    <k n="P/E"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s>
  <s>
    <k n="Price" t="s"/>
    <k n="Change" t="s"/>
    <k n="Change (%)" t="s"/>
    <k n="Last trade time" t="s"/>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7">
    <x:dxf>
      <x:numFmt numFmtId="2" formatCode="0.00"/>
    </x:dxf>
    <x:dxf>
      <x:numFmt numFmtId="0" formatCode="General"/>
    </x:dxf>
    <x:dxf>
      <x:numFmt numFmtId="27" formatCode="m/d/yyyy\ h:mm"/>
    </x:dxf>
    <x:dxf>
      <x:numFmt numFmtId="14" formatCode="0.00%"/>
    </x:dxf>
    <x:dxf>
      <x:numFmt numFmtId="3" formatCode="#,##0"/>
    </x:dxf>
    <x:dxf>
      <x:numFmt numFmtId="4" formatCode="#,##0.00"/>
    </x:dxf>
    <x:dxf>
      <x:numFmt numFmtId="1" formatCode="0"/>
    </x:dxf>
  </dxfs>
  <richProperties>
    <rPr n="NumberFormat" t="s"/>
    <rPr n="IsTitleField" t="b"/>
  </richProperties>
  <richStyles>
    <rSty dxfid="1">
      <rpv i="0">_([$€-x-euro2] * #,##0.00_);_([$€-x-euro2] * (#,##0.00);_([$€-x-euro2] * "-"??_);_(@_)</rpv>
    </rSty>
    <rSty dxfid="5">
      <rpv i="0">#,##0.00</rpv>
    </rSty>
    <rSty>
      <rpv i="1">1</rpv>
    </rSty>
    <rSty dxfid="4">
      <rpv i="0">#,##0</rpv>
    </rSty>
    <rSty dxfid="3"/>
    <rSty dxfid="1">
      <rpv i="0">_([$€-x-euro2] * #,##0_);_([$€-x-euro2] * (#,##0);_([$€-x-euro2] * "-"_);_(@_)</rpv>
    </rSty>
    <rSty dxfid="2"/>
    <rSty dxfid="6">
      <rpv i="0">0</rpv>
    </rSty>
    <rSty dxfid="0">
      <rpv i="0">0.00</rpv>
    </rSty>
  </richStyles>
</richStyleShee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Y2" dT="2026-04-15T00:18:16.68" personId="{5DB4600B-A16F-4306-B076-97CE1AD93469}" id="{68F2DEA8-9FAB-44B7-9FC6-5BCACBDB6EC3}">
    <text>P.345 of 369</text>
  </threadedComment>
  <threadedComment ref="Y2" dT="2026-04-30T19:01:31.66" personId="{5DB4600B-A16F-4306-B076-97CE1AD93469}" id="{34530E1D-DE0E-4C84-BCDE-2A6F9EC0D807}" parentId="{68F2DEA8-9FAB-44B7-9FC6-5BCACBDB6EC3}">
    <text>Consolidated: p.243</text>
  </threadedComment>
  <threadedComment ref="Z18" dT="2026-04-15T01:28:42.81" personId="{5DB4600B-A16F-4306-B076-97CE1AD93469}" id="{3B03CFC6-1499-44C5-98EA-AD8E2F4CE4BC}">
    <text>5-yr cagr</text>
  </threadedComment>
  <threadedComment ref="B117" dT="2025-09-16T18:40:56.58" personId="{5DB4600B-A16F-4306-B076-97CE1AD93469}" id="{74499B11-028E-4776-97C6-29751F9CE3D2}">
    <text>P.259</text>
  </threadedComment>
  <threadedComment ref="B123" dT="2025-09-16T18:40:56.58" personId="{5DB4600B-A16F-4306-B076-97CE1AD93469}" id="{CAC1400A-9E92-4002-8AB9-8E9B9755F8C2}">
    <text>P.259</text>
  </threadedComment>
  <threadedComment ref="B137" dT="2025-09-16T18:40:56.58" personId="{5DB4600B-A16F-4306-B076-97CE1AD93469}" id="{51C3005A-2C73-4DA9-BD3C-02C00B0855B8}">
    <text>P.259</text>
  </threadedComment>
  <threadedComment ref="B167" dT="2025-09-16T18:52:06.46" personId="{5DB4600B-A16F-4306-B076-97CE1AD93469}" id="{DAE6699C-F7A3-42F9-8480-DA970EDFE4B8}">
    <text>P.265 of 352</text>
  </threadedComment>
  <threadedComment ref="R196" dT="2025-09-23T18:21:28.00" personId="{5DB4600B-A16F-4306-B076-97CE1AD93469}" id="{C6DB90A6-61A6-4190-B619-7D7FA6BBC747}">
    <text>Refund liability of Eur 30.3</text>
  </threadedComment>
  <threadedComment ref="O206" dT="2025-09-23T20:12:01.59" personId="{5DB4600B-A16F-4306-B076-97CE1AD93469}" id="{94DC3BE5-6CCC-4988-AE4F-731ED2E5C496}">
    <text>Eur 374 million in construction contract/service business payables</text>
  </threadedComment>
  <threadedComment ref="P239" dT="2025-09-23T20:18:53.12" personId="{5DB4600B-A16F-4306-B076-97CE1AD93469}" id="{DCFF5CE6-0B69-4B3B-947D-B12B3ACB9E7D}">
    <text>Proceed from a convertible bond issuance</text>
  </threadedComment>
  <threadedComment ref="Y261" dT="2026-04-30T19:37:07.07" personId="{5DB4600B-A16F-4306-B076-97CE1AD93469}" id="{006992A0-6F8C-4F64-AB0E-B7F936D5248A}">
    <text>See Note 14. This represents capitalized development assets and right-of-use assets</text>
  </threadedComment>
  <threadedComment ref="Y261" dT="2026-04-30T19:37:11.18" personId="{5DB4600B-A16F-4306-B076-97CE1AD93469}" id="{D48B7D76-0662-4B1E-82C7-9FCD504E9713}" parentId="{006992A0-6F8C-4F64-AB0E-B7F936D5248A}">
    <text xml:space="preserve">this item includes capitalized, internally generated development assets as well as right-of-use assets and licenses. In the reporting period, MTU capitalized a total of €246 million (previous year: €181 million) for intangible assets. The increase results principally from capital expenditure of €158 million (previous year: €96 million) for the acquisition of maintenance licenses for the LEAP and GEnx engine programs by the site in Fort Worth, USA, and €81 million (previous year: €59 million) relate to internally generated developments in the scope of participation in engine programs, particularly the Pratt &amp; Whitney GTF™ engine family and also to internally developed software. Out of the capital expenditure on maintenance licenses, €158 million (previous year: €0 million) are not yet cash-effective. </text>
  </threadedComment>
  <threadedComment ref="Y266" dT="2026-04-30T20:06:28.55" personId="{5DB4600B-A16F-4306-B076-97CE1AD93469}" id="{4C00E73E-7280-4FAC-B1FC-E30FF27038B0}">
    <text>Deduced Eur 2 million for D&amp;A related to R&amp;D</text>
  </threadedComment>
  <threadedComment ref="B267" dT="2026-04-29T19:06:13.06" personId="{5DB4600B-A16F-4306-B076-97CE1AD93469}" id="{73DD2840-A1FD-4FD9-B7DC-604A0597D5F1}">
    <text>From disclosure</text>
  </threadedComment>
  <threadedComment ref="Y277" dT="2026-05-04T04:43:49.27" personId="{5DB4600B-A16F-4306-B076-97CE1AD93469}" id="{CC00D0EC-26E9-4230-BC94-FD6A8A266407}">
    <text>See P.248 of 369; 2025 Annual Report</text>
  </threadedComment>
</ThreadedComment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R36"/>
  <sheetViews>
    <sheetView zoomScale="145" zoomScaleNormal="145" workbookViewId="0">
      <selection activeCell="C2" sqref="C2"/>
    </sheetView>
  </sheetViews>
  <sheetFormatPr defaultRowHeight="15" x14ac:dyDescent="0.25"/>
  <cols>
    <col min="2" max="2" width="22.140625" customWidth="1"/>
    <col min="3" max="3" width="14" bestFit="1" customWidth="1"/>
    <col min="7" max="7" width="15.85546875" bestFit="1" customWidth="1"/>
    <col min="8" max="8" width="14" bestFit="1" customWidth="1"/>
    <col min="9" max="9" width="7.140625" bestFit="1" customWidth="1"/>
    <col min="10" max="10" width="22.85546875" bestFit="1" customWidth="1"/>
    <col min="12" max="12" width="224.28515625" customWidth="1"/>
  </cols>
  <sheetData>
    <row r="1" spans="2:18" x14ac:dyDescent="0.25">
      <c r="B1" s="91" t="s">
        <v>340</v>
      </c>
      <c r="C1" s="92">
        <v>46181</v>
      </c>
    </row>
    <row r="2" spans="2:18" x14ac:dyDescent="0.25">
      <c r="B2" s="91" t="e" vm="1">
        <v>#VALUE!</v>
      </c>
      <c r="C2" s="91"/>
      <c r="E2" s="43" t="s">
        <v>206</v>
      </c>
      <c r="F2" s="43"/>
      <c r="G2" s="5"/>
      <c r="H2" s="5"/>
      <c r="I2" s="5"/>
      <c r="K2" t="s">
        <v>6</v>
      </c>
      <c r="L2" t="s">
        <v>7</v>
      </c>
      <c r="R2" s="3" t="s">
        <v>152</v>
      </c>
    </row>
    <row r="3" spans="2:18" x14ac:dyDescent="0.25">
      <c r="B3" s="93" t="s">
        <v>0</v>
      </c>
      <c r="C3" s="94" cm="1">
        <f t="array" aca="1" ref="C3" ca="1">_FV(B2,"Price")</f>
        <v>328.6</v>
      </c>
      <c r="E3" s="44" t="s">
        <v>207</v>
      </c>
      <c r="F3" s="44" t="s">
        <v>228</v>
      </c>
      <c r="G3" s="44" t="s">
        <v>208</v>
      </c>
      <c r="H3" s="44" t="s">
        <v>217</v>
      </c>
      <c r="I3" s="44" t="s">
        <v>209</v>
      </c>
      <c r="J3" s="44" t="s">
        <v>215</v>
      </c>
      <c r="R3" s="1" t="s">
        <v>153</v>
      </c>
    </row>
    <row r="4" spans="2:18" x14ac:dyDescent="0.25">
      <c r="B4" s="95" t="s">
        <v>1</v>
      </c>
      <c r="C4" s="96" cm="1">
        <f t="array" aca="1" ref="C4" ca="1">_FV(B2,"52 week high",TRUE)</f>
        <v>402.7</v>
      </c>
      <c r="E4" s="7" t="s">
        <v>210</v>
      </c>
      <c r="F4" s="7" t="s">
        <v>230</v>
      </c>
      <c r="G4" s="5" t="s">
        <v>211</v>
      </c>
      <c r="H4" s="5" t="s">
        <v>212</v>
      </c>
      <c r="I4" s="49">
        <v>1971</v>
      </c>
      <c r="J4" s="5" t="s">
        <v>216</v>
      </c>
      <c r="L4" t="s">
        <v>62</v>
      </c>
      <c r="R4" s="1" t="s">
        <v>154</v>
      </c>
    </row>
    <row r="5" spans="2:18" x14ac:dyDescent="0.25">
      <c r="B5" s="95" t="s">
        <v>2</v>
      </c>
      <c r="C5" s="96" cm="1">
        <f t="array" aca="1" ref="C5" ca="1">_FV(B2,"52 week low",TRUE)</f>
        <v>99.98</v>
      </c>
      <c r="E5" s="7" t="s">
        <v>213</v>
      </c>
      <c r="F5" s="10" t="s">
        <v>297</v>
      </c>
      <c r="G5" s="5" t="s">
        <v>214</v>
      </c>
      <c r="H5" s="45">
        <v>20000</v>
      </c>
      <c r="I5" s="49">
        <v>2003</v>
      </c>
      <c r="J5" s="5" t="s">
        <v>218</v>
      </c>
      <c r="L5" t="s">
        <v>63</v>
      </c>
      <c r="R5" s="1" t="s">
        <v>155</v>
      </c>
    </row>
    <row r="6" spans="2:18" x14ac:dyDescent="0.25">
      <c r="B6" s="91" t="s">
        <v>4</v>
      </c>
      <c r="C6" s="97" cm="1">
        <f t="array" aca="1" ref="C6" ca="1">_FV(B2,"Shares outstanding",TRUE)/1000</f>
        <v>53909.16</v>
      </c>
      <c r="E6" s="7" t="s">
        <v>164</v>
      </c>
      <c r="F6" s="7" t="s">
        <v>230</v>
      </c>
      <c r="G6" s="47" t="s">
        <v>219</v>
      </c>
      <c r="H6" s="5" t="s">
        <v>220</v>
      </c>
      <c r="I6" s="49">
        <v>2012</v>
      </c>
      <c r="J6" s="5" t="s">
        <v>221</v>
      </c>
      <c r="L6" t="s">
        <v>64</v>
      </c>
    </row>
    <row r="7" spans="2:18" x14ac:dyDescent="0.25">
      <c r="B7" s="91" t="s">
        <v>5</v>
      </c>
      <c r="C7" s="98" cm="1">
        <f t="array" aca="1" ref="C7" ca="1">_FV(B2,"P/E",TRUE)</f>
        <v>17.800699999999999</v>
      </c>
      <c r="D7" t="s">
        <v>204</v>
      </c>
      <c r="E7" s="7" t="s">
        <v>222</v>
      </c>
      <c r="F7" s="7" t="s">
        <v>230</v>
      </c>
      <c r="G7" s="5" t="s">
        <v>223</v>
      </c>
      <c r="H7" s="48" t="s">
        <v>224</v>
      </c>
      <c r="I7" s="50" t="s">
        <v>225</v>
      </c>
      <c r="J7" s="5" t="s">
        <v>226</v>
      </c>
      <c r="R7" s="3" t="s">
        <v>156</v>
      </c>
    </row>
    <row r="8" spans="2:18" x14ac:dyDescent="0.25">
      <c r="B8" s="91" t="s">
        <v>3</v>
      </c>
      <c r="C8" s="99" cm="1">
        <f t="array" aca="1" ref="C8" ca="1">_FV(B2,"Market cap",TRUE)/1000000</f>
        <v>20883.900000000001</v>
      </c>
      <c r="E8" s="7" t="s">
        <v>227</v>
      </c>
      <c r="F8" s="7" t="s">
        <v>229</v>
      </c>
      <c r="G8" s="5" t="s">
        <v>238</v>
      </c>
      <c r="H8" s="5"/>
      <c r="I8" s="49">
        <v>2016</v>
      </c>
      <c r="J8" s="5" t="s">
        <v>240</v>
      </c>
      <c r="R8" s="1" t="s">
        <v>157</v>
      </c>
    </row>
    <row r="9" spans="2:18" x14ac:dyDescent="0.25">
      <c r="B9" s="95" t="s">
        <v>348</v>
      </c>
      <c r="C9" s="101">
        <f>-Model!Y186</f>
        <v>-1256</v>
      </c>
      <c r="E9" s="7" t="s">
        <v>231</v>
      </c>
      <c r="F9" s="7" t="s">
        <v>230</v>
      </c>
      <c r="G9" s="5" t="s">
        <v>239</v>
      </c>
      <c r="H9" s="46" t="s">
        <v>232</v>
      </c>
      <c r="I9" s="49">
        <v>1986</v>
      </c>
      <c r="J9" s="5" t="s">
        <v>233</v>
      </c>
      <c r="L9" s="3" t="s">
        <v>129</v>
      </c>
      <c r="R9" s="2" t="s">
        <v>158</v>
      </c>
    </row>
    <row r="10" spans="2:18" x14ac:dyDescent="0.25">
      <c r="B10" s="95" t="s">
        <v>349</v>
      </c>
      <c r="C10" s="101">
        <f>+Model!Y203+Model!Y194</f>
        <v>3230</v>
      </c>
      <c r="E10" s="7" t="s">
        <v>234</v>
      </c>
      <c r="F10" s="7" t="s">
        <v>230</v>
      </c>
      <c r="G10" s="5" t="s">
        <v>237</v>
      </c>
      <c r="H10" s="46" t="s">
        <v>236</v>
      </c>
      <c r="I10" s="49">
        <v>1995</v>
      </c>
      <c r="J10" s="5" t="s">
        <v>235</v>
      </c>
      <c r="L10" s="4" t="s">
        <v>130</v>
      </c>
      <c r="R10" s="2" t="s">
        <v>159</v>
      </c>
    </row>
    <row r="11" spans="2:18" x14ac:dyDescent="0.25">
      <c r="B11" s="95" t="s">
        <v>350</v>
      </c>
      <c r="C11" s="101">
        <f>+Model!Y192+Model!Y199</f>
        <v>671</v>
      </c>
      <c r="E11" s="7" t="s">
        <v>241</v>
      </c>
      <c r="F11" s="7" t="s">
        <v>325</v>
      </c>
      <c r="G11" s="5" t="s">
        <v>242</v>
      </c>
      <c r="H11" s="5" t="s">
        <v>243</v>
      </c>
      <c r="I11" s="49">
        <v>2008</v>
      </c>
      <c r="J11" s="5" t="s">
        <v>244</v>
      </c>
      <c r="R11" s="1" t="s">
        <v>160</v>
      </c>
    </row>
    <row r="12" spans="2:18" x14ac:dyDescent="0.25">
      <c r="B12" s="95" t="s">
        <v>351</v>
      </c>
      <c r="C12" s="101">
        <f>+Model!Y190</f>
        <v>61</v>
      </c>
      <c r="E12" s="7" t="s">
        <v>245</v>
      </c>
      <c r="F12" s="7" t="s">
        <v>229</v>
      </c>
      <c r="G12" s="5" t="s">
        <v>246</v>
      </c>
      <c r="H12" s="5" t="s">
        <v>247</v>
      </c>
      <c r="I12" s="49">
        <v>1980</v>
      </c>
      <c r="J12" s="5" t="s">
        <v>248</v>
      </c>
      <c r="R12" s="2" t="s">
        <v>161</v>
      </c>
    </row>
    <row r="13" spans="2:18" ht="16.5" x14ac:dyDescent="0.35">
      <c r="B13" s="91" t="s">
        <v>299</v>
      </c>
      <c r="C13" s="100">
        <f>C9+C10+C11+C12</f>
        <v>2706</v>
      </c>
      <c r="E13" s="7" t="s">
        <v>249</v>
      </c>
      <c r="F13" s="7" t="s">
        <v>275</v>
      </c>
      <c r="G13" s="5" t="s">
        <v>250</v>
      </c>
      <c r="H13" s="48" t="s">
        <v>251</v>
      </c>
      <c r="I13" s="49">
        <v>1979</v>
      </c>
      <c r="J13" s="5" t="s">
        <v>252</v>
      </c>
      <c r="R13" s="2" t="s">
        <v>162</v>
      </c>
    </row>
    <row r="14" spans="2:18" x14ac:dyDescent="0.25">
      <c r="B14" s="103" t="s">
        <v>301</v>
      </c>
      <c r="C14" s="113">
        <f ca="1">C8+C13</f>
        <v>23589.9</v>
      </c>
      <c r="E14" s="5" t="s">
        <v>253</v>
      </c>
      <c r="F14" s="5" t="s">
        <v>255</v>
      </c>
      <c r="G14" s="5" t="s">
        <v>254</v>
      </c>
      <c r="H14" s="45" t="s">
        <v>256</v>
      </c>
      <c r="I14" s="49">
        <v>2013</v>
      </c>
      <c r="J14" s="5" t="s">
        <v>257</v>
      </c>
      <c r="R14" s="1" t="s">
        <v>163</v>
      </c>
    </row>
    <row r="15" spans="2:18" x14ac:dyDescent="0.25">
      <c r="B15" s="91" t="s">
        <v>166</v>
      </c>
      <c r="C15" s="99">
        <f>Model!Y191</f>
        <v>4375</v>
      </c>
      <c r="E15" s="7" t="s">
        <v>258</v>
      </c>
      <c r="F15" s="7" t="s">
        <v>229</v>
      </c>
      <c r="G15" s="5" t="s">
        <v>259</v>
      </c>
      <c r="H15" s="48" t="s">
        <v>260</v>
      </c>
      <c r="I15" s="49">
        <v>1992</v>
      </c>
      <c r="J15" s="5"/>
      <c r="R15" s="1" t="s">
        <v>164</v>
      </c>
    </row>
    <row r="16" spans="2:18" x14ac:dyDescent="0.25">
      <c r="B16" s="91" t="s">
        <v>167</v>
      </c>
      <c r="C16" s="96">
        <f ca="1">C15/(C6/1000)</f>
        <v>81.155039329123284</v>
      </c>
      <c r="E16" s="7" t="s">
        <v>261</v>
      </c>
      <c r="F16" s="7" t="s">
        <v>229</v>
      </c>
      <c r="G16" s="5" t="s">
        <v>262</v>
      </c>
      <c r="H16" s="48" t="s">
        <v>263</v>
      </c>
      <c r="I16" s="49">
        <v>1997</v>
      </c>
      <c r="J16" s="5" t="s">
        <v>264</v>
      </c>
      <c r="R16" s="1" t="s">
        <v>165</v>
      </c>
    </row>
    <row r="17" spans="2:12" x14ac:dyDescent="0.25">
      <c r="B17" s="91" t="s">
        <v>168</v>
      </c>
      <c r="C17" s="98">
        <f ca="1">C3/C16</f>
        <v>4.0490399945142865</v>
      </c>
      <c r="E17" s="7" t="s">
        <v>265</v>
      </c>
      <c r="F17" s="7" t="s">
        <v>229</v>
      </c>
      <c r="G17" s="5" t="s">
        <v>266</v>
      </c>
      <c r="H17" s="48" t="s">
        <v>267</v>
      </c>
      <c r="I17" s="49">
        <v>2018</v>
      </c>
      <c r="J17" s="5" t="s">
        <v>268</v>
      </c>
      <c r="L17" t="s">
        <v>144</v>
      </c>
    </row>
    <row r="18" spans="2:12" x14ac:dyDescent="0.25">
      <c r="B18" s="91"/>
      <c r="C18" s="91"/>
      <c r="E18" s="7" t="s">
        <v>271</v>
      </c>
      <c r="F18" s="7" t="s">
        <v>229</v>
      </c>
      <c r="G18" s="5" t="s">
        <v>269</v>
      </c>
      <c r="H18" s="48" t="s">
        <v>270</v>
      </c>
      <c r="I18" s="49">
        <v>1984</v>
      </c>
      <c r="J18" s="5" t="s">
        <v>268</v>
      </c>
      <c r="L18" t="s">
        <v>145</v>
      </c>
    </row>
    <row r="19" spans="2:12" x14ac:dyDescent="0.25">
      <c r="B19" s="91" t="s">
        <v>300</v>
      </c>
      <c r="C19" s="101">
        <f>Model!Y101</f>
        <v>1442</v>
      </c>
      <c r="E19" s="7" t="s">
        <v>272</v>
      </c>
      <c r="F19" s="7" t="s">
        <v>229</v>
      </c>
      <c r="G19" s="5" t="s">
        <v>273</v>
      </c>
      <c r="H19" s="48" t="s">
        <v>274</v>
      </c>
      <c r="I19" s="49">
        <v>1995</v>
      </c>
      <c r="J19" s="5" t="s">
        <v>268</v>
      </c>
    </row>
    <row r="20" spans="2:12" x14ac:dyDescent="0.25">
      <c r="B20" s="102" t="s">
        <v>339</v>
      </c>
      <c r="C20" s="103">
        <f ca="1">C14/C19</f>
        <v>16.359153952843275</v>
      </c>
      <c r="E20" s="7" t="s">
        <v>276</v>
      </c>
      <c r="F20" s="7" t="s">
        <v>326</v>
      </c>
      <c r="G20" s="5" t="s">
        <v>277</v>
      </c>
      <c r="H20" s="45" t="s">
        <v>278</v>
      </c>
      <c r="I20" s="49">
        <v>1979</v>
      </c>
      <c r="J20" s="5" t="s">
        <v>279</v>
      </c>
    </row>
    <row r="21" spans="2:12" x14ac:dyDescent="0.25">
      <c r="B21" s="91"/>
      <c r="C21" s="91"/>
      <c r="E21" s="7" t="s">
        <v>280</v>
      </c>
      <c r="F21" s="7" t="s">
        <v>327</v>
      </c>
      <c r="G21" s="5" t="s">
        <v>281</v>
      </c>
      <c r="H21" s="45" t="s">
        <v>282</v>
      </c>
      <c r="I21" s="49">
        <v>2019</v>
      </c>
      <c r="J21" s="5" t="s">
        <v>283</v>
      </c>
    </row>
    <row r="22" spans="2:12" x14ac:dyDescent="0.25">
      <c r="B22" s="104" t="s">
        <v>334</v>
      </c>
      <c r="C22" s="91"/>
      <c r="E22" s="7" t="s">
        <v>284</v>
      </c>
      <c r="F22" s="7" t="s">
        <v>230</v>
      </c>
      <c r="G22" s="5" t="s">
        <v>285</v>
      </c>
      <c r="H22" s="45" t="s">
        <v>286</v>
      </c>
      <c r="I22" s="49">
        <v>1972</v>
      </c>
      <c r="J22" s="5" t="s">
        <v>287</v>
      </c>
    </row>
    <row r="23" spans="2:12" x14ac:dyDescent="0.25">
      <c r="B23" s="91" t="s">
        <v>337</v>
      </c>
      <c r="C23" s="105">
        <f>AVERAGE(Model!U19:Y19)</f>
        <v>0.38599457336562237</v>
      </c>
      <c r="E23" s="7" t="s">
        <v>288</v>
      </c>
      <c r="F23" s="7" t="s">
        <v>292</v>
      </c>
      <c r="G23" s="5" t="s">
        <v>289</v>
      </c>
      <c r="H23" s="45" t="s">
        <v>290</v>
      </c>
      <c r="I23" s="49">
        <v>2013</v>
      </c>
      <c r="J23" s="5" t="s">
        <v>291</v>
      </c>
    </row>
    <row r="24" spans="2:12" x14ac:dyDescent="0.25">
      <c r="B24" s="91" t="s">
        <v>344</v>
      </c>
      <c r="C24" s="101">
        <f>Model!Y18</f>
        <v>1141</v>
      </c>
      <c r="E24" s="7" t="s">
        <v>293</v>
      </c>
      <c r="F24" s="7" t="s">
        <v>294</v>
      </c>
      <c r="G24" s="5" t="s">
        <v>295</v>
      </c>
      <c r="H24" s="45" t="s">
        <v>296</v>
      </c>
      <c r="I24" s="49">
        <v>1989</v>
      </c>
    </row>
    <row r="25" spans="2:12" x14ac:dyDescent="0.25">
      <c r="B25" s="91" t="s">
        <v>342</v>
      </c>
      <c r="C25" s="106">
        <v>15</v>
      </c>
    </row>
    <row r="26" spans="2:12" x14ac:dyDescent="0.25">
      <c r="B26" s="111" t="s">
        <v>343</v>
      </c>
      <c r="C26" s="112">
        <f>C24*C25</f>
        <v>17115</v>
      </c>
      <c r="E26" s="3" t="s">
        <v>329</v>
      </c>
      <c r="F26" s="7" t="s">
        <v>330</v>
      </c>
    </row>
    <row r="27" spans="2:12" x14ac:dyDescent="0.25">
      <c r="B27" s="91" t="s">
        <v>352</v>
      </c>
      <c r="C27" s="105">
        <f>C26/C$35</f>
        <v>0.73978819969742815</v>
      </c>
      <c r="E27" s="3" t="s">
        <v>355</v>
      </c>
      <c r="F27" s="7" t="s">
        <v>356</v>
      </c>
    </row>
    <row r="29" spans="2:12" x14ac:dyDescent="0.25">
      <c r="B29" s="104" t="s">
        <v>338</v>
      </c>
      <c r="C29" s="91"/>
      <c r="E29" t="s">
        <v>407</v>
      </c>
      <c r="F29">
        <v>2025</v>
      </c>
      <c r="G29">
        <v>2024</v>
      </c>
    </row>
    <row r="30" spans="2:12" x14ac:dyDescent="0.25">
      <c r="B30" s="91" t="s">
        <v>337</v>
      </c>
      <c r="C30" s="105">
        <f>AVERAGE(Model!Y51,Model!X51,Model!W51,Model!V51)</f>
        <v>6.338443029021476E-2</v>
      </c>
      <c r="F30">
        <v>13345</v>
      </c>
      <c r="G30">
        <v>12508</v>
      </c>
    </row>
    <row r="31" spans="2:12" x14ac:dyDescent="0.25">
      <c r="B31" s="91" t="s">
        <v>344</v>
      </c>
      <c r="C31" s="101">
        <f>Model!Y50</f>
        <v>301</v>
      </c>
    </row>
    <row r="32" spans="2:12" x14ac:dyDescent="0.25">
      <c r="B32" s="91" t="s">
        <v>342</v>
      </c>
      <c r="C32" s="106">
        <v>20</v>
      </c>
    </row>
    <row r="33" spans="2:3" x14ac:dyDescent="0.25">
      <c r="B33" s="111" t="s">
        <v>343</v>
      </c>
      <c r="C33" s="112">
        <f>C31*C32</f>
        <v>6020</v>
      </c>
    </row>
    <row r="34" spans="2:3" x14ac:dyDescent="0.25">
      <c r="B34" s="91" t="s">
        <v>352</v>
      </c>
      <c r="C34" s="105">
        <f>C33/C$35</f>
        <v>0.26021180030257185</v>
      </c>
    </row>
    <row r="35" spans="2:3" x14ac:dyDescent="0.25">
      <c r="B35" s="107" t="s">
        <v>345</v>
      </c>
      <c r="C35" s="108">
        <f>C26+C33</f>
        <v>23135</v>
      </c>
    </row>
    <row r="36" spans="2:3" x14ac:dyDescent="0.25">
      <c r="B36" s="109" t="s">
        <v>346</v>
      </c>
      <c r="C36" s="110">
        <f ca="1">C35/C14</f>
        <v>0.9807163235113332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491934-BD5A-46BE-B6EA-978684424D89}">
  <dimension ref="A1:AA281"/>
  <sheetViews>
    <sheetView tabSelected="1" zoomScale="150" zoomScaleNormal="150" workbookViewId="0">
      <pane xSplit="2" ySplit="2" topLeftCell="T253" activePane="bottomRight" state="frozen"/>
      <selection pane="topRight" activeCell="C1" sqref="C1"/>
      <selection pane="bottomLeft" activeCell="A3" sqref="A3"/>
      <selection pane="bottomRight" activeCell="Y261" sqref="Y261"/>
    </sheetView>
  </sheetViews>
  <sheetFormatPr defaultRowHeight="12" outlineLevelRow="1" x14ac:dyDescent="0.2"/>
  <cols>
    <col min="1" max="1" width="3" style="5" customWidth="1"/>
    <col min="2" max="2" width="59" style="5" bestFit="1" customWidth="1"/>
    <col min="3" max="12" width="9.140625" style="5"/>
    <col min="13" max="13" width="10.5703125" style="5" bestFit="1" customWidth="1"/>
    <col min="14" max="14" width="2.5703125" style="5" customWidth="1"/>
    <col min="15" max="23" width="9.140625" style="5"/>
    <col min="24" max="24" width="8.140625" style="5" bestFit="1" customWidth="1"/>
    <col min="25" max="25" width="9.5703125" style="5" bestFit="1" customWidth="1"/>
    <col min="26" max="16384" width="9.140625" style="5"/>
  </cols>
  <sheetData>
    <row r="1" spans="1:27" x14ac:dyDescent="0.2">
      <c r="K1" s="5" t="s">
        <v>148</v>
      </c>
      <c r="P1" s="5" t="s">
        <v>319</v>
      </c>
    </row>
    <row r="2" spans="1:27" x14ac:dyDescent="0.2">
      <c r="C2" s="16" t="s">
        <v>132</v>
      </c>
      <c r="D2" s="16" t="s">
        <v>142</v>
      </c>
      <c r="E2" s="5" t="s">
        <v>131</v>
      </c>
      <c r="F2" s="5" t="s">
        <v>143</v>
      </c>
      <c r="G2" s="5" t="s">
        <v>353</v>
      </c>
      <c r="I2" s="52" t="s">
        <v>314</v>
      </c>
      <c r="J2" s="17" t="s">
        <v>313</v>
      </c>
      <c r="K2" s="16" t="s">
        <v>147</v>
      </c>
      <c r="L2" s="5" t="s">
        <v>169</v>
      </c>
      <c r="M2" s="5" t="s">
        <v>146</v>
      </c>
      <c r="O2" s="17">
        <f t="shared" ref="O2:U2" si="0">EOMONTH(P2,-12)</f>
        <v>42369</v>
      </c>
      <c r="P2" s="17">
        <f t="shared" si="0"/>
        <v>42735</v>
      </c>
      <c r="Q2" s="17">
        <f t="shared" si="0"/>
        <v>43100</v>
      </c>
      <c r="R2" s="17">
        <f t="shared" si="0"/>
        <v>43465</v>
      </c>
      <c r="S2" s="17">
        <f t="shared" si="0"/>
        <v>43830</v>
      </c>
      <c r="T2" s="17">
        <f t="shared" si="0"/>
        <v>44196</v>
      </c>
      <c r="U2" s="17">
        <f t="shared" si="0"/>
        <v>44561</v>
      </c>
      <c r="V2" s="17">
        <v>44926</v>
      </c>
      <c r="W2" s="17">
        <v>45291</v>
      </c>
      <c r="X2" s="17">
        <v>45657</v>
      </c>
      <c r="Y2" s="17" t="s">
        <v>331</v>
      </c>
      <c r="Z2" s="5" t="s">
        <v>328</v>
      </c>
    </row>
    <row r="3" spans="1:27" x14ac:dyDescent="0.2">
      <c r="B3" s="5" t="s">
        <v>317</v>
      </c>
      <c r="C3" s="16"/>
      <c r="D3" s="16"/>
      <c r="I3" s="52"/>
      <c r="J3" s="17"/>
      <c r="K3" s="16"/>
      <c r="M3" s="58">
        <f ca="1">Tabelle1!C3</f>
        <v>328.6</v>
      </c>
      <c r="O3" s="26">
        <v>90.1</v>
      </c>
      <c r="P3" s="26">
        <v>109.8</v>
      </c>
      <c r="Q3" s="26">
        <v>149.4</v>
      </c>
      <c r="R3" s="26">
        <v>158.4</v>
      </c>
      <c r="S3" s="26">
        <v>254.6</v>
      </c>
      <c r="T3" s="26">
        <v>213.4</v>
      </c>
      <c r="U3" s="26">
        <v>179.4</v>
      </c>
      <c r="V3" s="26">
        <v>202.2</v>
      </c>
      <c r="W3" s="26">
        <v>195.25</v>
      </c>
      <c r="X3" s="27">
        <v>322</v>
      </c>
      <c r="Y3" s="27">
        <v>355.3</v>
      </c>
    </row>
    <row r="4" spans="1:27" x14ac:dyDescent="0.2">
      <c r="A4" s="5" t="s">
        <v>15</v>
      </c>
      <c r="B4" s="12" t="s">
        <v>140</v>
      </c>
      <c r="C4" s="12"/>
      <c r="D4" s="12"/>
      <c r="E4" s="12"/>
      <c r="F4" s="12"/>
      <c r="G4" s="12"/>
      <c r="H4" s="12"/>
      <c r="I4" s="12"/>
      <c r="J4" s="12"/>
      <c r="K4" s="12"/>
      <c r="L4" s="12"/>
      <c r="M4" s="12"/>
      <c r="N4" s="12"/>
      <c r="O4" s="12"/>
      <c r="P4" s="12"/>
      <c r="Q4" s="12"/>
      <c r="R4" s="12"/>
      <c r="S4" s="12"/>
      <c r="T4" s="12"/>
      <c r="U4" s="12"/>
      <c r="V4" s="12"/>
      <c r="W4" s="12"/>
      <c r="X4" s="12"/>
      <c r="Y4" s="12"/>
    </row>
    <row r="5" spans="1:27" x14ac:dyDescent="0.2">
      <c r="A5" s="5" t="s">
        <v>16</v>
      </c>
      <c r="B5" s="6" t="s">
        <v>11</v>
      </c>
      <c r="C5" s="18">
        <v>433</v>
      </c>
      <c r="D5" s="18">
        <v>470</v>
      </c>
      <c r="E5" s="18">
        <v>507</v>
      </c>
      <c r="F5" s="38">
        <f>M5-E5</f>
        <v>734</v>
      </c>
      <c r="G5" s="18">
        <v>479</v>
      </c>
      <c r="I5" s="18">
        <v>596</v>
      </c>
      <c r="J5" s="18">
        <v>832</v>
      </c>
      <c r="K5" s="18">
        <v>807</v>
      </c>
      <c r="L5" s="38">
        <f>X5-K5</f>
        <v>917</v>
      </c>
      <c r="M5" s="18">
        <v>1241</v>
      </c>
      <c r="O5" s="18">
        <v>2414</v>
      </c>
      <c r="P5" s="18">
        <v>2401.1999999999998</v>
      </c>
      <c r="Q5" s="18">
        <v>1289.9000000000001</v>
      </c>
      <c r="R5" s="18">
        <v>1602.8</v>
      </c>
      <c r="S5" s="18">
        <v>1537</v>
      </c>
      <c r="T5" s="18">
        <v>1052</v>
      </c>
      <c r="U5" s="18">
        <v>1066</v>
      </c>
      <c r="V5" s="18">
        <v>1335</v>
      </c>
      <c r="W5" s="18">
        <v>668</v>
      </c>
      <c r="X5" s="18">
        <v>1724</v>
      </c>
      <c r="Y5" s="18">
        <v>2178</v>
      </c>
    </row>
    <row r="6" spans="1:27" x14ac:dyDescent="0.2">
      <c r="B6" s="6" t="s">
        <v>8</v>
      </c>
      <c r="C6" s="18">
        <v>124</v>
      </c>
      <c r="D6" s="18">
        <v>148</v>
      </c>
      <c r="E6" s="18">
        <v>113</v>
      </c>
      <c r="F6" s="38">
        <f>M6-E6</f>
        <v>147</v>
      </c>
      <c r="G6" s="18">
        <v>142</v>
      </c>
      <c r="I6" s="18">
        <v>213</v>
      </c>
      <c r="J6" s="18">
        <v>229</v>
      </c>
      <c r="K6" s="18">
        <v>272</v>
      </c>
      <c r="L6" s="38">
        <f t="shared" ref="L6:L22" si="1">X6-K6</f>
        <v>340</v>
      </c>
      <c r="M6" s="18">
        <v>260</v>
      </c>
      <c r="O6" s="18">
        <v>483.1</v>
      </c>
      <c r="P6" s="18">
        <v>504</v>
      </c>
      <c r="Q6" s="18">
        <v>444.9</v>
      </c>
      <c r="R6" s="18">
        <v>431.1</v>
      </c>
      <c r="S6" s="18">
        <v>459</v>
      </c>
      <c r="T6" s="18">
        <v>483</v>
      </c>
      <c r="U6" s="18">
        <v>482</v>
      </c>
      <c r="V6" s="18">
        <v>496</v>
      </c>
      <c r="W6" s="18">
        <v>538</v>
      </c>
      <c r="X6" s="18">
        <v>612</v>
      </c>
      <c r="Y6" s="18">
        <v>614</v>
      </c>
    </row>
    <row r="7" spans="1:27" ht="14.25" x14ac:dyDescent="0.35">
      <c r="B7" s="6" t="s">
        <v>9</v>
      </c>
      <c r="C7" s="19">
        <v>0</v>
      </c>
      <c r="D7" s="19">
        <v>0</v>
      </c>
      <c r="E7" s="19">
        <v>0</v>
      </c>
      <c r="F7" s="39">
        <f>M7-E7</f>
        <v>-33</v>
      </c>
      <c r="G7" s="19"/>
      <c r="I7" s="19">
        <v>0</v>
      </c>
      <c r="J7" s="19">
        <v>0</v>
      </c>
      <c r="K7" s="19">
        <v>56</v>
      </c>
      <c r="L7" s="39">
        <f t="shared" si="1"/>
        <v>62</v>
      </c>
      <c r="M7" s="19">
        <v>-33</v>
      </c>
      <c r="O7" s="19">
        <v>0</v>
      </c>
      <c r="P7" s="19">
        <v>0</v>
      </c>
      <c r="Q7" s="19">
        <v>0</v>
      </c>
      <c r="R7" s="19">
        <v>0</v>
      </c>
      <c r="S7" s="19">
        <v>0</v>
      </c>
      <c r="T7" s="19">
        <v>0</v>
      </c>
      <c r="U7" s="19">
        <v>0</v>
      </c>
      <c r="V7" s="19">
        <v>0</v>
      </c>
      <c r="W7" s="19">
        <v>44</v>
      </c>
      <c r="X7" s="19">
        <v>118</v>
      </c>
      <c r="Y7" s="19">
        <v>129</v>
      </c>
    </row>
    <row r="8" spans="1:27" s="7" customFormat="1" x14ac:dyDescent="0.2">
      <c r="A8" s="7" t="s">
        <v>39</v>
      </c>
      <c r="B8" s="7" t="s">
        <v>10</v>
      </c>
      <c r="C8" s="20">
        <f>SUM(C5:C7)</f>
        <v>557</v>
      </c>
      <c r="D8" s="20">
        <f t="shared" ref="D8:G8" si="2">SUM(D5:D7)</f>
        <v>618</v>
      </c>
      <c r="E8" s="20">
        <f>SUM(E5:E7)</f>
        <v>620</v>
      </c>
      <c r="F8" s="20">
        <f t="shared" si="2"/>
        <v>848</v>
      </c>
      <c r="G8" s="20">
        <f t="shared" si="2"/>
        <v>621</v>
      </c>
      <c r="I8" s="20">
        <f>SUM(I5:I7)</f>
        <v>809</v>
      </c>
      <c r="J8" s="20">
        <f t="shared" ref="J8" si="3">SUM(J5:J7)</f>
        <v>1061</v>
      </c>
      <c r="K8" s="20">
        <f>SUM(K5:K7)</f>
        <v>1135</v>
      </c>
      <c r="L8" s="20">
        <f>SUM(L5:L7)</f>
        <v>1319</v>
      </c>
      <c r="M8" s="20">
        <f>SUM(M5:M7)</f>
        <v>1468</v>
      </c>
      <c r="O8" s="20">
        <f t="shared" ref="O8:T8" si="4">SUM(O5:O7)</f>
        <v>2897.1</v>
      </c>
      <c r="P8" s="20">
        <f t="shared" si="4"/>
        <v>2905.2</v>
      </c>
      <c r="Q8" s="20">
        <f t="shared" si="4"/>
        <v>1734.8000000000002</v>
      </c>
      <c r="R8" s="20">
        <f t="shared" si="4"/>
        <v>2033.9</v>
      </c>
      <c r="S8" s="20">
        <f t="shared" si="4"/>
        <v>1996</v>
      </c>
      <c r="T8" s="20">
        <f t="shared" si="4"/>
        <v>1535</v>
      </c>
      <c r="U8" s="20">
        <f t="shared" ref="U8" si="5">SUM(U5:U7)</f>
        <v>1548</v>
      </c>
      <c r="V8" s="20">
        <f>SUM(V5:V7)</f>
        <v>1831</v>
      </c>
      <c r="W8" s="20">
        <f>SUM(W5:W7)</f>
        <v>1250</v>
      </c>
      <c r="X8" s="20">
        <f>SUM(X5:X7)</f>
        <v>2454</v>
      </c>
      <c r="Y8" s="20">
        <f>SUM(Y5:Y7)</f>
        <v>2921</v>
      </c>
      <c r="Z8" s="59">
        <f>(X8/O8)^(1/(2024-2015))-1</f>
        <v>-1.8274392983292143E-2</v>
      </c>
    </row>
    <row r="9" spans="1:27" s="7" customFormat="1" x14ac:dyDescent="0.2">
      <c r="B9" s="6" t="s">
        <v>310</v>
      </c>
      <c r="C9" s="20"/>
      <c r="D9" s="20"/>
      <c r="E9" s="20"/>
      <c r="F9" s="20"/>
      <c r="G9" s="20"/>
      <c r="I9" s="20"/>
      <c r="J9" s="20"/>
      <c r="K9" s="20"/>
      <c r="L9" s="20"/>
      <c r="M9" s="20"/>
      <c r="O9" s="20"/>
      <c r="P9" s="59">
        <f>P8/O8-1</f>
        <v>2.7958993476233651E-3</v>
      </c>
      <c r="Q9" s="59">
        <f t="shared" ref="Q9:Y9" si="6">Q8/P8-1</f>
        <v>-0.4028638303731239</v>
      </c>
      <c r="R9" s="59">
        <f t="shared" si="6"/>
        <v>0.17241180539543466</v>
      </c>
      <c r="S9" s="59">
        <f t="shared" si="6"/>
        <v>-1.8634151138207433E-2</v>
      </c>
      <c r="T9" s="59">
        <f t="shared" si="6"/>
        <v>-0.23096192384769543</v>
      </c>
      <c r="U9" s="59">
        <f t="shared" si="6"/>
        <v>8.4690553745927488E-3</v>
      </c>
      <c r="V9" s="59">
        <f t="shared" si="6"/>
        <v>0.18281653746770021</v>
      </c>
      <c r="W9" s="59">
        <f t="shared" si="6"/>
        <v>-0.31731294374658658</v>
      </c>
      <c r="X9" s="59">
        <f t="shared" si="6"/>
        <v>0.96320000000000006</v>
      </c>
      <c r="Y9" s="59">
        <f t="shared" si="6"/>
        <v>0.19030154849225744</v>
      </c>
      <c r="Z9" s="59"/>
    </row>
    <row r="10" spans="1:27" x14ac:dyDescent="0.2">
      <c r="B10" s="8" t="s">
        <v>17</v>
      </c>
      <c r="I10" s="18">
        <v>809</v>
      </c>
      <c r="J10" s="18">
        <v>1061</v>
      </c>
      <c r="K10" s="18">
        <v>1176</v>
      </c>
      <c r="L10" s="38">
        <f t="shared" si="1"/>
        <v>1355</v>
      </c>
      <c r="M10" s="18">
        <v>1411</v>
      </c>
      <c r="O10" s="18">
        <v>2897.1</v>
      </c>
      <c r="P10" s="18">
        <v>2905.2</v>
      </c>
      <c r="Q10" s="18">
        <v>1734.8</v>
      </c>
      <c r="R10" s="18">
        <v>2033.9</v>
      </c>
      <c r="S10" s="18">
        <v>1996</v>
      </c>
      <c r="T10" s="18">
        <v>1535</v>
      </c>
      <c r="U10" s="18">
        <v>1548</v>
      </c>
      <c r="V10" s="18">
        <v>1831</v>
      </c>
      <c r="W10" s="18">
        <v>2212</v>
      </c>
      <c r="X10" s="18">
        <v>2531</v>
      </c>
      <c r="Y10" s="18">
        <v>2875</v>
      </c>
    </row>
    <row r="11" spans="1:27" x14ac:dyDescent="0.2">
      <c r="B11" s="8" t="s">
        <v>18</v>
      </c>
      <c r="I11" s="18">
        <v>182</v>
      </c>
      <c r="J11" s="18">
        <v>348</v>
      </c>
      <c r="K11" s="18">
        <v>358</v>
      </c>
      <c r="L11" s="38">
        <f t="shared" si="1"/>
        <v>387</v>
      </c>
      <c r="M11" s="18">
        <v>571</v>
      </c>
      <c r="O11" s="18">
        <v>378.9</v>
      </c>
      <c r="P11" s="18">
        <v>422.6</v>
      </c>
      <c r="Q11" s="18">
        <v>470</v>
      </c>
      <c r="R11" s="18">
        <v>549.1</v>
      </c>
      <c r="S11" s="18">
        <v>615</v>
      </c>
      <c r="T11" s="18">
        <v>286</v>
      </c>
      <c r="U11" s="18">
        <v>351</v>
      </c>
      <c r="V11" s="18">
        <v>500</v>
      </c>
      <c r="W11" s="18">
        <v>266</v>
      </c>
      <c r="X11" s="18">
        <v>745</v>
      </c>
      <c r="Y11" s="18">
        <v>1164</v>
      </c>
    </row>
    <row r="12" spans="1:27" x14ac:dyDescent="0.2">
      <c r="B12" s="9" t="s">
        <v>31</v>
      </c>
      <c r="I12" s="21">
        <f>I11/I$8</f>
        <v>0.22496909765142151</v>
      </c>
      <c r="J12" s="21">
        <f t="shared" ref="J12" si="7">J11/J$8</f>
        <v>0.32799245994344955</v>
      </c>
      <c r="K12" s="21">
        <f>K11/K$8</f>
        <v>0.31541850220264317</v>
      </c>
      <c r="L12" s="40">
        <f>L11/L$8</f>
        <v>0.29340409401061412</v>
      </c>
      <c r="M12" s="21">
        <f>M11/M$8</f>
        <v>0.38896457765667575</v>
      </c>
      <c r="O12" s="21">
        <f t="shared" ref="O12:Y12" si="8">O11/O$8</f>
        <v>0.13078595837216528</v>
      </c>
      <c r="P12" s="21">
        <f t="shared" si="8"/>
        <v>0.14546330717334435</v>
      </c>
      <c r="Q12" s="21">
        <f t="shared" si="8"/>
        <v>0.27092460225962645</v>
      </c>
      <c r="R12" s="21">
        <f t="shared" si="8"/>
        <v>0.2699739416883819</v>
      </c>
      <c r="S12" s="21">
        <f t="shared" si="8"/>
        <v>0.30811623246492986</v>
      </c>
      <c r="T12" s="21">
        <f t="shared" si="8"/>
        <v>0.18631921824104233</v>
      </c>
      <c r="U12" s="21">
        <f t="shared" si="8"/>
        <v>0.22674418604651161</v>
      </c>
      <c r="V12" s="21">
        <f t="shared" si="8"/>
        <v>0.27307482250136539</v>
      </c>
      <c r="W12" s="21">
        <f t="shared" si="8"/>
        <v>0.21279999999999999</v>
      </c>
      <c r="X12" s="21">
        <f t="shared" si="8"/>
        <v>0.30358598207008963</v>
      </c>
      <c r="Y12" s="21">
        <f t="shared" si="8"/>
        <v>0.39849366655255047</v>
      </c>
      <c r="Z12" s="59">
        <f>(X12/O12)^(1/(2024-2015))-1</f>
        <v>9.8084146982772014E-2</v>
      </c>
      <c r="AA12" s="61"/>
    </row>
    <row r="13" spans="1:27" x14ac:dyDescent="0.2">
      <c r="B13" s="6" t="s">
        <v>19</v>
      </c>
      <c r="I13" s="18">
        <v>-21</v>
      </c>
      <c r="J13" s="18">
        <v>-24</v>
      </c>
      <c r="K13" s="18">
        <v>-26</v>
      </c>
      <c r="L13" s="38">
        <f t="shared" si="1"/>
        <v>-29</v>
      </c>
      <c r="M13" s="18">
        <v>-28</v>
      </c>
      <c r="O13" s="18">
        <v>-59.7</v>
      </c>
      <c r="P13" s="18" t="s">
        <v>332</v>
      </c>
      <c r="Q13" s="18">
        <v>-29.1</v>
      </c>
      <c r="R13" s="18">
        <v>-31</v>
      </c>
      <c r="S13" s="18">
        <v>-37</v>
      </c>
      <c r="T13" s="18">
        <v>-39</v>
      </c>
      <c r="U13" s="18">
        <v>-41</v>
      </c>
      <c r="V13" s="18">
        <v>-45</v>
      </c>
      <c r="W13" s="18">
        <v>-50</v>
      </c>
      <c r="X13" s="18">
        <v>-55</v>
      </c>
      <c r="Y13" s="18">
        <v>-58</v>
      </c>
    </row>
    <row r="14" spans="1:27" x14ac:dyDescent="0.2">
      <c r="B14" s="6" t="s">
        <v>20</v>
      </c>
      <c r="C14" s="18">
        <v>-54</v>
      </c>
      <c r="D14" s="38">
        <f>K14-C14</f>
        <v>-6</v>
      </c>
      <c r="E14" s="18">
        <v>-58</v>
      </c>
      <c r="F14" s="38">
        <f>M14-E14</f>
        <v>-7</v>
      </c>
      <c r="G14" s="38"/>
      <c r="I14" s="18">
        <v>-56</v>
      </c>
      <c r="J14" s="18">
        <v>-56</v>
      </c>
      <c r="K14" s="18">
        <v>-60</v>
      </c>
      <c r="L14" s="38">
        <f t="shared" si="1"/>
        <v>-66</v>
      </c>
      <c r="M14" s="18">
        <v>-65</v>
      </c>
      <c r="O14" s="18">
        <v>-74.5</v>
      </c>
      <c r="P14" s="18">
        <v>-76.2</v>
      </c>
      <c r="Q14" s="18">
        <v>-47.3</v>
      </c>
      <c r="R14" s="18">
        <v>-49</v>
      </c>
      <c r="S14" s="18">
        <v>-53</v>
      </c>
      <c r="T14" s="18">
        <v>-102</v>
      </c>
      <c r="U14" s="18">
        <v>-46</v>
      </c>
      <c r="V14" s="18">
        <v>-47</v>
      </c>
      <c r="W14" s="18">
        <v>-115</v>
      </c>
      <c r="X14" s="18">
        <v>-126</v>
      </c>
      <c r="Y14" s="18">
        <v>-132</v>
      </c>
    </row>
    <row r="15" spans="1:27" x14ac:dyDescent="0.2">
      <c r="B15" s="6" t="s">
        <v>21</v>
      </c>
      <c r="I15" s="18">
        <v>-24</v>
      </c>
      <c r="J15" s="18">
        <v>-23</v>
      </c>
      <c r="K15" s="18">
        <v>-25</v>
      </c>
      <c r="L15" s="38">
        <f t="shared" si="1"/>
        <v>-100</v>
      </c>
      <c r="M15" s="18">
        <v>-25</v>
      </c>
      <c r="O15" s="18">
        <v>0</v>
      </c>
      <c r="P15" s="18">
        <v>0</v>
      </c>
      <c r="Q15" s="18">
        <v>-79.7</v>
      </c>
      <c r="R15" s="18">
        <v>-82</v>
      </c>
      <c r="S15" s="18">
        <v>-93</v>
      </c>
      <c r="T15" s="18">
        <v>-51</v>
      </c>
      <c r="U15" s="18">
        <v>-115</v>
      </c>
      <c r="V15" s="18">
        <v>-113</v>
      </c>
      <c r="W15" s="18">
        <v>-50</v>
      </c>
      <c r="X15" s="18">
        <v>-125</v>
      </c>
      <c r="Y15" s="18">
        <v>-49</v>
      </c>
    </row>
    <row r="16" spans="1:27" ht="14.25" x14ac:dyDescent="0.35">
      <c r="B16" s="6" t="s">
        <v>22</v>
      </c>
      <c r="I16" s="19">
        <v>-65</v>
      </c>
      <c r="J16" s="19">
        <v>0</v>
      </c>
      <c r="K16" s="19">
        <v>0</v>
      </c>
      <c r="L16" s="39">
        <f t="shared" si="1"/>
        <v>-31</v>
      </c>
      <c r="M16" s="19">
        <v>0</v>
      </c>
      <c r="O16" s="19">
        <v>0</v>
      </c>
      <c r="P16" s="19">
        <v>0</v>
      </c>
      <c r="Q16" s="19">
        <v>0</v>
      </c>
      <c r="R16" s="19">
        <v>0</v>
      </c>
      <c r="S16" s="19">
        <v>0</v>
      </c>
      <c r="T16" s="19">
        <v>-71</v>
      </c>
      <c r="U16" s="19">
        <v>-83</v>
      </c>
      <c r="V16" s="19">
        <v>-65</v>
      </c>
      <c r="W16" s="19">
        <v>0</v>
      </c>
      <c r="X16" s="19">
        <v>-31</v>
      </c>
      <c r="Y16" s="19">
        <v>0</v>
      </c>
    </row>
    <row r="17" spans="2:26" x14ac:dyDescent="0.2">
      <c r="B17" s="8" t="s">
        <v>23</v>
      </c>
      <c r="I17" s="22">
        <f>I16+I15+I14+I13</f>
        <v>-166</v>
      </c>
      <c r="J17" s="22">
        <f t="shared" ref="J17" si="9">J16+J15+J14+J13</f>
        <v>-103</v>
      </c>
      <c r="K17" s="22">
        <f>K16+K15+K14+K13</f>
        <v>-111</v>
      </c>
      <c r="L17" s="22">
        <f>L16+L15+L14+L13</f>
        <v>-226</v>
      </c>
      <c r="M17" s="22">
        <f>M16+M15+M14+M13</f>
        <v>-118</v>
      </c>
      <c r="O17" s="22">
        <f t="shared" ref="O17:T17" si="10">O16+O15+O14+O13</f>
        <v>-134.19999999999999</v>
      </c>
      <c r="P17" s="22" t="e">
        <f t="shared" si="10"/>
        <v>#VALUE!</v>
      </c>
      <c r="Q17" s="22">
        <f t="shared" si="10"/>
        <v>-156.1</v>
      </c>
      <c r="R17" s="22">
        <f t="shared" si="10"/>
        <v>-162</v>
      </c>
      <c r="S17" s="22">
        <f t="shared" si="10"/>
        <v>-183</v>
      </c>
      <c r="T17" s="22">
        <f t="shared" si="10"/>
        <v>-263</v>
      </c>
      <c r="U17" s="22">
        <f t="shared" ref="U17" si="11">U16+U15+U14+U13</f>
        <v>-285</v>
      </c>
      <c r="V17" s="22">
        <f>V16+V15+V14+V13</f>
        <v>-270</v>
      </c>
      <c r="W17" s="22">
        <f>W16+W15+W14+W13</f>
        <v>-215</v>
      </c>
      <c r="X17" s="22">
        <f>X16+X15+X14+X13</f>
        <v>-337</v>
      </c>
      <c r="Y17" s="22">
        <f>Y16+Y15+Y14+Y13</f>
        <v>-239</v>
      </c>
    </row>
    <row r="18" spans="2:26" x14ac:dyDescent="0.2">
      <c r="B18" s="62" t="s">
        <v>333</v>
      </c>
      <c r="C18" s="63"/>
      <c r="D18" s="63"/>
      <c r="E18" s="63"/>
      <c r="F18" s="63"/>
      <c r="G18" s="63"/>
      <c r="H18" s="63"/>
      <c r="I18" s="64"/>
      <c r="J18" s="64"/>
      <c r="K18" s="64"/>
      <c r="L18" s="64"/>
      <c r="M18" s="64"/>
      <c r="N18" s="63"/>
      <c r="O18" s="64"/>
      <c r="P18" s="64"/>
      <c r="Q18" s="64">
        <f t="shared" ref="Q18:Y18" si="12">Q22-Q17</f>
        <v>385.4</v>
      </c>
      <c r="R18" s="64">
        <f t="shared" si="12"/>
        <v>544.6</v>
      </c>
      <c r="S18" s="64">
        <f t="shared" si="12"/>
        <v>630</v>
      </c>
      <c r="T18" s="64">
        <f t="shared" si="12"/>
        <v>400</v>
      </c>
      <c r="U18" s="64">
        <f t="shared" si="12"/>
        <v>494</v>
      </c>
      <c r="V18" s="64">
        <f t="shared" si="12"/>
        <v>538</v>
      </c>
      <c r="W18" s="64">
        <f t="shared" si="12"/>
        <v>723</v>
      </c>
      <c r="X18" s="64">
        <f t="shared" si="12"/>
        <v>854</v>
      </c>
      <c r="Y18" s="64">
        <f t="shared" si="12"/>
        <v>1141</v>
      </c>
      <c r="Z18" s="59">
        <f>(Y18/U18)^(1/(2024-2015))-1</f>
        <v>9.747695749400509E-2</v>
      </c>
    </row>
    <row r="19" spans="2:26" x14ac:dyDescent="0.2">
      <c r="B19" s="65" t="s">
        <v>31</v>
      </c>
      <c r="C19" s="66"/>
      <c r="D19" s="66"/>
      <c r="E19" s="66"/>
      <c r="F19" s="66"/>
      <c r="G19" s="66"/>
      <c r="H19" s="66"/>
      <c r="I19" s="67"/>
      <c r="J19" s="67"/>
      <c r="K19" s="67"/>
      <c r="L19" s="67"/>
      <c r="M19" s="67"/>
      <c r="N19" s="66"/>
      <c r="O19" s="67"/>
      <c r="P19" s="67"/>
      <c r="Q19" s="68">
        <f t="shared" ref="Q19" si="13">Q18/Q$8</f>
        <v>0.22215817385289366</v>
      </c>
      <c r="R19" s="68">
        <f t="shared" ref="R19" si="14">R18/R$8</f>
        <v>0.26776144353213038</v>
      </c>
      <c r="S19" s="68">
        <f t="shared" ref="S19" si="15">S18/S$8</f>
        <v>0.31563126252505008</v>
      </c>
      <c r="T19" s="68">
        <f t="shared" ref="T19" si="16">T18/T$8</f>
        <v>0.26058631921824105</v>
      </c>
      <c r="U19" s="68">
        <f t="shared" ref="U19" si="17">U18/U$8</f>
        <v>0.31912144702842377</v>
      </c>
      <c r="V19" s="68">
        <f t="shared" ref="V19" si="18">V18/V$8</f>
        <v>0.29382850901146912</v>
      </c>
      <c r="W19" s="68">
        <f t="shared" ref="W19" si="19">W18/W$8</f>
        <v>0.57840000000000003</v>
      </c>
      <c r="X19" s="68">
        <f t="shared" ref="X19" si="20">X18/X$8</f>
        <v>0.34800325998370008</v>
      </c>
      <c r="Y19" s="68">
        <f t="shared" ref="O19:Y23" si="21">Y18/Y$8</f>
        <v>0.39061965080451899</v>
      </c>
    </row>
    <row r="20" spans="2:26" x14ac:dyDescent="0.2">
      <c r="B20" s="9" t="s">
        <v>341</v>
      </c>
      <c r="I20" s="22"/>
      <c r="J20" s="22"/>
      <c r="K20" s="22"/>
      <c r="L20" s="22"/>
      <c r="M20" s="22"/>
      <c r="O20" s="22"/>
      <c r="P20" s="22"/>
      <c r="Q20" s="87"/>
      <c r="R20" s="87"/>
      <c r="S20" s="87"/>
      <c r="T20" s="87"/>
      <c r="U20" s="87"/>
      <c r="V20" s="87"/>
      <c r="W20" s="87"/>
      <c r="X20" s="88">
        <v>10</v>
      </c>
      <c r="Y20" s="89">
        <v>10</v>
      </c>
    </row>
    <row r="21" spans="2:26" x14ac:dyDescent="0.2">
      <c r="B21" s="9"/>
      <c r="I21" s="22"/>
      <c r="J21" s="22"/>
      <c r="K21" s="22"/>
      <c r="L21" s="22"/>
      <c r="M21" s="22"/>
      <c r="O21" s="22"/>
      <c r="P21" s="22"/>
      <c r="Q21" s="87"/>
      <c r="R21" s="87"/>
      <c r="S21" s="87"/>
      <c r="T21" s="87"/>
      <c r="U21" s="87"/>
      <c r="V21" s="87"/>
      <c r="W21" s="87"/>
      <c r="X21" s="87"/>
      <c r="Y21" s="90">
        <f>Y18*Y20</f>
        <v>11410</v>
      </c>
    </row>
    <row r="22" spans="2:26" x14ac:dyDescent="0.2">
      <c r="B22" s="7" t="s">
        <v>24</v>
      </c>
      <c r="C22" s="18">
        <v>130</v>
      </c>
      <c r="D22" s="38">
        <f>K22-C22</f>
        <v>108</v>
      </c>
      <c r="E22" s="18">
        <v>176</v>
      </c>
      <c r="F22" s="38">
        <f>M22-E22</f>
        <v>286</v>
      </c>
      <c r="G22" s="18">
        <v>188</v>
      </c>
      <c r="I22" s="18">
        <v>67</v>
      </c>
      <c r="J22" s="18">
        <v>223</v>
      </c>
      <c r="K22" s="18">
        <v>238</v>
      </c>
      <c r="L22" s="38">
        <f t="shared" si="1"/>
        <v>279</v>
      </c>
      <c r="M22" s="18">
        <v>462</v>
      </c>
      <c r="O22" s="18">
        <v>232.8</v>
      </c>
      <c r="P22" s="18">
        <v>273.7</v>
      </c>
      <c r="Q22" s="18">
        <v>229.3</v>
      </c>
      <c r="R22" s="18">
        <v>382.6</v>
      </c>
      <c r="S22" s="18">
        <v>447</v>
      </c>
      <c r="T22" s="18">
        <v>137</v>
      </c>
      <c r="U22" s="18">
        <v>209</v>
      </c>
      <c r="V22" s="18">
        <v>268</v>
      </c>
      <c r="W22" s="18">
        <v>508</v>
      </c>
      <c r="X22" s="18">
        <v>517</v>
      </c>
      <c r="Y22" s="18">
        <v>902</v>
      </c>
    </row>
    <row r="23" spans="2:26" x14ac:dyDescent="0.2">
      <c r="B23" s="9" t="s">
        <v>31</v>
      </c>
      <c r="C23" s="21">
        <f>C22/C$8</f>
        <v>0.23339317773788151</v>
      </c>
      <c r="D23" s="21">
        <f t="shared" ref="D23:G23" si="22">D22/D$8</f>
        <v>0.17475728155339806</v>
      </c>
      <c r="E23" s="21">
        <f>E22/E$8</f>
        <v>0.28387096774193549</v>
      </c>
      <c r="F23" s="21">
        <f t="shared" si="22"/>
        <v>0.33726415094339623</v>
      </c>
      <c r="G23" s="21">
        <f t="shared" si="22"/>
        <v>0.30273752012882449</v>
      </c>
      <c r="I23" s="21">
        <f>I22/I$8</f>
        <v>8.2818294190358466E-2</v>
      </c>
      <c r="J23" s="21">
        <f t="shared" ref="J23" si="23">J22/J$8</f>
        <v>0.21017907634307256</v>
      </c>
      <c r="K23" s="21">
        <f>K22/K$8</f>
        <v>0.20969162995594715</v>
      </c>
      <c r="L23" s="40">
        <f>L22/L$8</f>
        <v>0.21152388172858225</v>
      </c>
      <c r="M23" s="21">
        <f>M22/M$8</f>
        <v>0.31471389645776565</v>
      </c>
      <c r="O23" s="60">
        <f t="shared" si="21"/>
        <v>8.035621828725277E-2</v>
      </c>
      <c r="P23" s="60">
        <f t="shared" si="21"/>
        <v>9.4210381385102571E-2</v>
      </c>
      <c r="Q23" s="60">
        <f t="shared" si="21"/>
        <v>0.13217661978326031</v>
      </c>
      <c r="R23" s="60">
        <f t="shared" si="21"/>
        <v>0.18811150990707509</v>
      </c>
      <c r="S23" s="60">
        <f t="shared" si="21"/>
        <v>0.22394789579158317</v>
      </c>
      <c r="T23" s="60">
        <f t="shared" si="21"/>
        <v>8.9250814332247561E-2</v>
      </c>
      <c r="U23" s="60">
        <f t="shared" si="21"/>
        <v>0.13501291989664083</v>
      </c>
      <c r="V23" s="60">
        <f t="shared" si="21"/>
        <v>0.14636810486073185</v>
      </c>
      <c r="W23" s="60">
        <f t="shared" si="21"/>
        <v>0.40639999999999998</v>
      </c>
      <c r="X23" s="60">
        <f t="shared" si="21"/>
        <v>0.21067644661776691</v>
      </c>
      <c r="Y23" s="60">
        <f t="shared" si="21"/>
        <v>0.30879835672714823</v>
      </c>
    </row>
    <row r="24" spans="2:26" x14ac:dyDescent="0.2">
      <c r="B24" s="6" t="s">
        <v>25</v>
      </c>
      <c r="I24" s="22">
        <f>9+12+53+24</f>
        <v>98</v>
      </c>
      <c r="J24" s="22">
        <f>9+11+19</f>
        <v>39</v>
      </c>
      <c r="K24" s="22"/>
      <c r="L24" s="22"/>
      <c r="M24" s="22"/>
      <c r="O24" s="22">
        <f>21.6+30.6</f>
        <v>52.2</v>
      </c>
      <c r="P24" s="22">
        <f>18.7+29.1</f>
        <v>47.8</v>
      </c>
      <c r="Q24" s="22">
        <f>18.6+30.2</f>
        <v>48.8</v>
      </c>
      <c r="R24" s="22">
        <f>18.6+30.2</f>
        <v>48.8</v>
      </c>
      <c r="S24" s="22">
        <f>19+30</f>
        <v>49</v>
      </c>
      <c r="T24" s="22">
        <f>18+27+24+73</f>
        <v>142</v>
      </c>
      <c r="U24" s="22">
        <f>18+23-13+83</f>
        <v>111</v>
      </c>
      <c r="V24" s="22">
        <f>18+23+53+24</f>
        <v>118</v>
      </c>
      <c r="W24" s="22">
        <f>18+23+932+23</f>
        <v>996</v>
      </c>
      <c r="X24" s="22">
        <f>18+25+52</f>
        <v>95</v>
      </c>
      <c r="Y24" s="22">
        <f>18+26-73</f>
        <v>-29</v>
      </c>
    </row>
    <row r="25" spans="2:26" x14ac:dyDescent="0.2">
      <c r="B25" s="8" t="s">
        <v>26</v>
      </c>
      <c r="C25" s="18">
        <v>130</v>
      </c>
      <c r="D25" s="18">
        <v>252</v>
      </c>
      <c r="E25" s="18">
        <v>176</v>
      </c>
      <c r="F25" s="18">
        <v>357</v>
      </c>
      <c r="G25" s="18"/>
      <c r="I25" s="23">
        <f>I22+I24</f>
        <v>165</v>
      </c>
      <c r="J25" s="23">
        <f>J22+J24</f>
        <v>262</v>
      </c>
      <c r="K25" s="18">
        <v>288</v>
      </c>
      <c r="L25" s="38">
        <f t="shared" ref="L25:L34" si="24">X25-K25</f>
        <v>324</v>
      </c>
      <c r="M25" s="18">
        <v>415</v>
      </c>
      <c r="O25" s="22">
        <f>O22+O24</f>
        <v>285</v>
      </c>
      <c r="P25" s="22">
        <f>P22+P24</f>
        <v>321.5</v>
      </c>
      <c r="Q25" s="22">
        <f>Q22+Q24</f>
        <v>278.10000000000002</v>
      </c>
      <c r="R25" s="22">
        <f t="shared" ref="R25" si="25">R22+R24</f>
        <v>431.40000000000003</v>
      </c>
      <c r="S25" s="22">
        <f t="shared" ref="S25:Y25" si="26">S22+S24</f>
        <v>496</v>
      </c>
      <c r="T25" s="22">
        <f t="shared" si="26"/>
        <v>279</v>
      </c>
      <c r="U25" s="22">
        <f t="shared" si="26"/>
        <v>320</v>
      </c>
      <c r="V25" s="22">
        <f t="shared" si="26"/>
        <v>386</v>
      </c>
      <c r="W25" s="22">
        <f t="shared" si="26"/>
        <v>1504</v>
      </c>
      <c r="X25" s="22">
        <f t="shared" si="26"/>
        <v>612</v>
      </c>
      <c r="Y25" s="22">
        <f t="shared" si="26"/>
        <v>873</v>
      </c>
    </row>
    <row r="26" spans="2:26" x14ac:dyDescent="0.2">
      <c r="B26" s="5" t="s">
        <v>27</v>
      </c>
      <c r="C26" s="18"/>
      <c r="D26" s="18"/>
      <c r="E26" s="18"/>
      <c r="F26" s="18"/>
      <c r="G26" s="18"/>
      <c r="I26" s="18">
        <v>4</v>
      </c>
      <c r="J26" s="18">
        <v>9</v>
      </c>
      <c r="K26" s="18">
        <v>12</v>
      </c>
      <c r="L26" s="38">
        <f t="shared" si="24"/>
        <v>28</v>
      </c>
      <c r="M26" s="18">
        <v>38</v>
      </c>
      <c r="O26" s="18">
        <v>-2.4</v>
      </c>
      <c r="P26" s="18">
        <v>1.1000000000000001</v>
      </c>
      <c r="Q26" s="18">
        <v>5.3</v>
      </c>
      <c r="R26" s="18">
        <v>11.4</v>
      </c>
      <c r="S26" s="18">
        <v>30</v>
      </c>
      <c r="T26" s="18">
        <v>35</v>
      </c>
      <c r="U26" s="18">
        <v>44</v>
      </c>
      <c r="V26" s="18">
        <v>9</v>
      </c>
      <c r="W26" s="18">
        <v>27</v>
      </c>
      <c r="X26" s="18">
        <v>40</v>
      </c>
      <c r="Y26" s="18">
        <v>51</v>
      </c>
    </row>
    <row r="27" spans="2:26" x14ac:dyDescent="0.2">
      <c r="B27" s="5" t="s">
        <v>28</v>
      </c>
      <c r="I27" s="18">
        <v>311</v>
      </c>
      <c r="J27" s="18">
        <v>307</v>
      </c>
      <c r="K27" s="18">
        <v>342</v>
      </c>
      <c r="L27" s="38">
        <f t="shared" si="24"/>
        <v>0</v>
      </c>
      <c r="M27" s="18">
        <v>311</v>
      </c>
      <c r="O27" s="18">
        <v>27.6</v>
      </c>
      <c r="P27" s="18">
        <v>55.8</v>
      </c>
      <c r="Q27" s="18">
        <v>137.9</v>
      </c>
      <c r="R27" s="18">
        <v>250.6</v>
      </c>
      <c r="S27" s="18">
        <v>325</v>
      </c>
      <c r="T27" s="18">
        <v>323</v>
      </c>
      <c r="U27" s="18">
        <v>339</v>
      </c>
      <c r="V27" s="18">
        <v>311</v>
      </c>
      <c r="W27" s="18">
        <v>305</v>
      </c>
      <c r="X27" s="18">
        <v>342</v>
      </c>
      <c r="Y27" s="18">
        <v>292</v>
      </c>
    </row>
    <row r="28" spans="2:26" x14ac:dyDescent="0.2">
      <c r="B28" s="7" t="s">
        <v>29</v>
      </c>
      <c r="I28" s="18">
        <v>7793</v>
      </c>
      <c r="J28" s="18">
        <v>7798</v>
      </c>
      <c r="K28" s="18">
        <v>10684</v>
      </c>
      <c r="L28" s="38">
        <f t="shared" si="24"/>
        <v>0</v>
      </c>
      <c r="M28" s="18">
        <v>9846</v>
      </c>
      <c r="O28" s="18">
        <v>4589.5</v>
      </c>
      <c r="P28" s="18">
        <v>5115.6000000000004</v>
      </c>
      <c r="Q28" s="18">
        <v>5434.4</v>
      </c>
      <c r="R28" s="18">
        <v>6034.5</v>
      </c>
      <c r="S28" s="18">
        <v>6687</v>
      </c>
      <c r="T28" s="18">
        <v>6996</v>
      </c>
      <c r="U28" s="18">
        <v>7189</v>
      </c>
      <c r="V28" s="18">
        <v>7793</v>
      </c>
      <c r="W28" s="18">
        <v>8802</v>
      </c>
      <c r="X28" s="18">
        <v>10684</v>
      </c>
      <c r="Y28" s="18">
        <v>10686</v>
      </c>
    </row>
    <row r="29" spans="2:26" x14ac:dyDescent="0.2">
      <c r="B29" s="7" t="s">
        <v>30</v>
      </c>
      <c r="I29" s="18">
        <v>5242</v>
      </c>
      <c r="J29" s="18">
        <v>5177</v>
      </c>
      <c r="K29" s="18">
        <v>7885</v>
      </c>
      <c r="L29" s="38">
        <f t="shared" si="24"/>
        <v>0</v>
      </c>
      <c r="M29" s="18">
        <v>6670</v>
      </c>
      <c r="O29" s="18">
        <v>3429.4</v>
      </c>
      <c r="P29" s="18">
        <v>3758.8</v>
      </c>
      <c r="Q29" s="18">
        <v>3795.6</v>
      </c>
      <c r="R29" s="18">
        <v>4118.2</v>
      </c>
      <c r="S29" s="18">
        <v>4550</v>
      </c>
      <c r="T29" s="18">
        <v>4698</v>
      </c>
      <c r="U29" s="18">
        <v>4729</v>
      </c>
      <c r="V29" s="18">
        <v>5247</v>
      </c>
      <c r="W29" s="18">
        <v>6375</v>
      </c>
      <c r="X29" s="18">
        <v>7885</v>
      </c>
      <c r="Y29" s="18">
        <v>7021</v>
      </c>
    </row>
    <row r="30" spans="2:26" x14ac:dyDescent="0.2">
      <c r="B30" s="5" t="s">
        <v>32</v>
      </c>
      <c r="I30" s="18">
        <v>16</v>
      </c>
      <c r="J30" s="18">
        <v>-5</v>
      </c>
      <c r="K30" s="18">
        <v>19</v>
      </c>
      <c r="L30" s="38">
        <f t="shared" si="24"/>
        <v>15</v>
      </c>
      <c r="M30" s="18">
        <v>-82</v>
      </c>
      <c r="O30" s="18">
        <v>76.400000000000006</v>
      </c>
      <c r="P30" s="18">
        <v>33.700000000000003</v>
      </c>
      <c r="Q30" s="18">
        <v>-35.9</v>
      </c>
      <c r="R30" s="18">
        <v>41.4</v>
      </c>
      <c r="S30" s="18">
        <v>34</v>
      </c>
      <c r="T30" s="18">
        <v>-11</v>
      </c>
      <c r="U30" s="18">
        <v>36</v>
      </c>
      <c r="V30" s="18">
        <v>8</v>
      </c>
      <c r="W30" s="18">
        <v>2</v>
      </c>
      <c r="X30" s="18">
        <v>34</v>
      </c>
      <c r="Y30" s="18">
        <v>-89</v>
      </c>
    </row>
    <row r="31" spans="2:26" x14ac:dyDescent="0.2">
      <c r="B31" s="7" t="s">
        <v>33</v>
      </c>
      <c r="I31" s="18"/>
      <c r="J31" s="18"/>
      <c r="K31" s="18"/>
      <c r="L31" s="38">
        <f t="shared" si="24"/>
        <v>0</v>
      </c>
      <c r="M31" s="18"/>
      <c r="O31" s="18"/>
      <c r="P31" s="18"/>
      <c r="Q31" s="18"/>
      <c r="R31" s="18"/>
      <c r="S31" s="18"/>
      <c r="T31" s="18"/>
      <c r="U31" s="18"/>
      <c r="V31" s="18"/>
      <c r="W31" s="18"/>
      <c r="X31" s="18"/>
      <c r="Y31" s="18"/>
    </row>
    <row r="32" spans="2:26" x14ac:dyDescent="0.2">
      <c r="B32" s="6" t="s">
        <v>34</v>
      </c>
      <c r="I32" s="18">
        <v>27</v>
      </c>
      <c r="J32" s="18">
        <v>28</v>
      </c>
      <c r="K32" s="18">
        <v>36</v>
      </c>
      <c r="L32" s="38">
        <f t="shared" si="24"/>
        <v>-119</v>
      </c>
      <c r="M32" s="18">
        <v>38</v>
      </c>
      <c r="O32" s="18">
        <v>-160.9</v>
      </c>
      <c r="P32" s="18">
        <v>-114.3</v>
      </c>
      <c r="Q32" s="18">
        <v>-68.5</v>
      </c>
      <c r="R32" s="18">
        <v>-71.8</v>
      </c>
      <c r="S32" s="18">
        <v>-78</v>
      </c>
      <c r="T32" s="18">
        <v>-42</v>
      </c>
      <c r="U32" s="18">
        <v>-54</v>
      </c>
      <c r="V32" s="18">
        <v>-58</v>
      </c>
      <c r="W32" s="18">
        <v>-78</v>
      </c>
      <c r="X32" s="18">
        <v>-83</v>
      </c>
      <c r="Y32" s="18">
        <v>-85</v>
      </c>
    </row>
    <row r="33" spans="1:26" x14ac:dyDescent="0.2">
      <c r="B33" s="6" t="s">
        <v>35</v>
      </c>
      <c r="I33" s="18">
        <v>41</v>
      </c>
      <c r="J33" s="18">
        <v>101</v>
      </c>
      <c r="K33" s="18">
        <v>122</v>
      </c>
      <c r="L33" s="38">
        <f t="shared" si="24"/>
        <v>-385</v>
      </c>
      <c r="M33" s="18">
        <v>67</v>
      </c>
      <c r="O33" s="18">
        <v>-102.9</v>
      </c>
      <c r="P33" s="18">
        <v>-112.1</v>
      </c>
      <c r="Q33" s="18">
        <v>-116.4</v>
      </c>
      <c r="R33" s="18">
        <v>-127.5</v>
      </c>
      <c r="S33" s="18">
        <v>-209</v>
      </c>
      <c r="T33" s="18">
        <v>-160</v>
      </c>
      <c r="U33" s="18">
        <v>-148</v>
      </c>
      <c r="V33" s="18">
        <v>-157</v>
      </c>
      <c r="W33" s="18">
        <v>-218</v>
      </c>
      <c r="X33" s="18">
        <v>-263</v>
      </c>
      <c r="Y33" s="18">
        <v>-193</v>
      </c>
    </row>
    <row r="34" spans="1:26" ht="14.25" x14ac:dyDescent="0.35">
      <c r="B34" s="6" t="s">
        <v>36</v>
      </c>
      <c r="I34" s="19">
        <v>24</v>
      </c>
      <c r="J34" s="19">
        <v>21</v>
      </c>
      <c r="K34" s="19">
        <v>47</v>
      </c>
      <c r="L34" s="39">
        <f t="shared" si="24"/>
        <v>-100</v>
      </c>
      <c r="M34" s="19">
        <v>37</v>
      </c>
      <c r="O34" s="19">
        <v>0</v>
      </c>
      <c r="P34" s="19">
        <v>0</v>
      </c>
      <c r="Q34" s="19">
        <v>-45.5</v>
      </c>
      <c r="R34" s="19">
        <v>-59.5</v>
      </c>
      <c r="S34" s="19">
        <v>-16</v>
      </c>
      <c r="T34" s="19">
        <v>-12</v>
      </c>
      <c r="U34" s="19">
        <v>-18</v>
      </c>
      <c r="V34" s="19">
        <v>-26</v>
      </c>
      <c r="W34" s="19">
        <v>-2</v>
      </c>
      <c r="X34" s="19">
        <v>-53</v>
      </c>
      <c r="Y34" s="19">
        <v>-38</v>
      </c>
    </row>
    <row r="35" spans="1:26" x14ac:dyDescent="0.2">
      <c r="B35" s="7" t="s">
        <v>37</v>
      </c>
      <c r="I35" s="23">
        <f>I32+I33+I34</f>
        <v>92</v>
      </c>
      <c r="J35" s="23">
        <f t="shared" ref="J35" si="27">J32+J33+J34</f>
        <v>150</v>
      </c>
      <c r="K35" s="23">
        <f>K32+K33+K34</f>
        <v>205</v>
      </c>
      <c r="L35" s="38">
        <f>L32+L33+L34</f>
        <v>-604</v>
      </c>
      <c r="M35" s="23">
        <f>M32+M33+M34</f>
        <v>142</v>
      </c>
      <c r="O35" s="23">
        <f t="shared" ref="O35:T35" si="28">O32+O33+O34</f>
        <v>-263.8</v>
      </c>
      <c r="P35" s="23">
        <f t="shared" si="28"/>
        <v>-226.39999999999998</v>
      </c>
      <c r="Q35" s="23">
        <f t="shared" si="28"/>
        <v>-230.4</v>
      </c>
      <c r="R35" s="23">
        <f t="shared" si="28"/>
        <v>-258.8</v>
      </c>
      <c r="S35" s="23">
        <f t="shared" si="28"/>
        <v>-303</v>
      </c>
      <c r="T35" s="23">
        <f t="shared" si="28"/>
        <v>-214</v>
      </c>
      <c r="U35" s="23">
        <f t="shared" ref="U35" si="29">U32+U33+U34</f>
        <v>-220</v>
      </c>
      <c r="V35" s="23">
        <f>V32+V33+V34</f>
        <v>-241</v>
      </c>
      <c r="W35" s="23">
        <f>W32+W33+W34</f>
        <v>-298</v>
      </c>
      <c r="X35" s="23">
        <f>X32+X33+X34</f>
        <v>-399</v>
      </c>
      <c r="Y35" s="23">
        <f>Y32+Y33+Y34</f>
        <v>-316</v>
      </c>
    </row>
    <row r="36" spans="1:26" x14ac:dyDescent="0.2">
      <c r="B36" s="9" t="s">
        <v>38</v>
      </c>
      <c r="I36" s="21">
        <f>I35/I$8</f>
        <v>0.11372064276885044</v>
      </c>
      <c r="J36" s="21">
        <f t="shared" ref="J36" si="30">J35/J$8</f>
        <v>0.14137606032045241</v>
      </c>
      <c r="K36" s="21">
        <f>K35/K$8</f>
        <v>0.18061674008810572</v>
      </c>
      <c r="L36" s="40">
        <f>L35/L$8</f>
        <v>-0.45792266868840031</v>
      </c>
      <c r="M36" s="21">
        <f>M35/M$8</f>
        <v>9.6730245231607628E-2</v>
      </c>
      <c r="O36" s="21">
        <f t="shared" ref="O36:Y36" si="31">-O35/O$8</f>
        <v>9.1056573815194511E-2</v>
      </c>
      <c r="P36" s="21">
        <f t="shared" si="31"/>
        <v>7.7929230345587214E-2</v>
      </c>
      <c r="Q36" s="21">
        <f t="shared" si="31"/>
        <v>0.13281069863961262</v>
      </c>
      <c r="R36" s="21">
        <f t="shared" si="31"/>
        <v>0.12724322729731058</v>
      </c>
      <c r="S36" s="21">
        <f t="shared" si="31"/>
        <v>0.15180360721442887</v>
      </c>
      <c r="T36" s="21">
        <f t="shared" si="31"/>
        <v>0.13941368078175895</v>
      </c>
      <c r="U36" s="21">
        <f t="shared" si="31"/>
        <v>0.1421188630490956</v>
      </c>
      <c r="V36" s="21">
        <f t="shared" si="31"/>
        <v>0.1316220644456581</v>
      </c>
      <c r="W36" s="21">
        <f t="shared" si="31"/>
        <v>0.2384</v>
      </c>
      <c r="X36" s="21">
        <f t="shared" si="31"/>
        <v>0.16259168704156479</v>
      </c>
      <c r="Y36" s="21">
        <f t="shared" si="31"/>
        <v>0.10818212940773708</v>
      </c>
    </row>
    <row r="37" spans="1:26" x14ac:dyDescent="0.2">
      <c r="B37" s="12" t="s">
        <v>141</v>
      </c>
      <c r="C37" s="12"/>
      <c r="D37" s="12"/>
      <c r="E37" s="12"/>
      <c r="F37" s="12"/>
      <c r="G37" s="12"/>
      <c r="H37" s="12"/>
      <c r="I37" s="12"/>
      <c r="J37" s="12"/>
      <c r="K37" s="12"/>
      <c r="L37" s="12"/>
      <c r="M37" s="12"/>
      <c r="N37" s="12"/>
      <c r="O37" s="12"/>
      <c r="P37" s="12"/>
      <c r="Q37" s="12"/>
      <c r="R37" s="12"/>
      <c r="S37" s="12"/>
      <c r="T37" s="12"/>
      <c r="U37" s="12"/>
      <c r="V37" s="12"/>
      <c r="W37" s="12"/>
      <c r="X37" s="12"/>
      <c r="Y37" s="12"/>
    </row>
    <row r="38" spans="1:26" x14ac:dyDescent="0.2">
      <c r="B38" s="6" t="s">
        <v>12</v>
      </c>
      <c r="C38" s="18">
        <v>1141</v>
      </c>
      <c r="D38" s="18">
        <v>1163</v>
      </c>
      <c r="E38" s="18">
        <v>1521</v>
      </c>
      <c r="F38" s="38">
        <f>M38-E38</f>
        <v>1234</v>
      </c>
      <c r="G38" s="18">
        <v>1640</v>
      </c>
      <c r="I38" s="18">
        <v>1711</v>
      </c>
      <c r="J38" s="18">
        <v>2081</v>
      </c>
      <c r="K38" s="18">
        <v>2214</v>
      </c>
      <c r="L38" s="38">
        <f>X38-K38</f>
        <v>2649</v>
      </c>
      <c r="M38" s="18">
        <v>2755</v>
      </c>
      <c r="O38" s="18">
        <v>1580.6</v>
      </c>
      <c r="P38" s="18">
        <v>1914.4</v>
      </c>
      <c r="Q38" s="18">
        <v>2285.3000000000002</v>
      </c>
      <c r="R38" s="18">
        <v>2799.8</v>
      </c>
      <c r="S38" s="18">
        <v>2711</v>
      </c>
      <c r="T38" s="18">
        <v>2522</v>
      </c>
      <c r="U38" s="18">
        <v>2741</v>
      </c>
      <c r="V38" s="18">
        <v>3616</v>
      </c>
      <c r="W38" s="18">
        <v>4141</v>
      </c>
      <c r="X38" s="18">
        <v>4863</v>
      </c>
      <c r="Y38" s="18">
        <v>5783</v>
      </c>
    </row>
    <row r="39" spans="1:26" ht="14.25" x14ac:dyDescent="0.35">
      <c r="B39" s="6" t="s">
        <v>9</v>
      </c>
      <c r="C39" s="19">
        <v>0</v>
      </c>
      <c r="D39" s="19">
        <v>0</v>
      </c>
      <c r="E39" s="19">
        <v>0</v>
      </c>
      <c r="F39" s="39">
        <f>M39-E39</f>
        <v>45</v>
      </c>
      <c r="G39" s="39"/>
      <c r="I39" s="19">
        <v>0</v>
      </c>
      <c r="J39" s="19">
        <v>0</v>
      </c>
      <c r="K39" s="19">
        <v>90</v>
      </c>
      <c r="L39" s="39">
        <f>X39-K39</f>
        <v>113</v>
      </c>
      <c r="M39" s="19">
        <v>45</v>
      </c>
      <c r="O39" s="19">
        <v>0</v>
      </c>
      <c r="P39" s="19">
        <v>0</v>
      </c>
      <c r="Q39" s="19">
        <v>0</v>
      </c>
      <c r="R39" s="19">
        <v>0</v>
      </c>
      <c r="S39" s="19">
        <v>0</v>
      </c>
      <c r="T39" s="19">
        <v>0</v>
      </c>
      <c r="U39" s="19">
        <v>0</v>
      </c>
      <c r="V39" s="19">
        <v>0</v>
      </c>
      <c r="W39" s="19">
        <v>83</v>
      </c>
      <c r="X39" s="19">
        <v>203</v>
      </c>
      <c r="Y39" s="19">
        <v>177</v>
      </c>
    </row>
    <row r="40" spans="1:26" s="7" customFormat="1" x14ac:dyDescent="0.2">
      <c r="A40" s="7" t="s">
        <v>39</v>
      </c>
      <c r="B40" s="7" t="s">
        <v>13</v>
      </c>
      <c r="C40" s="20">
        <f>SUM(C37:C39)</f>
        <v>1141</v>
      </c>
      <c r="D40" s="20">
        <f t="shared" ref="D40:G40" si="32">SUM(D37:D39)</f>
        <v>1163</v>
      </c>
      <c r="E40" s="20">
        <f>SUM(E37:E39)</f>
        <v>1521</v>
      </c>
      <c r="F40" s="20">
        <f t="shared" si="32"/>
        <v>1279</v>
      </c>
      <c r="G40" s="20">
        <f t="shared" si="32"/>
        <v>1640</v>
      </c>
      <c r="I40" s="20">
        <f>I38+I39</f>
        <v>1711</v>
      </c>
      <c r="J40" s="20">
        <f t="shared" ref="J40" si="33">J38+J39</f>
        <v>2081</v>
      </c>
      <c r="K40" s="20">
        <f>K38+K39</f>
        <v>2304</v>
      </c>
      <c r="L40" s="20">
        <f>L38+L39</f>
        <v>2762</v>
      </c>
      <c r="M40" s="20">
        <f>M38+M39</f>
        <v>2800</v>
      </c>
      <c r="O40" s="20">
        <f t="shared" ref="O40:T40" si="34">O38+O39</f>
        <v>1580.6</v>
      </c>
      <c r="P40" s="20">
        <f t="shared" si="34"/>
        <v>1914.4</v>
      </c>
      <c r="Q40" s="20">
        <f t="shared" si="34"/>
        <v>2285.3000000000002</v>
      </c>
      <c r="R40" s="20">
        <f t="shared" si="34"/>
        <v>2799.8</v>
      </c>
      <c r="S40" s="20">
        <f t="shared" si="34"/>
        <v>2711</v>
      </c>
      <c r="T40" s="20">
        <f t="shared" si="34"/>
        <v>2522</v>
      </c>
      <c r="U40" s="20">
        <f t="shared" ref="U40" si="35">U38+U39</f>
        <v>2741</v>
      </c>
      <c r="V40" s="20">
        <f>V38+V39</f>
        <v>3616</v>
      </c>
      <c r="W40" s="20">
        <f>W38+W39</f>
        <v>4224</v>
      </c>
      <c r="X40" s="20">
        <f>X38+X39</f>
        <v>5066</v>
      </c>
      <c r="Y40" s="20">
        <f>Y38+Y39</f>
        <v>5960</v>
      </c>
      <c r="Z40" s="59">
        <f>(X40/O40)^(1/(2024-2015))-1</f>
        <v>0.13816388486840148</v>
      </c>
    </row>
    <row r="41" spans="1:26" s="7" customFormat="1" x14ac:dyDescent="0.2">
      <c r="B41" s="6" t="s">
        <v>310</v>
      </c>
      <c r="C41" s="20"/>
      <c r="D41" s="20"/>
      <c r="E41" s="20"/>
      <c r="F41" s="20"/>
      <c r="G41" s="20"/>
      <c r="I41" s="20"/>
      <c r="J41" s="20"/>
      <c r="K41" s="20"/>
      <c r="L41" s="20"/>
      <c r="M41" s="20"/>
      <c r="O41" s="20"/>
      <c r="P41" s="59">
        <f>P40/O40-1</f>
        <v>0.21118562571175525</v>
      </c>
      <c r="Q41" s="59">
        <f t="shared" ref="Q41" si="36">Q40/P40-1</f>
        <v>0.19374216464688687</v>
      </c>
      <c r="R41" s="59">
        <f t="shared" ref="R41" si="37">R40/Q40-1</f>
        <v>0.22513455563820939</v>
      </c>
      <c r="S41" s="59">
        <f t="shared" ref="S41" si="38">S40/R40-1</f>
        <v>-3.1716551182227382E-2</v>
      </c>
      <c r="T41" s="59">
        <f t="shared" ref="T41" si="39">T40/S40-1</f>
        <v>-6.9715971966064161E-2</v>
      </c>
      <c r="U41" s="59">
        <f t="shared" ref="U41" si="40">U40/T40-1</f>
        <v>8.6835844567803244E-2</v>
      </c>
      <c r="V41" s="59">
        <f t="shared" ref="V41" si="41">V40/U40-1</f>
        <v>0.31922655964976276</v>
      </c>
      <c r="W41" s="59">
        <f t="shared" ref="W41" si="42">W40/V40-1</f>
        <v>0.16814159292035402</v>
      </c>
      <c r="X41" s="59">
        <f t="shared" ref="X41" si="43">X40/W40-1</f>
        <v>0.1993371212121211</v>
      </c>
      <c r="Y41" s="59">
        <f t="shared" ref="Y41" si="44">Y40/X40-1</f>
        <v>0.17647058823529416</v>
      </c>
      <c r="Z41" s="59"/>
    </row>
    <row r="42" spans="1:26" x14ac:dyDescent="0.2">
      <c r="B42" s="8" t="s">
        <v>17</v>
      </c>
      <c r="I42" s="18">
        <v>1711</v>
      </c>
      <c r="J42" s="18">
        <v>2081</v>
      </c>
      <c r="K42" s="18">
        <v>2304</v>
      </c>
      <c r="L42" s="38">
        <f>X42-K42</f>
        <v>2762</v>
      </c>
      <c r="M42" s="18">
        <v>2799</v>
      </c>
      <c r="O42" s="18">
        <v>1580.6</v>
      </c>
      <c r="P42" s="18">
        <v>1914.4</v>
      </c>
      <c r="Q42" s="18">
        <v>2285.3000000000002</v>
      </c>
      <c r="R42" s="18">
        <v>2799.8</v>
      </c>
      <c r="S42" s="18">
        <v>2711</v>
      </c>
      <c r="T42" s="18">
        <v>2522</v>
      </c>
      <c r="U42" s="18">
        <v>2741</v>
      </c>
      <c r="V42" s="18">
        <v>3616</v>
      </c>
      <c r="W42" s="18">
        <v>4225</v>
      </c>
      <c r="X42" s="18">
        <v>5066</v>
      </c>
      <c r="Y42" s="18">
        <v>5960</v>
      </c>
    </row>
    <row r="43" spans="1:26" x14ac:dyDescent="0.2">
      <c r="B43" s="8" t="s">
        <v>18</v>
      </c>
      <c r="I43" s="18">
        <v>169</v>
      </c>
      <c r="J43" s="18">
        <v>171</v>
      </c>
      <c r="K43" s="18">
        <v>209</v>
      </c>
      <c r="L43" s="38">
        <f>X43-K43</f>
        <v>276</v>
      </c>
      <c r="M43" s="18">
        <v>257</v>
      </c>
      <c r="O43" s="18">
        <v>201.1</v>
      </c>
      <c r="P43" s="18">
        <v>234.8</v>
      </c>
      <c r="Q43" s="18">
        <v>239.8</v>
      </c>
      <c r="R43" s="18">
        <v>301.3</v>
      </c>
      <c r="S43" s="18">
        <v>315</v>
      </c>
      <c r="T43" s="18">
        <v>205</v>
      </c>
      <c r="U43" s="18">
        <v>237</v>
      </c>
      <c r="V43" s="18">
        <v>357</v>
      </c>
      <c r="W43" s="18">
        <v>383</v>
      </c>
      <c r="X43" s="18">
        <v>485</v>
      </c>
      <c r="Y43" s="5">
        <v>1164</v>
      </c>
      <c r="Z43" s="59">
        <f>(X43/O43)^(1/(2024-2015))-1</f>
        <v>0.10276017648526659</v>
      </c>
    </row>
    <row r="44" spans="1:26" x14ac:dyDescent="0.2">
      <c r="B44" s="9" t="s">
        <v>31</v>
      </c>
      <c r="I44" s="21">
        <f>I43/I$8</f>
        <v>0.2088998763906057</v>
      </c>
      <c r="J44" s="21">
        <f t="shared" ref="J44" si="45">J43/J$8</f>
        <v>0.16116870876531575</v>
      </c>
      <c r="K44" s="21">
        <f>K43/K$8</f>
        <v>0.1841409691629956</v>
      </c>
      <c r="L44" s="40">
        <f>L43/L$8</f>
        <v>0.2092494313874147</v>
      </c>
      <c r="M44" s="21">
        <f>M43/M$8</f>
        <v>0.17506811989100818</v>
      </c>
      <c r="O44" s="21">
        <f t="shared" ref="O44:Y44" si="46">O43/O$8</f>
        <v>6.9414241828034934E-2</v>
      </c>
      <c r="P44" s="21">
        <f t="shared" si="46"/>
        <v>8.0820597549222092E-2</v>
      </c>
      <c r="Q44" s="21">
        <f t="shared" si="46"/>
        <v>0.13822919068480516</v>
      </c>
      <c r="R44" s="21">
        <f t="shared" si="46"/>
        <v>0.14813904321746399</v>
      </c>
      <c r="S44" s="21">
        <f t="shared" si="46"/>
        <v>0.15781563126252504</v>
      </c>
      <c r="T44" s="21">
        <f t="shared" si="46"/>
        <v>0.13355048859934854</v>
      </c>
      <c r="U44" s="21">
        <f t="shared" si="46"/>
        <v>0.15310077519379844</v>
      </c>
      <c r="V44" s="21">
        <f t="shared" si="46"/>
        <v>0.19497542326597489</v>
      </c>
      <c r="W44" s="21">
        <f t="shared" si="46"/>
        <v>0.30640000000000001</v>
      </c>
      <c r="X44" s="21">
        <f t="shared" si="46"/>
        <v>0.19763651181744091</v>
      </c>
      <c r="Y44" s="21">
        <f t="shared" si="46"/>
        <v>0.39849366655255047</v>
      </c>
      <c r="Z44" s="59">
        <f>(X44/O44)^(1/(2024-2015))-1</f>
        <v>0.12328757506525823</v>
      </c>
    </row>
    <row r="45" spans="1:26" x14ac:dyDescent="0.2">
      <c r="B45" s="6" t="s">
        <v>19</v>
      </c>
      <c r="I45" s="18">
        <v>-3</v>
      </c>
      <c r="J45" s="18">
        <v>-4</v>
      </c>
      <c r="K45" s="18">
        <v>4</v>
      </c>
      <c r="L45" s="38">
        <f>X45-K45</f>
        <v>5</v>
      </c>
      <c r="M45" s="18">
        <v>5</v>
      </c>
      <c r="O45" s="18">
        <v>-10.1</v>
      </c>
      <c r="P45" s="18">
        <v>-10.6</v>
      </c>
      <c r="Q45" s="18">
        <v>-10.4</v>
      </c>
      <c r="R45" s="18">
        <v>-6.7</v>
      </c>
      <c r="S45" s="18">
        <v>-7</v>
      </c>
      <c r="T45" s="18">
        <v>-7</v>
      </c>
      <c r="U45" s="18">
        <v>-7</v>
      </c>
      <c r="V45" s="18">
        <v>-9</v>
      </c>
      <c r="W45" s="18">
        <v>8</v>
      </c>
      <c r="X45" s="18">
        <v>9</v>
      </c>
      <c r="Y45" s="18">
        <v>9</v>
      </c>
    </row>
    <row r="46" spans="1:26" x14ac:dyDescent="0.2">
      <c r="B46" s="6" t="s">
        <v>20</v>
      </c>
      <c r="C46" s="18">
        <v>32</v>
      </c>
      <c r="D46" s="38">
        <f>K46-C46</f>
        <v>27</v>
      </c>
      <c r="E46" s="18">
        <v>45</v>
      </c>
      <c r="F46" s="38">
        <f>M46-E46</f>
        <v>34</v>
      </c>
      <c r="G46" s="38"/>
      <c r="I46" s="18">
        <v>-37</v>
      </c>
      <c r="J46" s="18">
        <v>-45</v>
      </c>
      <c r="K46" s="18">
        <v>59</v>
      </c>
      <c r="L46" s="38">
        <f>X46-K46</f>
        <v>73</v>
      </c>
      <c r="M46" s="18">
        <v>79</v>
      </c>
      <c r="O46" s="18">
        <v>-23.3</v>
      </c>
      <c r="P46" s="18">
        <v>-25.2</v>
      </c>
      <c r="Q46" s="18">
        <v>0</v>
      </c>
      <c r="R46" s="18">
        <v>0</v>
      </c>
      <c r="S46" s="18">
        <v>0</v>
      </c>
      <c r="T46" s="18">
        <v>0</v>
      </c>
      <c r="U46" s="18">
        <v>0</v>
      </c>
      <c r="V46" s="18">
        <v>0</v>
      </c>
      <c r="W46" s="18">
        <v>102</v>
      </c>
      <c r="X46" s="18">
        <v>132</v>
      </c>
      <c r="Y46" s="18">
        <v>164</v>
      </c>
    </row>
    <row r="47" spans="1:26" x14ac:dyDescent="0.2">
      <c r="B47" s="6" t="s">
        <v>21</v>
      </c>
      <c r="I47" s="18">
        <v>0</v>
      </c>
      <c r="J47" s="18">
        <v>0</v>
      </c>
      <c r="K47" s="18"/>
      <c r="L47" s="38">
        <f>X47-K47</f>
        <v>0</v>
      </c>
      <c r="M47" s="18"/>
      <c r="O47" s="18">
        <v>0</v>
      </c>
      <c r="P47" s="18">
        <v>0</v>
      </c>
      <c r="Q47" s="18">
        <v>-27</v>
      </c>
      <c r="R47" s="18">
        <v>-25.9</v>
      </c>
      <c r="S47" s="18">
        <v>-66</v>
      </c>
      <c r="T47" s="18">
        <v>-73</v>
      </c>
      <c r="U47" s="18">
        <v>-66</v>
      </c>
      <c r="V47" s="18">
        <v>-77</v>
      </c>
      <c r="W47" s="18">
        <v>0</v>
      </c>
      <c r="X47" s="18">
        <v>0</v>
      </c>
      <c r="Y47" s="18"/>
    </row>
    <row r="48" spans="1:26" ht="14.25" x14ac:dyDescent="0.35">
      <c r="B48" s="6" t="s">
        <v>22</v>
      </c>
      <c r="I48" s="19">
        <v>0</v>
      </c>
      <c r="J48" s="19">
        <v>-2</v>
      </c>
      <c r="K48" s="19">
        <v>1</v>
      </c>
      <c r="L48" s="39">
        <f>X48-K48</f>
        <v>0</v>
      </c>
      <c r="M48" s="19">
        <v>3</v>
      </c>
      <c r="O48" s="19">
        <v>-0.4</v>
      </c>
      <c r="P48" s="19">
        <v>-0.1</v>
      </c>
      <c r="Q48" s="19">
        <v>0</v>
      </c>
      <c r="R48" s="19">
        <v>-5.9</v>
      </c>
      <c r="S48" s="19">
        <v>-5</v>
      </c>
      <c r="T48" s="19">
        <v>-6</v>
      </c>
      <c r="U48" s="19">
        <v>0</v>
      </c>
      <c r="V48" s="19">
        <v>-1</v>
      </c>
      <c r="W48" s="19">
        <v>6</v>
      </c>
      <c r="X48" s="19">
        <v>1</v>
      </c>
      <c r="Y48" s="19">
        <v>3</v>
      </c>
    </row>
    <row r="49" spans="2:27" x14ac:dyDescent="0.2">
      <c r="B49" s="8" t="s">
        <v>23</v>
      </c>
      <c r="I49" s="22">
        <f>I48+I47+I46+I45</f>
        <v>-40</v>
      </c>
      <c r="J49" s="22">
        <f t="shared" ref="J49" si="47">J48+J47+J46+J45</f>
        <v>-51</v>
      </c>
      <c r="K49" s="22">
        <f>K48+K47+K46+K45</f>
        <v>64</v>
      </c>
      <c r="L49" s="22">
        <f>L48+L47+L46+L45</f>
        <v>78</v>
      </c>
      <c r="M49" s="22">
        <f>M48+M47+M46+M45</f>
        <v>87</v>
      </c>
      <c r="O49" s="22">
        <f t="shared" ref="O49:T49" si="48">O48+O47+O46+O45</f>
        <v>-33.799999999999997</v>
      </c>
      <c r="P49" s="22">
        <f t="shared" si="48"/>
        <v>-35.9</v>
      </c>
      <c r="Q49" s="22">
        <f t="shared" si="48"/>
        <v>-37.4</v>
      </c>
      <c r="R49" s="22">
        <f t="shared" si="48"/>
        <v>-38.5</v>
      </c>
      <c r="S49" s="22">
        <f t="shared" si="48"/>
        <v>-78</v>
      </c>
      <c r="T49" s="22">
        <f t="shared" si="48"/>
        <v>-86</v>
      </c>
      <c r="U49" s="22">
        <f t="shared" ref="U49" si="49">U48+U47+U46+U45</f>
        <v>-73</v>
      </c>
      <c r="V49" s="22">
        <f>V48+V47+V46+V45</f>
        <v>-87</v>
      </c>
      <c r="W49" s="22">
        <f>W48+W47+W46+W45</f>
        <v>116</v>
      </c>
      <c r="X49" s="22">
        <f>X48+X47+X46+X45</f>
        <v>142</v>
      </c>
      <c r="Y49" s="22">
        <f>Y48+Y47+Y46+Y45</f>
        <v>176</v>
      </c>
    </row>
    <row r="50" spans="2:27" x14ac:dyDescent="0.2">
      <c r="B50" s="62" t="s">
        <v>333</v>
      </c>
      <c r="C50" s="63"/>
      <c r="D50" s="63"/>
      <c r="E50" s="63"/>
      <c r="F50" s="63"/>
      <c r="G50" s="63"/>
      <c r="H50" s="63"/>
      <c r="I50" s="64"/>
      <c r="J50" s="64"/>
      <c r="K50" s="64"/>
      <c r="L50" s="64"/>
      <c r="M50" s="64"/>
      <c r="N50" s="63"/>
      <c r="O50" s="64"/>
      <c r="P50" s="64"/>
      <c r="Q50" s="64">
        <f t="shared" ref="Q50:Y50" si="50">Q52-Q49</f>
        <v>229.3</v>
      </c>
      <c r="R50" s="64">
        <f t="shared" si="50"/>
        <v>275.8</v>
      </c>
      <c r="S50" s="64">
        <f t="shared" si="50"/>
        <v>337</v>
      </c>
      <c r="T50" s="64">
        <f t="shared" si="50"/>
        <v>211</v>
      </c>
      <c r="U50" s="64">
        <f t="shared" si="50"/>
        <v>219</v>
      </c>
      <c r="V50" s="64">
        <f t="shared" si="50"/>
        <v>326</v>
      </c>
      <c r="W50" s="64">
        <f t="shared" si="50"/>
        <v>230</v>
      </c>
      <c r="X50" s="64">
        <f t="shared" si="50"/>
        <v>296</v>
      </c>
      <c r="Y50" s="64">
        <f t="shared" si="50"/>
        <v>301</v>
      </c>
      <c r="Z50" s="59">
        <f>(Y50/U50)^(1/(2024-2015))-1</f>
        <v>3.5969408568448769E-2</v>
      </c>
      <c r="AA50" s="5" t="s">
        <v>347</v>
      </c>
    </row>
    <row r="51" spans="2:27" x14ac:dyDescent="0.2">
      <c r="B51" s="65" t="s">
        <v>31</v>
      </c>
      <c r="C51" s="66"/>
      <c r="D51" s="66"/>
      <c r="E51" s="66"/>
      <c r="F51" s="66"/>
      <c r="G51" s="66"/>
      <c r="H51" s="66"/>
      <c r="I51" s="67"/>
      <c r="J51" s="67"/>
      <c r="K51" s="67"/>
      <c r="L51" s="67"/>
      <c r="M51" s="67"/>
      <c r="N51" s="66"/>
      <c r="O51" s="67"/>
      <c r="P51" s="67"/>
      <c r="Q51" s="68">
        <f>Q50/Q$40</f>
        <v>0.10033693606966262</v>
      </c>
      <c r="R51" s="68">
        <f t="shared" ref="R51:Y51" si="51">R50/R$40</f>
        <v>9.8507036216872637E-2</v>
      </c>
      <c r="S51" s="68">
        <f t="shared" si="51"/>
        <v>0.12430837329398746</v>
      </c>
      <c r="T51" s="68">
        <f t="shared" si="51"/>
        <v>8.3663758921490874E-2</v>
      </c>
      <c r="U51" s="68">
        <f t="shared" si="51"/>
        <v>7.989784750091207E-2</v>
      </c>
      <c r="V51" s="68">
        <f t="shared" si="51"/>
        <v>9.0154867256637169E-2</v>
      </c>
      <c r="W51" s="68">
        <f t="shared" si="51"/>
        <v>5.4450757575757576E-2</v>
      </c>
      <c r="X51" s="68">
        <f t="shared" si="51"/>
        <v>5.8428740623766288E-2</v>
      </c>
      <c r="Y51" s="68">
        <f t="shared" si="51"/>
        <v>5.0503355704697987E-2</v>
      </c>
      <c r="Z51" s="78">
        <f>AVERAGE(U51:Y51)</f>
        <v>6.6687113732354225E-2</v>
      </c>
    </row>
    <row r="52" spans="2:27" x14ac:dyDescent="0.2">
      <c r="B52" s="7" t="s">
        <v>24</v>
      </c>
      <c r="C52" s="18">
        <v>88</v>
      </c>
      <c r="D52" s="38">
        <f>K49-C52</f>
        <v>-24</v>
      </c>
      <c r="E52" s="18">
        <v>125</v>
      </c>
      <c r="F52" s="38">
        <f>M49-E52</f>
        <v>-38</v>
      </c>
      <c r="G52" s="38">
        <v>132</v>
      </c>
      <c r="I52" s="18">
        <v>116</v>
      </c>
      <c r="J52" s="18">
        <v>159</v>
      </c>
      <c r="K52" s="18">
        <v>183</v>
      </c>
      <c r="L52" s="38">
        <f>X52-K52</f>
        <v>255</v>
      </c>
      <c r="M52" s="18">
        <v>241</v>
      </c>
      <c r="O52" s="18">
        <v>152.69999999999999</v>
      </c>
      <c r="P52" s="18">
        <v>179.1</v>
      </c>
      <c r="Q52" s="18">
        <v>191.9</v>
      </c>
      <c r="R52" s="18">
        <v>237.3</v>
      </c>
      <c r="S52" s="18">
        <v>259</v>
      </c>
      <c r="T52" s="18">
        <v>125</v>
      </c>
      <c r="U52" s="18">
        <v>146</v>
      </c>
      <c r="V52" s="18">
        <v>239</v>
      </c>
      <c r="W52" s="18">
        <v>346</v>
      </c>
      <c r="X52" s="18">
        <v>438</v>
      </c>
      <c r="Y52" s="18">
        <v>477</v>
      </c>
    </row>
    <row r="53" spans="2:27" x14ac:dyDescent="0.2">
      <c r="B53" s="9" t="s">
        <v>31</v>
      </c>
      <c r="C53" s="21">
        <f>C52/C$8</f>
        <v>0.15798922800718132</v>
      </c>
      <c r="D53" s="21">
        <f>D52/D$8</f>
        <v>-3.8834951456310676E-2</v>
      </c>
      <c r="E53" s="21">
        <f>E52/E$8</f>
        <v>0.20161290322580644</v>
      </c>
      <c r="F53" s="21">
        <f>F52/F$8</f>
        <v>-4.4811320754716978E-2</v>
      </c>
      <c r="G53" s="21">
        <f>G52/G$8</f>
        <v>0.21256038647342995</v>
      </c>
      <c r="I53" s="21">
        <f>I52/I$8</f>
        <v>0.14338689740420271</v>
      </c>
      <c r="J53" s="21">
        <f t="shared" ref="J53" si="52">J52/J$8</f>
        <v>0.14985862393967955</v>
      </c>
      <c r="K53" s="21">
        <f>K52/K$8</f>
        <v>0.16123348017621145</v>
      </c>
      <c r="L53" s="40">
        <f>L52/L$8</f>
        <v>0.19332827899924185</v>
      </c>
      <c r="M53" s="21">
        <f>M52/M$8</f>
        <v>0.16416893732970028</v>
      </c>
      <c r="O53" s="21">
        <f t="shared" ref="O53" si="53">O52/O$8</f>
        <v>5.2707880294087191E-2</v>
      </c>
      <c r="P53" s="31">
        <f>P52/P$40</f>
        <v>9.3554116172168814E-2</v>
      </c>
      <c r="Q53" s="31">
        <f t="shared" ref="Q53:Y53" si="54">Q52/Q$40</f>
        <v>8.3971469828906492E-2</v>
      </c>
      <c r="R53" s="31">
        <f t="shared" si="54"/>
        <v>8.4756054003857412E-2</v>
      </c>
      <c r="S53" s="31">
        <f t="shared" si="54"/>
        <v>9.5536702323865727E-2</v>
      </c>
      <c r="T53" s="31">
        <f t="shared" si="54"/>
        <v>4.9563838223632035E-2</v>
      </c>
      <c r="U53" s="31">
        <f t="shared" si="54"/>
        <v>5.3265231667274718E-2</v>
      </c>
      <c r="V53" s="31">
        <f t="shared" si="54"/>
        <v>6.6095132743362831E-2</v>
      </c>
      <c r="W53" s="31">
        <f t="shared" si="54"/>
        <v>8.1912878787878785E-2</v>
      </c>
      <c r="X53" s="31">
        <f t="shared" si="54"/>
        <v>8.6458744571654159E-2</v>
      </c>
      <c r="Y53" s="31">
        <f t="shared" si="54"/>
        <v>8.003355704697987E-2</v>
      </c>
    </row>
    <row r="54" spans="2:27" x14ac:dyDescent="0.2">
      <c r="B54" s="6" t="s">
        <v>25</v>
      </c>
      <c r="C54" s="18">
        <v>-130</v>
      </c>
      <c r="D54" s="38">
        <f>K54-C54</f>
        <v>130</v>
      </c>
      <c r="E54" s="18">
        <v>-176</v>
      </c>
      <c r="F54" s="18"/>
      <c r="G54" s="18"/>
      <c r="I54" s="22">
        <f>1+8</f>
        <v>9</v>
      </c>
      <c r="J54" s="22">
        <f>0-21+3</f>
        <v>-18</v>
      </c>
      <c r="K54" s="22"/>
      <c r="L54" s="38">
        <f t="shared" ref="L54:L64" si="55">X54-K54</f>
        <v>0</v>
      </c>
      <c r="M54" s="22"/>
      <c r="O54" s="22">
        <v>2.5</v>
      </c>
      <c r="P54" s="22">
        <v>2.4</v>
      </c>
      <c r="Q54" s="56">
        <v>2.5</v>
      </c>
      <c r="R54" s="56">
        <v>2.4</v>
      </c>
      <c r="S54" s="56">
        <v>2</v>
      </c>
      <c r="T54" s="22">
        <f>2+9</f>
        <v>11</v>
      </c>
      <c r="U54" s="22">
        <f>2</f>
        <v>2</v>
      </c>
      <c r="V54" s="22">
        <f>2+27</f>
        <v>29</v>
      </c>
      <c r="W54" s="22">
        <f>-21+3</f>
        <v>-18</v>
      </c>
      <c r="X54" s="22">
        <v>0</v>
      </c>
      <c r="Y54" s="22">
        <v>0</v>
      </c>
    </row>
    <row r="55" spans="2:27" x14ac:dyDescent="0.2">
      <c r="B55" s="8" t="s">
        <v>26</v>
      </c>
      <c r="I55" s="22">
        <f>I52+I54</f>
        <v>125</v>
      </c>
      <c r="J55" s="22">
        <f t="shared" ref="J55" si="56">J52+J54</f>
        <v>141</v>
      </c>
      <c r="K55" s="22">
        <f>K52+K54</f>
        <v>183</v>
      </c>
      <c r="L55" s="38">
        <f t="shared" si="55"/>
        <v>255</v>
      </c>
      <c r="M55" s="22">
        <f>M52+M54</f>
        <v>241</v>
      </c>
      <c r="O55" s="22">
        <f t="shared" ref="O55:T55" si="57">O52+O54</f>
        <v>155.19999999999999</v>
      </c>
      <c r="P55" s="22">
        <f t="shared" si="57"/>
        <v>181.5</v>
      </c>
      <c r="Q55" s="22">
        <f t="shared" si="57"/>
        <v>194.4</v>
      </c>
      <c r="R55" s="22">
        <f t="shared" si="57"/>
        <v>239.70000000000002</v>
      </c>
      <c r="S55" s="22">
        <f t="shared" si="57"/>
        <v>261</v>
      </c>
      <c r="T55" s="22">
        <f t="shared" si="57"/>
        <v>136</v>
      </c>
      <c r="U55" s="22">
        <f t="shared" ref="U55" si="58">U52+U54</f>
        <v>148</v>
      </c>
      <c r="V55" s="22">
        <f>V52+V54</f>
        <v>268</v>
      </c>
      <c r="W55" s="22">
        <f>W52+W54</f>
        <v>328</v>
      </c>
      <c r="X55" s="22">
        <f>X52+X54</f>
        <v>438</v>
      </c>
      <c r="Y55" s="22">
        <v>478</v>
      </c>
    </row>
    <row r="56" spans="2:27" x14ac:dyDescent="0.2">
      <c r="B56" s="5" t="s">
        <v>27</v>
      </c>
      <c r="I56" s="18">
        <v>24</v>
      </c>
      <c r="J56" s="18">
        <v>32</v>
      </c>
      <c r="K56" s="18">
        <v>33</v>
      </c>
      <c r="L56" s="38">
        <f t="shared" si="55"/>
        <v>49</v>
      </c>
      <c r="M56" s="18">
        <v>64</v>
      </c>
      <c r="O56" s="18">
        <v>31.5</v>
      </c>
      <c r="P56" s="18">
        <v>27.5</v>
      </c>
      <c r="Q56" s="18">
        <v>37.1</v>
      </c>
      <c r="R56" s="18">
        <v>32.4</v>
      </c>
      <c r="S56" s="18">
        <v>50</v>
      </c>
      <c r="T56" s="18">
        <v>34</v>
      </c>
      <c r="U56" s="18">
        <v>81</v>
      </c>
      <c r="V56" s="18">
        <v>60</v>
      </c>
      <c r="W56" s="18">
        <v>70</v>
      </c>
      <c r="X56" s="18">
        <v>82</v>
      </c>
      <c r="Y56" s="18">
        <v>106</v>
      </c>
    </row>
    <row r="57" spans="2:27" x14ac:dyDescent="0.2">
      <c r="B57" s="5" t="s">
        <v>318</v>
      </c>
      <c r="I57" s="18">
        <v>317</v>
      </c>
      <c r="J57" s="18">
        <v>298</v>
      </c>
      <c r="K57" s="18">
        <v>385</v>
      </c>
      <c r="L57" s="38">
        <f t="shared" si="55"/>
        <v>0</v>
      </c>
      <c r="M57" s="18">
        <v>350</v>
      </c>
      <c r="O57" s="18">
        <v>140.4</v>
      </c>
      <c r="P57" s="18">
        <v>146.1</v>
      </c>
      <c r="Q57" s="18">
        <v>153.6</v>
      </c>
      <c r="R57" s="18">
        <v>176.3</v>
      </c>
      <c r="S57" s="18">
        <v>213</v>
      </c>
      <c r="T57" s="18">
        <v>233</v>
      </c>
      <c r="U57" s="18">
        <v>611</v>
      </c>
      <c r="V57" s="18">
        <v>628</v>
      </c>
      <c r="W57" s="18">
        <v>338</v>
      </c>
      <c r="X57" s="18">
        <v>385</v>
      </c>
      <c r="Y57" s="18">
        <v>396</v>
      </c>
    </row>
    <row r="58" spans="2:27" x14ac:dyDescent="0.2">
      <c r="B58" s="7" t="s">
        <v>29</v>
      </c>
      <c r="I58" s="18">
        <v>3056</v>
      </c>
      <c r="J58" s="18">
        <v>2907</v>
      </c>
      <c r="K58" s="18">
        <v>3866</v>
      </c>
      <c r="L58" s="38">
        <f t="shared" si="55"/>
        <v>0</v>
      </c>
      <c r="M58" s="18">
        <v>3889</v>
      </c>
      <c r="O58" s="18">
        <v>1273.2</v>
      </c>
      <c r="P58" s="18">
        <v>1479.6</v>
      </c>
      <c r="Q58" s="18">
        <v>1565.9</v>
      </c>
      <c r="R58" s="18">
        <v>1845.9</v>
      </c>
      <c r="S58" s="18">
        <v>2361</v>
      </c>
      <c r="T58" s="18">
        <v>2344</v>
      </c>
      <c r="U58" s="18">
        <v>9704</v>
      </c>
      <c r="V58" s="18">
        <v>10849</v>
      </c>
      <c r="W58" s="18">
        <v>3273</v>
      </c>
      <c r="X58" s="18">
        <v>3866</v>
      </c>
      <c r="Y58" s="18">
        <v>4429</v>
      </c>
    </row>
    <row r="59" spans="2:27" x14ac:dyDescent="0.2">
      <c r="B59" s="7" t="s">
        <v>30</v>
      </c>
      <c r="I59" s="18">
        <v>2158</v>
      </c>
      <c r="J59" s="18">
        <v>1933</v>
      </c>
      <c r="K59" s="18">
        <v>2611</v>
      </c>
      <c r="L59" s="38">
        <f t="shared" si="55"/>
        <v>0</v>
      </c>
      <c r="M59" s="18">
        <v>2522</v>
      </c>
      <c r="O59" s="18">
        <v>791.7</v>
      </c>
      <c r="P59" s="18">
        <v>994.8</v>
      </c>
      <c r="Q59" s="18">
        <v>1041.4000000000001</v>
      </c>
      <c r="R59" s="18">
        <v>1277.2</v>
      </c>
      <c r="S59" s="18">
        <v>1736</v>
      </c>
      <c r="T59" s="18">
        <v>1667</v>
      </c>
      <c r="U59" s="18">
        <v>6606</v>
      </c>
      <c r="V59" s="18">
        <v>7406</v>
      </c>
      <c r="W59" s="18">
        <v>2267</v>
      </c>
      <c r="X59" s="18">
        <v>2611</v>
      </c>
      <c r="Y59" s="18">
        <v>3033</v>
      </c>
    </row>
    <row r="60" spans="2:27" x14ac:dyDescent="0.2">
      <c r="B60" s="5" t="s">
        <v>32</v>
      </c>
      <c r="I60" s="18">
        <v>15</v>
      </c>
      <c r="J60" s="18">
        <v>18</v>
      </c>
      <c r="K60" s="18">
        <v>1</v>
      </c>
      <c r="L60" s="38">
        <f t="shared" si="55"/>
        <v>5</v>
      </c>
      <c r="M60" s="18">
        <v>-23</v>
      </c>
      <c r="O60" s="18">
        <v>-0.5</v>
      </c>
      <c r="P60" s="18">
        <v>3.6</v>
      </c>
      <c r="Q60" s="18">
        <v>-8</v>
      </c>
      <c r="R60" s="18">
        <v>25.7</v>
      </c>
      <c r="S60" s="18">
        <v>15</v>
      </c>
      <c r="T60" s="18">
        <v>17</v>
      </c>
      <c r="U60" s="18">
        <v>42</v>
      </c>
      <c r="V60" s="18">
        <v>43</v>
      </c>
      <c r="W60" s="18">
        <v>31</v>
      </c>
      <c r="X60" s="18">
        <v>6</v>
      </c>
      <c r="Y60" s="18">
        <v>-18</v>
      </c>
    </row>
    <row r="61" spans="2:27" x14ac:dyDescent="0.2">
      <c r="B61" s="7" t="s">
        <v>33</v>
      </c>
      <c r="I61" s="18"/>
      <c r="J61" s="18"/>
      <c r="K61" s="18"/>
      <c r="L61" s="38">
        <f t="shared" si="55"/>
        <v>0</v>
      </c>
      <c r="M61" s="18"/>
      <c r="O61" s="18"/>
      <c r="P61" s="18"/>
      <c r="Q61" s="18"/>
      <c r="R61" s="18"/>
      <c r="S61" s="18"/>
      <c r="T61" s="18"/>
      <c r="U61" s="18"/>
      <c r="V61" s="18"/>
      <c r="W61" s="18"/>
      <c r="X61" s="18"/>
      <c r="Y61" s="18"/>
    </row>
    <row r="62" spans="2:27" x14ac:dyDescent="0.2">
      <c r="B62" s="6" t="s">
        <v>34</v>
      </c>
      <c r="I62" s="18">
        <v>1</v>
      </c>
      <c r="J62" s="18">
        <v>0</v>
      </c>
      <c r="K62" s="18">
        <v>0</v>
      </c>
      <c r="L62" s="38">
        <f t="shared" si="55"/>
        <v>-100</v>
      </c>
      <c r="M62" s="18">
        <v>112</v>
      </c>
      <c r="O62" s="18">
        <v>-18.899999999999999</v>
      </c>
      <c r="P62" s="18">
        <v>-1.1000000000000001</v>
      </c>
      <c r="Q62" s="18">
        <v>-0.8</v>
      </c>
      <c r="R62" s="18">
        <v>-1.5</v>
      </c>
      <c r="S62" s="18">
        <v>-51</v>
      </c>
      <c r="T62" s="18">
        <v>-2</v>
      </c>
      <c r="U62" s="18">
        <v>-83</v>
      </c>
      <c r="V62" s="18">
        <v>-60</v>
      </c>
      <c r="W62" s="18">
        <v>-4</v>
      </c>
      <c r="X62" s="18">
        <v>-100</v>
      </c>
      <c r="Y62" s="18">
        <v>-161</v>
      </c>
      <c r="Z62" s="5">
        <v>-1</v>
      </c>
    </row>
    <row r="63" spans="2:27" x14ac:dyDescent="0.2">
      <c r="B63" s="6" t="s">
        <v>35</v>
      </c>
      <c r="I63" s="18">
        <v>61</v>
      </c>
      <c r="J63" s="18">
        <v>62</v>
      </c>
      <c r="K63" s="18">
        <v>124</v>
      </c>
      <c r="L63" s="38">
        <f t="shared" si="55"/>
        <v>-464</v>
      </c>
      <c r="M63" s="18">
        <v>209</v>
      </c>
      <c r="O63" s="18">
        <v>-27</v>
      </c>
      <c r="P63" s="18">
        <v>-47.3</v>
      </c>
      <c r="Q63" s="18">
        <v>-56.9</v>
      </c>
      <c r="R63" s="18">
        <v>-72</v>
      </c>
      <c r="S63" s="18">
        <v>-141</v>
      </c>
      <c r="T63" s="18">
        <v>-123</v>
      </c>
      <c r="U63" s="18">
        <v>-301</v>
      </c>
      <c r="V63" s="18">
        <v>-387</v>
      </c>
      <c r="W63" s="18">
        <v>-211</v>
      </c>
      <c r="X63" s="18">
        <v>-340</v>
      </c>
      <c r="Y63" s="18">
        <v>-426</v>
      </c>
    </row>
    <row r="64" spans="2:27" ht="14.25" x14ac:dyDescent="0.35">
      <c r="B64" s="6" t="s">
        <v>36</v>
      </c>
      <c r="I64" s="19">
        <v>0</v>
      </c>
      <c r="J64" s="19">
        <v>0</v>
      </c>
      <c r="K64" s="19">
        <v>0</v>
      </c>
      <c r="L64" s="39">
        <f t="shared" si="55"/>
        <v>0</v>
      </c>
      <c r="M64" s="19">
        <v>0</v>
      </c>
      <c r="O64" s="19">
        <v>0</v>
      </c>
      <c r="P64" s="19">
        <v>0</v>
      </c>
      <c r="Q64" s="19">
        <v>0</v>
      </c>
      <c r="R64" s="19">
        <v>0</v>
      </c>
      <c r="S64" s="19">
        <v>0</v>
      </c>
      <c r="T64" s="19">
        <v>0</v>
      </c>
      <c r="U64" s="19">
        <v>-18</v>
      </c>
      <c r="V64" s="19">
        <v>-26</v>
      </c>
      <c r="W64" s="19">
        <v>-2</v>
      </c>
      <c r="X64" s="19">
        <v>0</v>
      </c>
      <c r="Y64" s="19">
        <v>0</v>
      </c>
    </row>
    <row r="65" spans="2:25" x14ac:dyDescent="0.2">
      <c r="B65" s="7" t="s">
        <v>37</v>
      </c>
      <c r="I65" s="23">
        <f>I62+I63+I64</f>
        <v>62</v>
      </c>
      <c r="J65" s="23">
        <f t="shared" ref="J65" si="59">J62+J63+J64</f>
        <v>62</v>
      </c>
      <c r="K65" s="23">
        <f>K62+K63+K64</f>
        <v>124</v>
      </c>
      <c r="L65" s="38">
        <f>L62+L63+L64</f>
        <v>-564</v>
      </c>
      <c r="M65" s="23">
        <f>M62+M63+M64</f>
        <v>321</v>
      </c>
      <c r="O65" s="23">
        <f t="shared" ref="O65:T65" si="60">O62+O63+O64</f>
        <v>-45.9</v>
      </c>
      <c r="P65" s="23">
        <f t="shared" si="60"/>
        <v>-48.4</v>
      </c>
      <c r="Q65" s="23">
        <f t="shared" si="60"/>
        <v>-57.699999999999996</v>
      </c>
      <c r="R65" s="23">
        <f t="shared" si="60"/>
        <v>-73.5</v>
      </c>
      <c r="S65" s="23">
        <f t="shared" si="60"/>
        <v>-192</v>
      </c>
      <c r="T65" s="23">
        <f t="shared" si="60"/>
        <v>-125</v>
      </c>
      <c r="U65" s="23">
        <f t="shared" ref="U65" si="61">U62+U63+U64</f>
        <v>-402</v>
      </c>
      <c r="V65" s="23">
        <f>V62+V63+V64</f>
        <v>-473</v>
      </c>
      <c r="W65" s="23">
        <f>W62+W63+W64</f>
        <v>-217</v>
      </c>
      <c r="X65" s="23">
        <f>X62+X63+X64</f>
        <v>-440</v>
      </c>
      <c r="Y65" s="23">
        <f>Y62+Y63+Y64</f>
        <v>-587</v>
      </c>
    </row>
    <row r="66" spans="2:25" x14ac:dyDescent="0.2">
      <c r="B66" s="9" t="s">
        <v>38</v>
      </c>
      <c r="I66" s="21">
        <f>I65/I$8</f>
        <v>7.6637824474660068E-2</v>
      </c>
      <c r="J66" s="21">
        <f t="shared" ref="J66" si="62">J65/J$8</f>
        <v>5.8435438265786996E-2</v>
      </c>
      <c r="K66" s="21">
        <f>K65/K$8</f>
        <v>0.1092511013215859</v>
      </c>
      <c r="L66" s="40">
        <f>L65/L$8</f>
        <v>-0.42759666413949959</v>
      </c>
      <c r="M66" s="21">
        <f>M65/M$8</f>
        <v>0.21866485013623979</v>
      </c>
      <c r="O66" s="31">
        <f>-O65/O$40</f>
        <v>2.9039605213210175E-2</v>
      </c>
      <c r="P66" s="31">
        <f t="shared" ref="P66:Y66" si="63">-P65/P$40</f>
        <v>2.528207271207689E-2</v>
      </c>
      <c r="Q66" s="31">
        <f t="shared" si="63"/>
        <v>2.5248326259134465E-2</v>
      </c>
      <c r="R66" s="31">
        <f t="shared" si="63"/>
        <v>2.6251875133938136E-2</v>
      </c>
      <c r="S66" s="31">
        <f t="shared" si="63"/>
        <v>7.0822574695684246E-2</v>
      </c>
      <c r="T66" s="31">
        <f t="shared" si="63"/>
        <v>4.9563838223632035E-2</v>
      </c>
      <c r="U66" s="31">
        <f t="shared" si="63"/>
        <v>0.14666180226194819</v>
      </c>
      <c r="V66" s="31">
        <f t="shared" si="63"/>
        <v>0.13080752212389379</v>
      </c>
      <c r="W66" s="31">
        <f t="shared" si="63"/>
        <v>5.1373106060606064E-2</v>
      </c>
      <c r="X66" s="31">
        <f t="shared" si="63"/>
        <v>8.6853533359652582E-2</v>
      </c>
      <c r="Y66" s="31">
        <f t="shared" si="63"/>
        <v>9.8489932885906045E-2</v>
      </c>
    </row>
    <row r="67" spans="2:25" x14ac:dyDescent="0.2">
      <c r="B67" s="7"/>
      <c r="I67" s="18"/>
      <c r="J67" s="18"/>
      <c r="K67" s="18"/>
      <c r="L67" s="38"/>
      <c r="M67" s="18"/>
      <c r="O67" s="18"/>
      <c r="P67" s="18"/>
      <c r="Q67" s="18"/>
      <c r="R67" s="18"/>
      <c r="S67" s="18"/>
      <c r="T67" s="18"/>
      <c r="U67" s="18"/>
      <c r="V67" s="18"/>
      <c r="W67" s="18"/>
      <c r="X67" s="18"/>
      <c r="Y67" s="18"/>
    </row>
    <row r="68" spans="2:25" x14ac:dyDescent="0.2">
      <c r="B68" s="15" t="s">
        <v>14</v>
      </c>
      <c r="C68" s="18">
        <v>-24</v>
      </c>
      <c r="D68" s="38">
        <f>K68-C68</f>
        <v>24</v>
      </c>
      <c r="E68" s="18">
        <v>-49</v>
      </c>
      <c r="F68" s="38">
        <f>M68-E68</f>
        <v>49</v>
      </c>
      <c r="G68" s="38"/>
      <c r="I68" s="18">
        <v>0</v>
      </c>
      <c r="J68" s="18">
        <v>0</v>
      </c>
      <c r="K68" s="18"/>
      <c r="L68" s="38"/>
      <c r="M68" s="18"/>
      <c r="O68" s="18">
        <v>-42.4</v>
      </c>
      <c r="P68" s="18">
        <v>-86.9</v>
      </c>
      <c r="Q68" s="18">
        <v>-122.7</v>
      </c>
      <c r="R68" s="18">
        <v>-266.60000000000002</v>
      </c>
      <c r="S68" s="18">
        <v>-79</v>
      </c>
      <c r="T68" s="18">
        <v>-80</v>
      </c>
      <c r="U68" s="18">
        <v>-101</v>
      </c>
      <c r="V68" s="18">
        <v>-117</v>
      </c>
      <c r="W68" s="18">
        <v>-111</v>
      </c>
      <c r="X68" s="18">
        <v>-109</v>
      </c>
      <c r="Y68" s="18">
        <v>-118</v>
      </c>
    </row>
    <row r="69" spans="2:25" x14ac:dyDescent="0.2">
      <c r="B69" s="8" t="s">
        <v>17</v>
      </c>
      <c r="C69" s="18">
        <v>-24</v>
      </c>
      <c r="D69" s="38">
        <f>K69-C69</f>
        <v>-26</v>
      </c>
      <c r="E69" s="18">
        <v>-49</v>
      </c>
      <c r="F69" s="38">
        <f>M69-E69</f>
        <v>-21</v>
      </c>
      <c r="G69" s="38"/>
      <c r="I69" s="18">
        <v>-51</v>
      </c>
      <c r="J69" s="18">
        <v>-49</v>
      </c>
      <c r="K69" s="18">
        <v>-50</v>
      </c>
      <c r="L69" s="38">
        <f t="shared" ref="L69:L97" si="64">X69-K69</f>
        <v>-59</v>
      </c>
      <c r="M69" s="18">
        <v>-70</v>
      </c>
      <c r="O69" s="18">
        <v>-42.4</v>
      </c>
      <c r="P69" s="18">
        <v>-86.9</v>
      </c>
      <c r="Q69" s="18">
        <v>-122.7</v>
      </c>
      <c r="R69" s="18">
        <v>-266.60000000000002</v>
      </c>
      <c r="S69" s="18">
        <v>-79</v>
      </c>
      <c r="T69" s="18">
        <v>-80</v>
      </c>
      <c r="U69" s="18">
        <v>-101</v>
      </c>
      <c r="V69" s="18">
        <v>-117</v>
      </c>
      <c r="W69" s="18">
        <v>-111</v>
      </c>
      <c r="X69" s="18">
        <v>-109</v>
      </c>
      <c r="Y69" s="18">
        <v>-118</v>
      </c>
    </row>
    <row r="70" spans="2:25" x14ac:dyDescent="0.2">
      <c r="B70" s="8" t="s">
        <v>18</v>
      </c>
      <c r="I70" s="18">
        <v>0</v>
      </c>
      <c r="J70" s="18">
        <v>1</v>
      </c>
      <c r="K70" s="18">
        <v>2</v>
      </c>
      <c r="L70" s="38">
        <f t="shared" si="64"/>
        <v>0</v>
      </c>
      <c r="M70" s="18">
        <v>1</v>
      </c>
      <c r="O70" s="18">
        <v>0.3</v>
      </c>
      <c r="P70" s="18">
        <v>0.5</v>
      </c>
      <c r="Q70" s="18">
        <v>1.1000000000000001</v>
      </c>
      <c r="R70" s="18">
        <v>0.9</v>
      </c>
      <c r="S70" s="18">
        <v>1</v>
      </c>
      <c r="T70" s="18">
        <v>1</v>
      </c>
      <c r="U70" s="18">
        <v>-1</v>
      </c>
      <c r="V70" s="18">
        <v>-2</v>
      </c>
      <c r="W70" s="18">
        <v>1</v>
      </c>
      <c r="X70" s="18">
        <v>2</v>
      </c>
      <c r="Y70" s="18">
        <v>0</v>
      </c>
    </row>
    <row r="71" spans="2:25" x14ac:dyDescent="0.2">
      <c r="B71" s="6" t="s">
        <v>19</v>
      </c>
      <c r="I71" s="18">
        <v>0</v>
      </c>
      <c r="J71" s="18">
        <v>0</v>
      </c>
      <c r="K71" s="18"/>
      <c r="L71" s="38">
        <f t="shared" si="64"/>
        <v>0</v>
      </c>
      <c r="M71" s="18"/>
      <c r="O71" s="18">
        <v>0</v>
      </c>
      <c r="P71" s="18">
        <v>0</v>
      </c>
      <c r="Q71" s="18">
        <v>0</v>
      </c>
      <c r="R71" s="18">
        <v>0</v>
      </c>
      <c r="S71" s="18">
        <v>0</v>
      </c>
      <c r="T71" s="18">
        <v>0</v>
      </c>
      <c r="U71" s="18">
        <v>0</v>
      </c>
      <c r="V71" s="18">
        <v>0</v>
      </c>
      <c r="W71" s="18">
        <v>0</v>
      </c>
      <c r="X71" s="18">
        <v>0</v>
      </c>
      <c r="Y71" s="18"/>
    </row>
    <row r="72" spans="2:25" x14ac:dyDescent="0.2">
      <c r="B72" s="6" t="s">
        <v>20</v>
      </c>
      <c r="I72" s="18">
        <v>0</v>
      </c>
      <c r="J72" s="18">
        <v>0</v>
      </c>
      <c r="K72" s="18"/>
      <c r="L72" s="38">
        <f t="shared" si="64"/>
        <v>0</v>
      </c>
      <c r="M72" s="18"/>
      <c r="O72" s="18">
        <v>0</v>
      </c>
      <c r="P72" s="18">
        <v>0</v>
      </c>
      <c r="Q72" s="18">
        <v>0</v>
      </c>
      <c r="R72" s="18">
        <v>0</v>
      </c>
      <c r="S72" s="18">
        <v>0</v>
      </c>
      <c r="T72" s="18">
        <v>0</v>
      </c>
      <c r="U72" s="18">
        <v>0</v>
      </c>
      <c r="V72" s="18">
        <v>0</v>
      </c>
      <c r="W72" s="18">
        <v>0</v>
      </c>
      <c r="X72" s="18">
        <v>0</v>
      </c>
      <c r="Y72" s="18"/>
    </row>
    <row r="73" spans="2:25" x14ac:dyDescent="0.2">
      <c r="B73" s="6" t="s">
        <v>21</v>
      </c>
      <c r="I73" s="18">
        <v>0</v>
      </c>
      <c r="J73" s="18">
        <v>0</v>
      </c>
      <c r="K73" s="18"/>
      <c r="L73" s="38">
        <f t="shared" si="64"/>
        <v>0</v>
      </c>
      <c r="M73" s="18"/>
      <c r="O73" s="18">
        <v>0</v>
      </c>
      <c r="P73" s="18">
        <v>0</v>
      </c>
      <c r="Q73" s="18">
        <v>0</v>
      </c>
      <c r="R73" s="18">
        <v>0</v>
      </c>
      <c r="S73" s="18">
        <v>0</v>
      </c>
      <c r="T73" s="18">
        <v>0</v>
      </c>
      <c r="U73" s="18">
        <v>0</v>
      </c>
      <c r="V73" s="18">
        <v>0</v>
      </c>
      <c r="W73" s="18">
        <v>0</v>
      </c>
      <c r="X73" s="18">
        <v>0</v>
      </c>
      <c r="Y73" s="18"/>
    </row>
    <row r="74" spans="2:25" ht="14.25" x14ac:dyDescent="0.35">
      <c r="B74" s="6" t="s">
        <v>22</v>
      </c>
      <c r="I74" s="19">
        <v>0</v>
      </c>
      <c r="J74" s="19">
        <v>0</v>
      </c>
      <c r="K74" s="19"/>
      <c r="L74" s="38">
        <f t="shared" si="64"/>
        <v>0</v>
      </c>
      <c r="M74" s="19"/>
      <c r="O74" s="19">
        <v>0</v>
      </c>
      <c r="P74" s="19">
        <v>0</v>
      </c>
      <c r="Q74" s="19">
        <v>0</v>
      </c>
      <c r="R74" s="19">
        <v>0</v>
      </c>
      <c r="S74" s="19">
        <v>0</v>
      </c>
      <c r="T74" s="19">
        <v>0</v>
      </c>
      <c r="U74" s="19">
        <v>0</v>
      </c>
      <c r="V74" s="19">
        <v>0</v>
      </c>
      <c r="W74" s="19">
        <v>0</v>
      </c>
      <c r="X74" s="19">
        <v>0</v>
      </c>
      <c r="Y74" s="19"/>
    </row>
    <row r="75" spans="2:25" x14ac:dyDescent="0.2">
      <c r="B75" s="8" t="s">
        <v>23</v>
      </c>
      <c r="I75" s="22">
        <f>I74+I73+I72+I71</f>
        <v>0</v>
      </c>
      <c r="J75" s="22">
        <f t="shared" ref="J75" si="65">J74+J73+J72+J71</f>
        <v>0</v>
      </c>
      <c r="K75" s="22"/>
      <c r="L75" s="38">
        <f t="shared" si="64"/>
        <v>0</v>
      </c>
      <c r="M75" s="22"/>
      <c r="O75" s="22">
        <f t="shared" ref="O75:T75" si="66">O74+O73+O72+O71</f>
        <v>0</v>
      </c>
      <c r="P75" s="22">
        <f t="shared" si="66"/>
        <v>0</v>
      </c>
      <c r="Q75" s="22">
        <f t="shared" si="66"/>
        <v>0</v>
      </c>
      <c r="R75" s="22">
        <f t="shared" si="66"/>
        <v>0</v>
      </c>
      <c r="S75" s="22">
        <f t="shared" si="66"/>
        <v>0</v>
      </c>
      <c r="T75" s="22">
        <f t="shared" si="66"/>
        <v>0</v>
      </c>
      <c r="U75" s="22">
        <f t="shared" ref="U75" si="67">U74+U73+U72+U71</f>
        <v>0</v>
      </c>
      <c r="V75" s="22">
        <f>V74+V73+V72+V71</f>
        <v>0</v>
      </c>
      <c r="W75" s="22">
        <f>W74+W73+W72+W71</f>
        <v>0</v>
      </c>
      <c r="X75" s="22">
        <f>X74+X73+X72+X71</f>
        <v>0</v>
      </c>
      <c r="Y75" s="22"/>
    </row>
    <row r="76" spans="2:25" x14ac:dyDescent="0.2">
      <c r="B76" s="7" t="s">
        <v>24</v>
      </c>
      <c r="I76" s="18">
        <v>0</v>
      </c>
      <c r="J76" s="18">
        <v>0</v>
      </c>
      <c r="K76" s="18">
        <v>0</v>
      </c>
      <c r="L76" s="38">
        <f t="shared" si="64"/>
        <v>0</v>
      </c>
      <c r="M76" s="18">
        <v>1</v>
      </c>
      <c r="O76" s="18">
        <v>0.1</v>
      </c>
      <c r="P76" s="18">
        <v>0</v>
      </c>
      <c r="Q76" s="18">
        <v>0</v>
      </c>
      <c r="R76" s="18">
        <v>0.3</v>
      </c>
      <c r="S76" s="18">
        <v>0</v>
      </c>
      <c r="T76" s="18">
        <v>0</v>
      </c>
      <c r="U76" s="18">
        <v>0</v>
      </c>
      <c r="V76" s="18">
        <v>0</v>
      </c>
      <c r="W76" s="18">
        <v>1</v>
      </c>
      <c r="X76" s="18">
        <v>0</v>
      </c>
      <c r="Y76" s="18"/>
    </row>
    <row r="77" spans="2:25" x14ac:dyDescent="0.2">
      <c r="B77" s="6" t="s">
        <v>25</v>
      </c>
      <c r="I77" s="22">
        <v>0</v>
      </c>
      <c r="J77" s="22">
        <v>0</v>
      </c>
      <c r="K77" s="22"/>
      <c r="L77" s="38">
        <f t="shared" si="64"/>
        <v>0</v>
      </c>
      <c r="M77" s="22"/>
      <c r="O77" s="22">
        <v>0</v>
      </c>
      <c r="P77" s="22">
        <v>0</v>
      </c>
      <c r="Q77" s="22">
        <v>0</v>
      </c>
      <c r="R77" s="22">
        <v>0</v>
      </c>
      <c r="S77" s="22">
        <v>0</v>
      </c>
      <c r="T77" s="22">
        <v>0</v>
      </c>
      <c r="U77" s="22">
        <v>0</v>
      </c>
      <c r="V77" s="22">
        <v>0</v>
      </c>
      <c r="W77" s="22">
        <v>0</v>
      </c>
      <c r="X77" s="22">
        <v>0</v>
      </c>
      <c r="Y77" s="22"/>
    </row>
    <row r="78" spans="2:25" x14ac:dyDescent="0.2">
      <c r="B78" s="8" t="s">
        <v>26</v>
      </c>
      <c r="I78" s="22">
        <f>I76+I77</f>
        <v>0</v>
      </c>
      <c r="J78" s="22">
        <f t="shared" ref="J78" si="68">J76+J77</f>
        <v>0</v>
      </c>
      <c r="K78" s="22">
        <v>0</v>
      </c>
      <c r="L78" s="38">
        <f t="shared" si="64"/>
        <v>0</v>
      </c>
      <c r="M78" s="22">
        <v>1</v>
      </c>
      <c r="O78" s="22">
        <f t="shared" ref="O78:T78" si="69">O76+O77</f>
        <v>0.1</v>
      </c>
      <c r="P78" s="22">
        <f t="shared" si="69"/>
        <v>0</v>
      </c>
      <c r="Q78" s="22">
        <f t="shared" si="69"/>
        <v>0</v>
      </c>
      <c r="R78" s="22">
        <f t="shared" si="69"/>
        <v>0.3</v>
      </c>
      <c r="S78" s="22">
        <f t="shared" si="69"/>
        <v>0</v>
      </c>
      <c r="T78" s="22">
        <f t="shared" si="69"/>
        <v>0</v>
      </c>
      <c r="U78" s="22">
        <f t="shared" ref="U78" si="70">U76+U77</f>
        <v>0</v>
      </c>
      <c r="V78" s="22">
        <f>V76+V77</f>
        <v>0</v>
      </c>
      <c r="W78" s="22">
        <f>W76+W77</f>
        <v>1</v>
      </c>
      <c r="X78" s="22">
        <f>X76+X77</f>
        <v>0</v>
      </c>
      <c r="Y78" s="22"/>
    </row>
    <row r="79" spans="2:25" x14ac:dyDescent="0.2">
      <c r="B79" s="5" t="s">
        <v>27</v>
      </c>
      <c r="I79" s="18">
        <v>0</v>
      </c>
      <c r="J79" s="18">
        <v>0</v>
      </c>
      <c r="K79" s="18"/>
      <c r="L79" s="38">
        <f t="shared" si="64"/>
        <v>0</v>
      </c>
      <c r="M79" s="18"/>
      <c r="O79" s="18">
        <v>0</v>
      </c>
      <c r="P79" s="18">
        <v>0</v>
      </c>
      <c r="Q79" s="18">
        <v>0</v>
      </c>
      <c r="R79" s="18">
        <v>0</v>
      </c>
      <c r="S79" s="18">
        <v>0</v>
      </c>
      <c r="T79" s="18">
        <v>0</v>
      </c>
      <c r="U79" s="18">
        <v>0</v>
      </c>
      <c r="V79" s="18">
        <v>0</v>
      </c>
      <c r="W79" s="18">
        <v>0</v>
      </c>
      <c r="X79" s="18">
        <v>0</v>
      </c>
      <c r="Y79" s="18"/>
    </row>
    <row r="80" spans="2:25" x14ac:dyDescent="0.2">
      <c r="B80" s="5" t="s">
        <v>28</v>
      </c>
      <c r="I80" s="18">
        <v>0</v>
      </c>
      <c r="J80" s="18">
        <v>0</v>
      </c>
      <c r="K80" s="18"/>
      <c r="L80" s="38">
        <f t="shared" si="64"/>
        <v>0</v>
      </c>
      <c r="M80" s="18"/>
      <c r="O80" s="18">
        <v>0</v>
      </c>
      <c r="P80" s="18">
        <v>0</v>
      </c>
      <c r="Q80" s="18">
        <v>0</v>
      </c>
      <c r="R80" s="18">
        <v>0</v>
      </c>
      <c r="S80" s="18">
        <v>0</v>
      </c>
      <c r="T80" s="18">
        <v>0</v>
      </c>
      <c r="U80" s="18">
        <v>0</v>
      </c>
      <c r="V80" s="18">
        <v>0</v>
      </c>
      <c r="W80" s="18">
        <v>0</v>
      </c>
      <c r="X80" s="18">
        <v>0</v>
      </c>
      <c r="Y80" s="18"/>
    </row>
    <row r="81" spans="2:26" x14ac:dyDescent="0.2">
      <c r="B81" s="7" t="s">
        <v>29</v>
      </c>
      <c r="I81" s="18">
        <v>-1619</v>
      </c>
      <c r="J81" s="18">
        <v>-1425</v>
      </c>
      <c r="K81" s="18">
        <v>-2066</v>
      </c>
      <c r="L81" s="38">
        <f t="shared" si="64"/>
        <v>0</v>
      </c>
      <c r="M81" s="18">
        <v>-1953</v>
      </c>
      <c r="O81" s="18">
        <v>-674.4</v>
      </c>
      <c r="P81" s="18">
        <v>-750.6</v>
      </c>
      <c r="Q81" s="18">
        <v>-794.1</v>
      </c>
      <c r="R81" s="18">
        <v>-1029.5999999999999</v>
      </c>
      <c r="S81" s="18">
        <v>-1282</v>
      </c>
      <c r="T81" s="18">
        <v>-1237</v>
      </c>
      <c r="U81" s="18">
        <v>-1400</v>
      </c>
      <c r="V81" s="18">
        <v>-1619</v>
      </c>
      <c r="W81" s="18">
        <v>-1871</v>
      </c>
      <c r="X81" s="18">
        <v>-2066</v>
      </c>
      <c r="Y81" s="18">
        <v>-2394</v>
      </c>
    </row>
    <row r="82" spans="2:26" x14ac:dyDescent="0.2">
      <c r="B82" s="7" t="s">
        <v>30</v>
      </c>
      <c r="I82" s="18">
        <v>-1282</v>
      </c>
      <c r="J82" s="18">
        <v>-1098</v>
      </c>
      <c r="K82" s="18">
        <v>-1449</v>
      </c>
      <c r="L82" s="38">
        <f t="shared" si="64"/>
        <v>0</v>
      </c>
      <c r="M82" s="18">
        <v>-1320</v>
      </c>
      <c r="O82" s="18">
        <v>-333.4</v>
      </c>
      <c r="P82" s="18">
        <v>-409.5</v>
      </c>
      <c r="Q82" s="18">
        <v>-453.1</v>
      </c>
      <c r="R82" s="18">
        <v>-688.8</v>
      </c>
      <c r="S82" s="18">
        <v>-896</v>
      </c>
      <c r="T82" s="18">
        <v>-896</v>
      </c>
      <c r="U82" s="18">
        <v>-1063</v>
      </c>
      <c r="V82" s="18">
        <v>-1282</v>
      </c>
      <c r="W82" s="18">
        <v>-1371</v>
      </c>
      <c r="X82" s="18">
        <v>-1449</v>
      </c>
      <c r="Y82" s="18">
        <v>-1708</v>
      </c>
    </row>
    <row r="83" spans="2:26" x14ac:dyDescent="0.2">
      <c r="B83" s="5" t="s">
        <v>32</v>
      </c>
      <c r="I83" s="18">
        <v>0</v>
      </c>
      <c r="J83" s="18">
        <v>0</v>
      </c>
      <c r="K83" s="18"/>
      <c r="L83" s="38">
        <f t="shared" si="64"/>
        <v>0</v>
      </c>
      <c r="M83" s="18">
        <v>-1</v>
      </c>
      <c r="O83" s="18">
        <v>0</v>
      </c>
      <c r="P83" s="18">
        <v>0</v>
      </c>
      <c r="Q83" s="18">
        <v>0.1</v>
      </c>
      <c r="R83" s="18">
        <v>-0.1</v>
      </c>
      <c r="S83" s="18">
        <v>0</v>
      </c>
      <c r="T83" s="18">
        <v>0</v>
      </c>
      <c r="U83" s="18">
        <v>0</v>
      </c>
      <c r="V83" s="18">
        <v>0</v>
      </c>
      <c r="W83" s="18">
        <v>0</v>
      </c>
      <c r="X83" s="18">
        <v>0</v>
      </c>
      <c r="Y83" s="18"/>
    </row>
    <row r="84" spans="2:26" x14ac:dyDescent="0.2">
      <c r="B84" s="7" t="s">
        <v>33</v>
      </c>
      <c r="I84" s="18"/>
      <c r="J84" s="18"/>
      <c r="K84" s="18"/>
      <c r="L84" s="38">
        <f t="shared" si="64"/>
        <v>0</v>
      </c>
      <c r="M84" s="18"/>
      <c r="O84" s="18"/>
      <c r="P84" s="18"/>
      <c r="Q84" s="18"/>
      <c r="R84" s="18"/>
      <c r="S84" s="18"/>
      <c r="T84" s="18"/>
      <c r="U84" s="18"/>
      <c r="V84" s="18"/>
      <c r="W84" s="18"/>
      <c r="X84" s="18"/>
      <c r="Y84" s="18"/>
    </row>
    <row r="85" spans="2:26" x14ac:dyDescent="0.2">
      <c r="B85" s="6" t="s">
        <v>34</v>
      </c>
      <c r="I85" s="18">
        <v>0</v>
      </c>
      <c r="J85" s="18">
        <v>0</v>
      </c>
      <c r="K85" s="18"/>
      <c r="L85" s="38">
        <f t="shared" si="64"/>
        <v>0</v>
      </c>
      <c r="M85" s="18"/>
      <c r="O85" s="18">
        <v>0</v>
      </c>
      <c r="P85" s="18">
        <v>0</v>
      </c>
      <c r="Q85" s="18">
        <v>0</v>
      </c>
      <c r="R85" s="18">
        <v>0</v>
      </c>
      <c r="S85" s="18">
        <v>0</v>
      </c>
      <c r="T85" s="18">
        <v>0</v>
      </c>
      <c r="U85" s="18">
        <v>0</v>
      </c>
      <c r="V85" s="18">
        <v>0</v>
      </c>
      <c r="W85" s="18">
        <v>0</v>
      </c>
      <c r="X85" s="18">
        <v>0</v>
      </c>
      <c r="Y85" s="18"/>
    </row>
    <row r="86" spans="2:26" x14ac:dyDescent="0.2">
      <c r="B86" s="6" t="s">
        <v>35</v>
      </c>
      <c r="I86" s="18">
        <v>0</v>
      </c>
      <c r="J86" s="18">
        <v>0</v>
      </c>
      <c r="K86" s="18"/>
      <c r="L86" s="38">
        <f t="shared" si="64"/>
        <v>5</v>
      </c>
      <c r="M86" s="18"/>
      <c r="O86" s="18">
        <v>0</v>
      </c>
      <c r="P86" s="18">
        <v>0</v>
      </c>
      <c r="Q86" s="18">
        <v>0</v>
      </c>
      <c r="R86" s="18">
        <v>0</v>
      </c>
      <c r="S86" s="18">
        <v>0</v>
      </c>
      <c r="T86" s="18">
        <v>0</v>
      </c>
      <c r="U86" s="18">
        <v>0</v>
      </c>
      <c r="V86" s="18">
        <v>0</v>
      </c>
      <c r="W86" s="18">
        <v>0</v>
      </c>
      <c r="X86" s="18">
        <v>5</v>
      </c>
      <c r="Y86" s="18"/>
    </row>
    <row r="87" spans="2:26" ht="14.25" x14ac:dyDescent="0.35">
      <c r="B87" s="6" t="s">
        <v>36</v>
      </c>
      <c r="I87" s="19">
        <v>0</v>
      </c>
      <c r="J87" s="19">
        <v>0</v>
      </c>
      <c r="K87" s="19"/>
      <c r="L87" s="38">
        <f t="shared" si="64"/>
        <v>0</v>
      </c>
      <c r="M87" s="19"/>
      <c r="O87" s="19">
        <v>0</v>
      </c>
      <c r="P87" s="19">
        <v>0</v>
      </c>
      <c r="Q87" s="19">
        <v>0</v>
      </c>
      <c r="R87" s="19">
        <v>0</v>
      </c>
      <c r="S87" s="19">
        <v>0</v>
      </c>
      <c r="T87" s="19">
        <v>0</v>
      </c>
      <c r="U87" s="19">
        <v>0</v>
      </c>
      <c r="V87" s="19">
        <v>0</v>
      </c>
      <c r="W87" s="19">
        <v>0</v>
      </c>
      <c r="X87" s="19">
        <v>0</v>
      </c>
      <c r="Y87" s="19"/>
    </row>
    <row r="88" spans="2:26" x14ac:dyDescent="0.2">
      <c r="B88" s="7" t="s">
        <v>37</v>
      </c>
      <c r="I88" s="23">
        <f>I85+I86+I87</f>
        <v>0</v>
      </c>
      <c r="J88" s="23">
        <f t="shared" ref="J88" si="71">J85+J86+J87</f>
        <v>0</v>
      </c>
      <c r="K88" s="23"/>
      <c r="L88" s="38">
        <f t="shared" si="64"/>
        <v>5</v>
      </c>
      <c r="M88" s="23"/>
      <c r="O88" s="23">
        <f t="shared" ref="O88:T88" si="72">O85+O86+O87</f>
        <v>0</v>
      </c>
      <c r="P88" s="23">
        <f t="shared" si="72"/>
        <v>0</v>
      </c>
      <c r="Q88" s="23">
        <f t="shared" si="72"/>
        <v>0</v>
      </c>
      <c r="R88" s="23">
        <f t="shared" si="72"/>
        <v>0</v>
      </c>
      <c r="S88" s="23">
        <f t="shared" si="72"/>
        <v>0</v>
      </c>
      <c r="T88" s="23">
        <f t="shared" si="72"/>
        <v>0</v>
      </c>
      <c r="U88" s="23">
        <f t="shared" ref="U88" si="73">U85+U86+U87</f>
        <v>0</v>
      </c>
      <c r="V88" s="23">
        <f>V85+V86+V87</f>
        <v>0</v>
      </c>
      <c r="W88" s="23">
        <f>W85+W86+W87</f>
        <v>0</v>
      </c>
      <c r="X88" s="23">
        <f>X85+X86+X87</f>
        <v>5</v>
      </c>
      <c r="Y88" s="23"/>
    </row>
    <row r="89" spans="2:26" x14ac:dyDescent="0.2">
      <c r="B89" s="14" t="s">
        <v>44</v>
      </c>
    </row>
    <row r="90" spans="2:26" x14ac:dyDescent="0.2">
      <c r="B90" s="8" t="s">
        <v>149</v>
      </c>
      <c r="C90" s="22">
        <f>C8+C40+C68</f>
        <v>1674</v>
      </c>
      <c r="D90" s="22">
        <f>D8+D40+D69</f>
        <v>1755</v>
      </c>
      <c r="E90" s="22">
        <f>E8+E40+E68</f>
        <v>2092</v>
      </c>
      <c r="F90" s="22">
        <f>F8+F40+F69</f>
        <v>2106</v>
      </c>
      <c r="G90" s="56">
        <v>2231</v>
      </c>
      <c r="I90" s="22">
        <f>I8+I40+I68</f>
        <v>2520</v>
      </c>
      <c r="J90" s="22">
        <f t="shared" ref="J90" si="74">J8+J40+J68</f>
        <v>3142</v>
      </c>
      <c r="K90" s="22">
        <f>K8+K40+K68</f>
        <v>3439</v>
      </c>
      <c r="L90" s="38">
        <f t="shared" si="64"/>
        <v>3972</v>
      </c>
      <c r="M90" s="22">
        <f>M8+M40+M68</f>
        <v>4268</v>
      </c>
      <c r="O90" s="22">
        <f t="shared" ref="O90" si="75">O8+O40+O68</f>
        <v>4435.3</v>
      </c>
      <c r="P90" s="22">
        <f>P8+P40+P68</f>
        <v>4732.7000000000007</v>
      </c>
      <c r="Q90" s="22">
        <f>Q8+Q40+Q68</f>
        <v>3897.4000000000005</v>
      </c>
      <c r="R90" s="22">
        <f>R8+R40+R68</f>
        <v>4567.1000000000004</v>
      </c>
      <c r="S90" s="22">
        <f>S8+S40+S68</f>
        <v>4628</v>
      </c>
      <c r="T90" s="22">
        <f>T8+T40+T68</f>
        <v>3977</v>
      </c>
      <c r="U90" s="22">
        <f t="shared" ref="U90" si="76">U8+U40+U68</f>
        <v>4188</v>
      </c>
      <c r="V90" s="22">
        <f>V8+V40+V68</f>
        <v>5330</v>
      </c>
      <c r="W90" s="22">
        <f>W8+W40+W68</f>
        <v>5363</v>
      </c>
      <c r="X90" s="22">
        <f>X8+X40+X68</f>
        <v>7411</v>
      </c>
      <c r="Y90" s="22">
        <f>Y8+Y40+Y68</f>
        <v>8763</v>
      </c>
    </row>
    <row r="91" spans="2:26" x14ac:dyDescent="0.2">
      <c r="B91" s="8" t="s">
        <v>17</v>
      </c>
      <c r="C91" s="23">
        <f>C8+C40+C69</f>
        <v>1674</v>
      </c>
      <c r="D91" s="38">
        <f>K91-C91</f>
        <v>1756</v>
      </c>
      <c r="E91" s="23">
        <v>2212</v>
      </c>
      <c r="F91" s="38">
        <f>M91-E91</f>
        <v>1928</v>
      </c>
      <c r="G91" s="18">
        <v>2244</v>
      </c>
      <c r="I91" s="23">
        <v>0</v>
      </c>
      <c r="J91" s="23">
        <v>0</v>
      </c>
      <c r="K91" s="23">
        <f>K10+K42+K69</f>
        <v>3430</v>
      </c>
      <c r="L91" s="38">
        <f t="shared" si="64"/>
        <v>4058</v>
      </c>
      <c r="M91" s="23">
        <f>M10+M42+M69</f>
        <v>4140</v>
      </c>
      <c r="O91" s="23">
        <v>0</v>
      </c>
      <c r="P91" s="23">
        <v>0</v>
      </c>
      <c r="Q91" s="23">
        <v>0</v>
      </c>
      <c r="R91" s="23">
        <v>0</v>
      </c>
      <c r="S91" s="23">
        <v>0</v>
      </c>
      <c r="T91" s="23">
        <v>0</v>
      </c>
      <c r="U91" s="23">
        <v>0</v>
      </c>
      <c r="V91" s="23">
        <v>0</v>
      </c>
      <c r="W91" s="23">
        <v>2212</v>
      </c>
      <c r="X91" s="23">
        <f>X10+X42+X69</f>
        <v>7488</v>
      </c>
      <c r="Y91" s="23">
        <f>Y10+Y42+Y69</f>
        <v>8717</v>
      </c>
      <c r="Z91" s="59">
        <f>(X91/O90)^(1/(2024-2015))-1</f>
        <v>5.9915946374208051E-2</v>
      </c>
    </row>
    <row r="92" spans="2:26" x14ac:dyDescent="0.2">
      <c r="B92" s="8" t="s">
        <v>18</v>
      </c>
      <c r="D92" s="38"/>
      <c r="E92" s="5">
        <v>370</v>
      </c>
      <c r="G92" s="114">
        <v>372</v>
      </c>
      <c r="I92" s="23">
        <f>I11+I43+I70</f>
        <v>351</v>
      </c>
      <c r="J92" s="23">
        <f t="shared" ref="J92" si="77">J11+J43+J70</f>
        <v>520</v>
      </c>
      <c r="K92" s="23">
        <f>K11+K43+K70</f>
        <v>569</v>
      </c>
      <c r="L92" s="38">
        <f t="shared" si="64"/>
        <v>663</v>
      </c>
      <c r="M92" s="23">
        <f>M11+M43+M70</f>
        <v>829</v>
      </c>
      <c r="O92" s="23">
        <f t="shared" ref="O92" si="78">O11+O43+O70</f>
        <v>580.29999999999995</v>
      </c>
      <c r="P92" s="23">
        <f>P11+P43+P70</f>
        <v>657.90000000000009</v>
      </c>
      <c r="Q92" s="23">
        <f>Q11+Q43+Q70</f>
        <v>710.9</v>
      </c>
      <c r="R92" s="23">
        <f>R11+R43+R70</f>
        <v>851.30000000000007</v>
      </c>
      <c r="S92" s="23">
        <f>S11+S43+S70</f>
        <v>931</v>
      </c>
      <c r="T92" s="23">
        <f>T11+T43+T70</f>
        <v>492</v>
      </c>
      <c r="U92" s="23">
        <f t="shared" ref="U92" si="79">U11+U43+U70</f>
        <v>587</v>
      </c>
      <c r="V92" s="23">
        <f>V11+V43+V70</f>
        <v>855</v>
      </c>
      <c r="W92" s="23">
        <f>W11+W43+W70</f>
        <v>650</v>
      </c>
      <c r="X92" s="23">
        <f>X11+X43+X70</f>
        <v>1232</v>
      </c>
      <c r="Y92" s="23">
        <f>Y11+Y43+Y70</f>
        <v>2328</v>
      </c>
    </row>
    <row r="93" spans="2:26" x14ac:dyDescent="0.2">
      <c r="B93" s="9" t="s">
        <v>31</v>
      </c>
      <c r="I93" s="21">
        <f>I92/I$8</f>
        <v>0.43386897404202718</v>
      </c>
      <c r="J93" s="21">
        <f t="shared" ref="J93" si="80">J92/J$8</f>
        <v>0.49010367577756836</v>
      </c>
      <c r="K93" s="21">
        <f>K92/K$8</f>
        <v>0.50132158590308373</v>
      </c>
      <c r="L93" s="38">
        <f t="shared" si="64"/>
        <v>7.1590390946718596E-4</v>
      </c>
      <c r="M93" s="21">
        <f>M92/M$8</f>
        <v>0.56471389645776571</v>
      </c>
      <c r="O93" s="21">
        <f t="shared" ref="O93:X93" si="81">O92/O$8</f>
        <v>0.20030375202788994</v>
      </c>
      <c r="P93" s="21">
        <f t="shared" si="81"/>
        <v>0.22645600991325904</v>
      </c>
      <c r="Q93" s="21">
        <f t="shared" si="81"/>
        <v>0.40978787180078391</v>
      </c>
      <c r="R93" s="21">
        <f t="shared" si="81"/>
        <v>0.41855548453709623</v>
      </c>
      <c r="S93" s="21">
        <f t="shared" si="81"/>
        <v>0.46643286573146292</v>
      </c>
      <c r="T93" s="21">
        <f t="shared" si="81"/>
        <v>0.32052117263843649</v>
      </c>
      <c r="U93" s="21">
        <f t="shared" si="81"/>
        <v>0.37919896640826872</v>
      </c>
      <c r="V93" s="21">
        <f t="shared" si="81"/>
        <v>0.4669579464773348</v>
      </c>
      <c r="W93" s="21">
        <f t="shared" si="81"/>
        <v>0.52</v>
      </c>
      <c r="X93" s="21">
        <f t="shared" si="81"/>
        <v>0.50203748981255092</v>
      </c>
      <c r="Y93" s="21">
        <f t="shared" ref="Y93" si="82">Y92/Y$8</f>
        <v>0.79698733310510095</v>
      </c>
    </row>
    <row r="94" spans="2:26" x14ac:dyDescent="0.2">
      <c r="B94" s="6" t="s">
        <v>19</v>
      </c>
      <c r="I94" s="23">
        <f>I13+I45+I71</f>
        <v>-24</v>
      </c>
      <c r="J94" s="23">
        <f t="shared" ref="J94" si="83">J13+J45+J71</f>
        <v>-28</v>
      </c>
      <c r="K94" s="23">
        <f>K13+K45+K71</f>
        <v>-22</v>
      </c>
      <c r="L94" s="38">
        <f t="shared" si="64"/>
        <v>-24</v>
      </c>
      <c r="M94" s="23">
        <f>M13+M45+M71</f>
        <v>-23</v>
      </c>
      <c r="O94" s="23">
        <f t="shared" ref="O94" si="84">O13+O45+O71</f>
        <v>-69.8</v>
      </c>
      <c r="P94" s="23" t="e">
        <f t="shared" ref="P94:U97" si="85">P13+P45+P71</f>
        <v>#VALUE!</v>
      </c>
      <c r="Q94" s="23">
        <f t="shared" si="85"/>
        <v>-39.5</v>
      </c>
      <c r="R94" s="23">
        <f t="shared" si="85"/>
        <v>-37.700000000000003</v>
      </c>
      <c r="S94" s="23">
        <f t="shared" si="85"/>
        <v>-44</v>
      </c>
      <c r="T94" s="23">
        <f t="shared" si="85"/>
        <v>-46</v>
      </c>
      <c r="U94" s="23">
        <f t="shared" si="85"/>
        <v>-48</v>
      </c>
      <c r="V94" s="23">
        <f t="shared" ref="V94" si="86">V13+V45+V71</f>
        <v>-54</v>
      </c>
      <c r="W94" s="23">
        <f t="shared" ref="W94:Y97" si="87">W13+W45+W71</f>
        <v>-42</v>
      </c>
      <c r="X94" s="23">
        <f t="shared" si="87"/>
        <v>-46</v>
      </c>
      <c r="Y94" s="23">
        <f t="shared" si="87"/>
        <v>-49</v>
      </c>
    </row>
    <row r="95" spans="2:26" x14ac:dyDescent="0.2">
      <c r="B95" s="6" t="s">
        <v>20</v>
      </c>
      <c r="I95" s="23">
        <f>I14+I46+I72</f>
        <v>-93</v>
      </c>
      <c r="J95" s="23">
        <f t="shared" ref="J95" si="88">J14+J46+J72</f>
        <v>-101</v>
      </c>
      <c r="K95" s="23">
        <f>K14+K46+K72</f>
        <v>-1</v>
      </c>
      <c r="L95" s="38">
        <f t="shared" si="64"/>
        <v>7</v>
      </c>
      <c r="M95" s="23">
        <f>M14+M46+M72</f>
        <v>14</v>
      </c>
      <c r="O95" s="23">
        <f t="shared" ref="O95" si="89">O14+O46+O72</f>
        <v>-97.8</v>
      </c>
      <c r="P95" s="23">
        <f t="shared" si="85"/>
        <v>-101.4</v>
      </c>
      <c r="Q95" s="23">
        <f t="shared" si="85"/>
        <v>-47.3</v>
      </c>
      <c r="R95" s="23">
        <f t="shared" si="85"/>
        <v>-49</v>
      </c>
      <c r="S95" s="23">
        <f t="shared" si="85"/>
        <v>-53</v>
      </c>
      <c r="T95" s="23">
        <f t="shared" si="85"/>
        <v>-102</v>
      </c>
      <c r="U95" s="23">
        <f t="shared" si="85"/>
        <v>-46</v>
      </c>
      <c r="V95" s="23">
        <f t="shared" ref="V95" si="90">V14+V46+V72</f>
        <v>-47</v>
      </c>
      <c r="W95" s="23">
        <f t="shared" si="87"/>
        <v>-13</v>
      </c>
      <c r="X95" s="23">
        <f t="shared" si="87"/>
        <v>6</v>
      </c>
      <c r="Y95" s="23">
        <f t="shared" si="87"/>
        <v>32</v>
      </c>
    </row>
    <row r="96" spans="2:26" x14ac:dyDescent="0.2">
      <c r="B96" s="6" t="s">
        <v>21</v>
      </c>
      <c r="I96" s="23">
        <f>I15+I47+I73</f>
        <v>-24</v>
      </c>
      <c r="J96" s="23">
        <f t="shared" ref="J96" si="91">J15+J47+J73</f>
        <v>-23</v>
      </c>
      <c r="K96" s="23">
        <f>K15+K47+K73</f>
        <v>-25</v>
      </c>
      <c r="L96" s="38">
        <f t="shared" si="64"/>
        <v>-100</v>
      </c>
      <c r="M96" s="23">
        <f>M15+M47+M73</f>
        <v>-25</v>
      </c>
      <c r="O96" s="23">
        <f t="shared" ref="O96" si="92">O15+O47+O73</f>
        <v>0</v>
      </c>
      <c r="P96" s="23">
        <f t="shared" si="85"/>
        <v>0</v>
      </c>
      <c r="Q96" s="23">
        <f t="shared" si="85"/>
        <v>-106.7</v>
      </c>
      <c r="R96" s="23">
        <f t="shared" si="85"/>
        <v>-107.9</v>
      </c>
      <c r="S96" s="23">
        <f t="shared" si="85"/>
        <v>-159</v>
      </c>
      <c r="T96" s="23">
        <f t="shared" si="85"/>
        <v>-124</v>
      </c>
      <c r="U96" s="23">
        <f t="shared" si="85"/>
        <v>-181</v>
      </c>
      <c r="V96" s="23">
        <f t="shared" ref="V96" si="93">V15+V47+V73</f>
        <v>-190</v>
      </c>
      <c r="W96" s="23">
        <f t="shared" si="87"/>
        <v>-50</v>
      </c>
      <c r="X96" s="23">
        <f t="shared" si="87"/>
        <v>-125</v>
      </c>
      <c r="Y96" s="23">
        <f t="shared" si="87"/>
        <v>-49</v>
      </c>
    </row>
    <row r="97" spans="2:26" ht="14.25" x14ac:dyDescent="0.35">
      <c r="B97" s="6" t="s">
        <v>22</v>
      </c>
      <c r="I97" s="24">
        <f>I16+I48+I74</f>
        <v>-65</v>
      </c>
      <c r="J97" s="24">
        <f t="shared" ref="J97" si="94">J16+J48+J74</f>
        <v>-2</v>
      </c>
      <c r="K97" s="24">
        <f>K16+K48+K74</f>
        <v>1</v>
      </c>
      <c r="L97" s="39">
        <f t="shared" si="64"/>
        <v>-31</v>
      </c>
      <c r="M97" s="24">
        <f>M16+M48+M74</f>
        <v>3</v>
      </c>
      <c r="O97" s="24">
        <f t="shared" ref="O97" si="95">O16+O48+O74</f>
        <v>-0.4</v>
      </c>
      <c r="P97" s="24">
        <f t="shared" si="85"/>
        <v>-0.1</v>
      </c>
      <c r="Q97" s="24">
        <f t="shared" si="85"/>
        <v>0</v>
      </c>
      <c r="R97" s="24">
        <f t="shared" si="85"/>
        <v>-5.9</v>
      </c>
      <c r="S97" s="24">
        <f t="shared" si="85"/>
        <v>-5</v>
      </c>
      <c r="T97" s="24">
        <f t="shared" si="85"/>
        <v>-77</v>
      </c>
      <c r="U97" s="24">
        <f t="shared" si="85"/>
        <v>-83</v>
      </c>
      <c r="V97" s="24">
        <f t="shared" ref="V97" si="96">V16+V48+V74</f>
        <v>-66</v>
      </c>
      <c r="W97" s="24">
        <f t="shared" si="87"/>
        <v>6</v>
      </c>
      <c r="X97" s="24">
        <f t="shared" si="87"/>
        <v>-30</v>
      </c>
      <c r="Y97" s="24">
        <f t="shared" si="87"/>
        <v>3</v>
      </c>
    </row>
    <row r="98" spans="2:26" x14ac:dyDescent="0.2">
      <c r="B98" s="8" t="s">
        <v>23</v>
      </c>
      <c r="I98" s="22">
        <f>I97+I96+I95+I94</f>
        <v>-206</v>
      </c>
      <c r="J98" s="22">
        <f t="shared" ref="J98" si="97">J97+J96+J95+J94</f>
        <v>-154</v>
      </c>
      <c r="K98" s="22">
        <f>K97+K96+K95+K94</f>
        <v>-47</v>
      </c>
      <c r="L98" s="22">
        <f>L97+L96+L95+L94</f>
        <v>-148</v>
      </c>
      <c r="M98" s="22">
        <f>M97+M96+M95+M94</f>
        <v>-31</v>
      </c>
      <c r="O98" s="22">
        <f t="shared" ref="O98:T98" si="98">O97+O96+O95+O94</f>
        <v>-168</v>
      </c>
      <c r="P98" s="22" t="e">
        <f t="shared" si="98"/>
        <v>#VALUE!</v>
      </c>
      <c r="Q98" s="22">
        <f t="shared" si="98"/>
        <v>-193.5</v>
      </c>
      <c r="R98" s="22">
        <f t="shared" si="98"/>
        <v>-200.5</v>
      </c>
      <c r="S98" s="22">
        <f t="shared" si="98"/>
        <v>-261</v>
      </c>
      <c r="T98" s="22">
        <f t="shared" si="98"/>
        <v>-349</v>
      </c>
      <c r="U98" s="22">
        <f t="shared" ref="U98" si="99">U97+U96+U95+U94</f>
        <v>-358</v>
      </c>
      <c r="V98" s="22">
        <f>V97+V96+V95+V94</f>
        <v>-357</v>
      </c>
      <c r="W98" s="22">
        <f>W97+W96+W95+W94</f>
        <v>-99</v>
      </c>
      <c r="X98" s="22">
        <f>X97+X96+X95+X94</f>
        <v>-195</v>
      </c>
      <c r="Y98" s="22">
        <f>Y97+Y96+Y95+Y94</f>
        <v>-63</v>
      </c>
    </row>
    <row r="99" spans="2:26" x14ac:dyDescent="0.2">
      <c r="B99" s="7" t="s">
        <v>24</v>
      </c>
      <c r="I99" s="23">
        <f>I22+I52+I76</f>
        <v>183</v>
      </c>
      <c r="J99" s="23">
        <f t="shared" ref="J99" si="100">J22+J52+J76</f>
        <v>382</v>
      </c>
      <c r="K99" s="23">
        <f>K22+K52+K76</f>
        <v>421</v>
      </c>
      <c r="L99" s="38">
        <f>L22+L52+L76</f>
        <v>534</v>
      </c>
      <c r="M99" s="23">
        <f>M22+M52+M76</f>
        <v>704</v>
      </c>
      <c r="O99" s="23">
        <f t="shared" ref="O99" si="101">O22+O52+O76</f>
        <v>385.6</v>
      </c>
      <c r="P99" s="23">
        <f>P22+P52+P76</f>
        <v>452.79999999999995</v>
      </c>
      <c r="Q99" s="23">
        <f>Q22+Q52+Q76</f>
        <v>421.20000000000005</v>
      </c>
      <c r="R99" s="23">
        <f>R22+R52+R76</f>
        <v>620.20000000000005</v>
      </c>
      <c r="S99" s="23">
        <f>S22+S52+S76</f>
        <v>706</v>
      </c>
      <c r="T99" s="23">
        <f>T22+T52+T76</f>
        <v>262</v>
      </c>
      <c r="U99" s="23">
        <f t="shared" ref="U99" si="102">U22+U52+U76</f>
        <v>355</v>
      </c>
      <c r="V99" s="23">
        <f>V22+V52+V76</f>
        <v>507</v>
      </c>
      <c r="W99" s="23">
        <f>W22+W52+W76</f>
        <v>855</v>
      </c>
      <c r="X99" s="23">
        <f>X22+X52+X76</f>
        <v>955</v>
      </c>
      <c r="Y99" s="23">
        <f>Y22+Y52+Y76</f>
        <v>1379</v>
      </c>
    </row>
    <row r="100" spans="2:26" x14ac:dyDescent="0.2">
      <c r="B100" s="9" t="s">
        <v>31</v>
      </c>
      <c r="I100" s="21">
        <f>I99/I$8</f>
        <v>0.22620519159456118</v>
      </c>
      <c r="J100" s="21">
        <f t="shared" ref="J100" si="103">J99/J$8</f>
        <v>0.36003770028275212</v>
      </c>
      <c r="K100" s="21">
        <f>K99/K$8</f>
        <v>0.37092511013215856</v>
      </c>
      <c r="L100" s="40">
        <f>L99/L$8</f>
        <v>0.4048521607278241</v>
      </c>
      <c r="M100" s="21">
        <f>M99/M$8</f>
        <v>0.47956403269754766</v>
      </c>
      <c r="O100" s="21">
        <f t="shared" ref="O100:X100" si="104">O99/O$8</f>
        <v>0.13309861585723656</v>
      </c>
      <c r="P100" s="21">
        <f t="shared" si="104"/>
        <v>0.15585846069117443</v>
      </c>
      <c r="Q100" s="21">
        <f t="shared" si="104"/>
        <v>0.24279455845054185</v>
      </c>
      <c r="R100" s="21">
        <f t="shared" si="104"/>
        <v>0.30493141255715622</v>
      </c>
      <c r="S100" s="21">
        <f t="shared" si="104"/>
        <v>0.35370741482965934</v>
      </c>
      <c r="T100" s="21">
        <f t="shared" si="104"/>
        <v>0.17068403908794788</v>
      </c>
      <c r="U100" s="21">
        <f t="shared" si="104"/>
        <v>0.22932816537467701</v>
      </c>
      <c r="V100" s="21">
        <f t="shared" si="104"/>
        <v>0.2768978700163845</v>
      </c>
      <c r="W100" s="21">
        <f t="shared" si="104"/>
        <v>0.68400000000000005</v>
      </c>
      <c r="X100" s="21">
        <f t="shared" si="104"/>
        <v>0.389160554197229</v>
      </c>
      <c r="Y100" s="21">
        <f t="shared" ref="Y100" si="105">Y99/Y$8</f>
        <v>0.47209859637110579</v>
      </c>
      <c r="Z100" s="59">
        <f>(X100/O100)^(1/(2024-2015))-1</f>
        <v>0.1266079414073773</v>
      </c>
    </row>
    <row r="101" spans="2:26" x14ac:dyDescent="0.2">
      <c r="B101" s="80" t="s">
        <v>336</v>
      </c>
      <c r="C101" s="63"/>
      <c r="D101" s="63"/>
      <c r="E101" s="63"/>
      <c r="F101" s="63"/>
      <c r="G101" s="63"/>
      <c r="H101" s="63"/>
      <c r="I101" s="81"/>
      <c r="J101" s="81"/>
      <c r="K101" s="81"/>
      <c r="L101" s="82"/>
      <c r="M101" s="81"/>
      <c r="N101" s="63"/>
      <c r="O101" s="83">
        <f t="shared" ref="O101:X101" si="106">O99-O98</f>
        <v>553.6</v>
      </c>
      <c r="P101" s="83" t="e">
        <f t="shared" si="106"/>
        <v>#VALUE!</v>
      </c>
      <c r="Q101" s="83">
        <f t="shared" si="106"/>
        <v>614.70000000000005</v>
      </c>
      <c r="R101" s="83">
        <f t="shared" si="106"/>
        <v>820.7</v>
      </c>
      <c r="S101" s="83">
        <f t="shared" si="106"/>
        <v>967</v>
      </c>
      <c r="T101" s="83">
        <f t="shared" si="106"/>
        <v>611</v>
      </c>
      <c r="U101" s="83">
        <f t="shared" si="106"/>
        <v>713</v>
      </c>
      <c r="V101" s="83">
        <f t="shared" si="106"/>
        <v>864</v>
      </c>
      <c r="W101" s="83">
        <f t="shared" si="106"/>
        <v>954</v>
      </c>
      <c r="X101" s="83">
        <f t="shared" si="106"/>
        <v>1150</v>
      </c>
      <c r="Y101" s="83">
        <f>Y99-Y98</f>
        <v>1442</v>
      </c>
      <c r="Z101" s="59"/>
    </row>
    <row r="102" spans="2:26" x14ac:dyDescent="0.2">
      <c r="B102" s="65" t="s">
        <v>31</v>
      </c>
      <c r="C102" s="66"/>
      <c r="D102" s="66"/>
      <c r="E102" s="66"/>
      <c r="F102" s="66"/>
      <c r="G102" s="66"/>
      <c r="H102" s="66"/>
      <c r="I102" s="84"/>
      <c r="J102" s="84"/>
      <c r="K102" s="84"/>
      <c r="L102" s="85"/>
      <c r="M102" s="84"/>
      <c r="N102" s="66"/>
      <c r="O102" s="86">
        <f>O101/O90</f>
        <v>0.12481681058778436</v>
      </c>
      <c r="P102" s="86" t="e">
        <f t="shared" ref="P102:X102" si="107">P101/P90</f>
        <v>#VALUE!</v>
      </c>
      <c r="Q102" s="86">
        <f t="shared" si="107"/>
        <v>0.15772053163647559</v>
      </c>
      <c r="R102" s="86">
        <f t="shared" si="107"/>
        <v>0.17969827680585054</v>
      </c>
      <c r="S102" s="86">
        <f t="shared" si="107"/>
        <v>0.20894554883318928</v>
      </c>
      <c r="T102" s="86">
        <f t="shared" si="107"/>
        <v>0.15363339200402312</v>
      </c>
      <c r="U102" s="86">
        <f t="shared" si="107"/>
        <v>0.17024832855778416</v>
      </c>
      <c r="V102" s="86">
        <f t="shared" si="107"/>
        <v>0.16210131332082553</v>
      </c>
      <c r="W102" s="86">
        <f t="shared" si="107"/>
        <v>0.17788551184038784</v>
      </c>
      <c r="X102" s="86">
        <f t="shared" si="107"/>
        <v>0.15517474025097827</v>
      </c>
      <c r="Y102" s="86">
        <f t="shared" ref="Y102" si="108">Y101/Y90</f>
        <v>0.16455551751683214</v>
      </c>
      <c r="Z102" s="59"/>
    </row>
    <row r="103" spans="2:26" x14ac:dyDescent="0.2">
      <c r="B103" s="8" t="s">
        <v>25</v>
      </c>
      <c r="I103" s="23">
        <v>0</v>
      </c>
      <c r="J103" s="23">
        <v>0</v>
      </c>
      <c r="K103" s="23">
        <f>K24+K54+K78</f>
        <v>0</v>
      </c>
      <c r="L103" s="38">
        <f t="shared" ref="L103:L113" si="109">X103-K103</f>
        <v>95</v>
      </c>
      <c r="M103" s="23">
        <f>M24+M54+M78</f>
        <v>1</v>
      </c>
      <c r="O103" s="23">
        <v>0</v>
      </c>
      <c r="P103" s="23">
        <v>0</v>
      </c>
      <c r="Q103" s="23">
        <v>0</v>
      </c>
      <c r="R103" s="23">
        <v>0</v>
      </c>
      <c r="S103" s="23">
        <v>0</v>
      </c>
      <c r="T103" s="23">
        <v>0</v>
      </c>
      <c r="U103" s="23">
        <v>0</v>
      </c>
      <c r="V103" s="23">
        <v>0</v>
      </c>
      <c r="W103" s="23">
        <f t="shared" ref="W103:Y105" si="110">W24+W54+W78</f>
        <v>979</v>
      </c>
      <c r="X103" s="23">
        <f t="shared" si="110"/>
        <v>95</v>
      </c>
      <c r="Y103" s="23">
        <f t="shared" si="110"/>
        <v>-29</v>
      </c>
    </row>
    <row r="104" spans="2:26" x14ac:dyDescent="0.2">
      <c r="B104" s="8" t="s">
        <v>26</v>
      </c>
      <c r="I104" s="23">
        <v>0</v>
      </c>
      <c r="J104" s="23">
        <v>0</v>
      </c>
      <c r="K104" s="23">
        <f>K25+K55+K79</f>
        <v>471</v>
      </c>
      <c r="L104" s="38">
        <f t="shared" si="109"/>
        <v>579</v>
      </c>
      <c r="M104" s="23">
        <f>M25+M55+M79</f>
        <v>656</v>
      </c>
      <c r="O104" s="23">
        <v>0</v>
      </c>
      <c r="P104" s="23">
        <v>0</v>
      </c>
      <c r="Q104" s="23">
        <v>0</v>
      </c>
      <c r="R104" s="23">
        <v>0</v>
      </c>
      <c r="S104" s="23">
        <v>0</v>
      </c>
      <c r="T104" s="23">
        <v>0</v>
      </c>
      <c r="U104" s="23">
        <v>0</v>
      </c>
      <c r="V104" s="23">
        <v>0</v>
      </c>
      <c r="W104" s="23">
        <f t="shared" si="110"/>
        <v>1832</v>
      </c>
      <c r="X104" s="23">
        <f t="shared" si="110"/>
        <v>1050</v>
      </c>
      <c r="Y104" s="23">
        <f t="shared" si="110"/>
        <v>1351</v>
      </c>
    </row>
    <row r="105" spans="2:26" x14ac:dyDescent="0.2">
      <c r="B105" s="5" t="s">
        <v>27</v>
      </c>
      <c r="I105" s="23">
        <f>I26+I56+I80</f>
        <v>28</v>
      </c>
      <c r="J105" s="23">
        <f t="shared" ref="J105" si="111">J26+J56+J80</f>
        <v>41</v>
      </c>
      <c r="K105" s="23">
        <f>K26+K56+K80</f>
        <v>45</v>
      </c>
      <c r="L105" s="38">
        <f t="shared" si="109"/>
        <v>77</v>
      </c>
      <c r="M105" s="23">
        <f>M26+M56+M80</f>
        <v>102</v>
      </c>
      <c r="O105" s="23">
        <f t="shared" ref="O105" si="112">O26+O56+O80</f>
        <v>29.1</v>
      </c>
      <c r="P105" s="23">
        <f t="shared" ref="P105:U105" si="113">P26+P56+P80</f>
        <v>28.6</v>
      </c>
      <c r="Q105" s="23">
        <f t="shared" si="113"/>
        <v>42.4</v>
      </c>
      <c r="R105" s="23">
        <f t="shared" si="113"/>
        <v>43.8</v>
      </c>
      <c r="S105" s="23">
        <f t="shared" si="113"/>
        <v>80</v>
      </c>
      <c r="T105" s="23">
        <f t="shared" si="113"/>
        <v>69</v>
      </c>
      <c r="U105" s="23">
        <f t="shared" si="113"/>
        <v>125</v>
      </c>
      <c r="V105" s="23">
        <f t="shared" ref="V105" si="114">V26+V56+V80</f>
        <v>69</v>
      </c>
      <c r="W105" s="23">
        <f t="shared" si="110"/>
        <v>97</v>
      </c>
      <c r="X105" s="23">
        <f t="shared" si="110"/>
        <v>122</v>
      </c>
      <c r="Y105" s="23">
        <f t="shared" si="110"/>
        <v>157</v>
      </c>
    </row>
    <row r="106" spans="2:26" x14ac:dyDescent="0.2">
      <c r="B106" s="5" t="s">
        <v>28</v>
      </c>
      <c r="I106" s="23">
        <f>I27+I57+I80</f>
        <v>628</v>
      </c>
      <c r="J106" s="23">
        <f t="shared" ref="J106" si="115">J27+J57+J80</f>
        <v>605</v>
      </c>
      <c r="K106" s="23">
        <f>K27+K57+K80</f>
        <v>727</v>
      </c>
      <c r="L106" s="38">
        <f t="shared" si="109"/>
        <v>0</v>
      </c>
      <c r="M106" s="23">
        <f>M27+M57+M80</f>
        <v>661</v>
      </c>
      <c r="O106" s="23">
        <f t="shared" ref="O106" si="116">O27+O57+O80</f>
        <v>168</v>
      </c>
      <c r="P106" s="23">
        <f t="shared" ref="P106:U109" si="117">P27+P57+P80</f>
        <v>201.89999999999998</v>
      </c>
      <c r="Q106" s="23">
        <f t="shared" si="117"/>
        <v>291.5</v>
      </c>
      <c r="R106" s="23">
        <f t="shared" si="117"/>
        <v>426.9</v>
      </c>
      <c r="S106" s="23">
        <f t="shared" si="117"/>
        <v>538</v>
      </c>
      <c r="T106" s="23">
        <f t="shared" si="117"/>
        <v>556</v>
      </c>
      <c r="U106" s="23">
        <f t="shared" si="117"/>
        <v>950</v>
      </c>
      <c r="V106" s="23">
        <f t="shared" ref="V106" si="118">V27+V57+V80</f>
        <v>939</v>
      </c>
      <c r="W106" s="23">
        <f t="shared" ref="W106:Y109" si="119">W27+W57+W80</f>
        <v>643</v>
      </c>
      <c r="X106" s="23">
        <f t="shared" si="119"/>
        <v>727</v>
      </c>
      <c r="Y106" s="23">
        <f t="shared" si="119"/>
        <v>688</v>
      </c>
    </row>
    <row r="107" spans="2:26" x14ac:dyDescent="0.2">
      <c r="B107" s="7" t="s">
        <v>29</v>
      </c>
      <c r="I107" s="23">
        <f>I28+I58+I81</f>
        <v>9230</v>
      </c>
      <c r="J107" s="23">
        <f t="shared" ref="J107" si="120">J28+J58+J81</f>
        <v>9280</v>
      </c>
      <c r="K107" s="23">
        <f>K28+K58+K81</f>
        <v>12484</v>
      </c>
      <c r="L107" s="38">
        <f t="shared" si="109"/>
        <v>0</v>
      </c>
      <c r="M107" s="23">
        <f>M28+M58+M81</f>
        <v>11782</v>
      </c>
      <c r="O107" s="23">
        <f t="shared" ref="O107" si="121">O28+O58+O81</f>
        <v>5188.3</v>
      </c>
      <c r="P107" s="23">
        <f t="shared" si="117"/>
        <v>5844.6</v>
      </c>
      <c r="Q107" s="23">
        <f t="shared" si="117"/>
        <v>6206.1999999999989</v>
      </c>
      <c r="R107" s="23">
        <f t="shared" si="117"/>
        <v>6850.7999999999993</v>
      </c>
      <c r="S107" s="23">
        <f t="shared" si="117"/>
        <v>7766</v>
      </c>
      <c r="T107" s="23">
        <f t="shared" si="117"/>
        <v>8103</v>
      </c>
      <c r="U107" s="23">
        <f t="shared" si="117"/>
        <v>15493</v>
      </c>
      <c r="V107" s="23">
        <f t="shared" ref="V107" si="122">V28+V58+V81</f>
        <v>17023</v>
      </c>
      <c r="W107" s="23">
        <f t="shared" si="119"/>
        <v>10204</v>
      </c>
      <c r="X107" s="23">
        <f t="shared" si="119"/>
        <v>12484</v>
      </c>
      <c r="Y107" s="23">
        <f t="shared" si="119"/>
        <v>12721</v>
      </c>
    </row>
    <row r="108" spans="2:26" x14ac:dyDescent="0.2">
      <c r="B108" s="7" t="s">
        <v>30</v>
      </c>
      <c r="I108" s="23">
        <f>I29+I59+I82</f>
        <v>6118</v>
      </c>
      <c r="J108" s="23">
        <f t="shared" ref="J108" si="123">J29+J59+J82</f>
        <v>6012</v>
      </c>
      <c r="K108" s="23">
        <f>K29+K59+K82</f>
        <v>9047</v>
      </c>
      <c r="L108" s="38">
        <f t="shared" si="109"/>
        <v>0</v>
      </c>
      <c r="M108" s="23">
        <f>M29+M59+M82</f>
        <v>7872</v>
      </c>
      <c r="O108" s="23">
        <f t="shared" ref="O108" si="124">O29+O59+O82</f>
        <v>3887.7000000000003</v>
      </c>
      <c r="P108" s="23">
        <f t="shared" si="117"/>
        <v>4344.1000000000004</v>
      </c>
      <c r="Q108" s="23">
        <f t="shared" si="117"/>
        <v>4383.8999999999996</v>
      </c>
      <c r="R108" s="23">
        <f t="shared" si="117"/>
        <v>4706.5999999999995</v>
      </c>
      <c r="S108" s="23">
        <f t="shared" si="117"/>
        <v>5390</v>
      </c>
      <c r="T108" s="23">
        <f t="shared" si="117"/>
        <v>5469</v>
      </c>
      <c r="U108" s="23">
        <f t="shared" si="117"/>
        <v>10272</v>
      </c>
      <c r="V108" s="23">
        <f t="shared" ref="V108" si="125">V29+V59+V82</f>
        <v>11371</v>
      </c>
      <c r="W108" s="23">
        <f t="shared" si="119"/>
        <v>7271</v>
      </c>
      <c r="X108" s="23">
        <f t="shared" si="119"/>
        <v>9047</v>
      </c>
      <c r="Y108" s="23">
        <f t="shared" si="119"/>
        <v>8346</v>
      </c>
    </row>
    <row r="109" spans="2:26" x14ac:dyDescent="0.2">
      <c r="B109" s="5" t="s">
        <v>32</v>
      </c>
      <c r="I109" s="23">
        <f>I30+I60+I83</f>
        <v>31</v>
      </c>
      <c r="J109" s="23">
        <f t="shared" ref="J109" si="126">J30+J60+J83</f>
        <v>13</v>
      </c>
      <c r="K109" s="23">
        <f>K30+K60+K83</f>
        <v>20</v>
      </c>
      <c r="L109" s="38">
        <f t="shared" si="109"/>
        <v>20</v>
      </c>
      <c r="M109" s="23">
        <f>M30+M60+M83</f>
        <v>-106</v>
      </c>
      <c r="O109" s="23">
        <f t="shared" ref="O109" si="127">O30+O60+O83</f>
        <v>75.900000000000006</v>
      </c>
      <c r="P109" s="23">
        <f t="shared" si="117"/>
        <v>37.300000000000004</v>
      </c>
      <c r="Q109" s="23">
        <f t="shared" si="117"/>
        <v>-43.8</v>
      </c>
      <c r="R109" s="23">
        <f t="shared" si="117"/>
        <v>67</v>
      </c>
      <c r="S109" s="23">
        <f t="shared" si="117"/>
        <v>49</v>
      </c>
      <c r="T109" s="23">
        <f t="shared" si="117"/>
        <v>6</v>
      </c>
      <c r="U109" s="23">
        <f t="shared" si="117"/>
        <v>78</v>
      </c>
      <c r="V109" s="23">
        <f t="shared" ref="V109" si="128">V30+V60+V83</f>
        <v>51</v>
      </c>
      <c r="W109" s="23">
        <f t="shared" si="119"/>
        <v>33</v>
      </c>
      <c r="X109" s="23">
        <f t="shared" si="119"/>
        <v>40</v>
      </c>
      <c r="Y109" s="23">
        <f t="shared" si="119"/>
        <v>-107</v>
      </c>
    </row>
    <row r="110" spans="2:26" x14ac:dyDescent="0.2">
      <c r="B110" s="7" t="s">
        <v>33</v>
      </c>
      <c r="L110" s="38">
        <f t="shared" si="109"/>
        <v>0</v>
      </c>
    </row>
    <row r="111" spans="2:26" x14ac:dyDescent="0.2">
      <c r="B111" s="6" t="s">
        <v>34</v>
      </c>
      <c r="I111" s="23">
        <f>I32+I62+I85</f>
        <v>28</v>
      </c>
      <c r="J111" s="23">
        <f t="shared" ref="J111" si="129">J32+J62+J85</f>
        <v>28</v>
      </c>
      <c r="K111" s="23">
        <f>K32+K62+K85</f>
        <v>36</v>
      </c>
      <c r="L111" s="38">
        <f t="shared" si="109"/>
        <v>-219</v>
      </c>
      <c r="M111" s="23">
        <f>M32+M62+M85</f>
        <v>150</v>
      </c>
      <c r="O111" s="23">
        <f t="shared" ref="O111" si="130">O32+O62+O85</f>
        <v>-179.8</v>
      </c>
      <c r="P111" s="23">
        <f t="shared" ref="P111:T113" si="131">P32+P62+P85</f>
        <v>-115.39999999999999</v>
      </c>
      <c r="Q111" s="23">
        <f t="shared" si="131"/>
        <v>-69.3</v>
      </c>
      <c r="R111" s="23">
        <f t="shared" si="131"/>
        <v>-73.3</v>
      </c>
      <c r="S111" s="23">
        <f t="shared" si="131"/>
        <v>-129</v>
      </c>
      <c r="T111" s="23">
        <f t="shared" si="131"/>
        <v>-44</v>
      </c>
      <c r="U111" s="23">
        <f t="shared" ref="U111" si="132">U32+U62+U85</f>
        <v>-137</v>
      </c>
      <c r="V111" s="23">
        <f t="shared" ref="V111:Y113" si="133">V32+V62+V85</f>
        <v>-118</v>
      </c>
      <c r="W111" s="23">
        <f t="shared" si="133"/>
        <v>-82</v>
      </c>
      <c r="X111" s="23">
        <f t="shared" si="133"/>
        <v>-183</v>
      </c>
      <c r="Y111" s="23">
        <f t="shared" si="133"/>
        <v>-246</v>
      </c>
    </row>
    <row r="112" spans="2:26" x14ac:dyDescent="0.2">
      <c r="B112" s="6" t="s">
        <v>35</v>
      </c>
      <c r="I112" s="23">
        <f>I33+I63+I86</f>
        <v>102</v>
      </c>
      <c r="J112" s="23">
        <f t="shared" ref="J112" si="134">J33+J63+J86</f>
        <v>163</v>
      </c>
      <c r="K112" s="23">
        <f>K33+K63+K86</f>
        <v>246</v>
      </c>
      <c r="L112" s="38">
        <f t="shared" si="109"/>
        <v>-844</v>
      </c>
      <c r="M112" s="23">
        <f>M33+M63+M86</f>
        <v>276</v>
      </c>
      <c r="O112" s="23">
        <f t="shared" ref="O112" si="135">O33+O63+O86</f>
        <v>-129.9</v>
      </c>
      <c r="P112" s="23">
        <f t="shared" si="131"/>
        <v>-159.39999999999998</v>
      </c>
      <c r="Q112" s="23">
        <f t="shared" si="131"/>
        <v>-173.3</v>
      </c>
      <c r="R112" s="23">
        <f t="shared" si="131"/>
        <v>-199.5</v>
      </c>
      <c r="S112" s="23">
        <f t="shared" si="131"/>
        <v>-350</v>
      </c>
      <c r="T112" s="23">
        <f t="shared" si="131"/>
        <v>-283</v>
      </c>
      <c r="U112" s="23">
        <f t="shared" ref="U112" si="136">U33+U63+U86</f>
        <v>-449</v>
      </c>
      <c r="V112" s="23">
        <f t="shared" si="133"/>
        <v>-544</v>
      </c>
      <c r="W112" s="23">
        <f t="shared" si="133"/>
        <v>-429</v>
      </c>
      <c r="X112" s="23">
        <f t="shared" si="133"/>
        <v>-598</v>
      </c>
      <c r="Y112" s="23">
        <f t="shared" si="133"/>
        <v>-619</v>
      </c>
    </row>
    <row r="113" spans="2:25" ht="14.25" x14ac:dyDescent="0.35">
      <c r="B113" s="6" t="s">
        <v>36</v>
      </c>
      <c r="I113" s="24">
        <f>I34+I64+I87</f>
        <v>24</v>
      </c>
      <c r="J113" s="24">
        <f t="shared" ref="J113" si="137">J34+J64+J87</f>
        <v>21</v>
      </c>
      <c r="K113" s="24">
        <f>K34+K64+K87</f>
        <v>47</v>
      </c>
      <c r="L113" s="39">
        <f t="shared" si="109"/>
        <v>-100</v>
      </c>
      <c r="M113" s="24">
        <f>M34+M64+M87</f>
        <v>37</v>
      </c>
      <c r="O113" s="24">
        <f t="shared" ref="O113" si="138">O34+O64+O87</f>
        <v>0</v>
      </c>
      <c r="P113" s="24">
        <f t="shared" si="131"/>
        <v>0</v>
      </c>
      <c r="Q113" s="24">
        <f t="shared" si="131"/>
        <v>-45.5</v>
      </c>
      <c r="R113" s="24">
        <f t="shared" si="131"/>
        <v>-59.5</v>
      </c>
      <c r="S113" s="24">
        <f t="shared" si="131"/>
        <v>-16</v>
      </c>
      <c r="T113" s="24">
        <f t="shared" si="131"/>
        <v>-12</v>
      </c>
      <c r="U113" s="24">
        <f t="shared" ref="U113" si="139">U34+U64+U87</f>
        <v>-36</v>
      </c>
      <c r="V113" s="24">
        <f t="shared" si="133"/>
        <v>-52</v>
      </c>
      <c r="W113" s="24">
        <f t="shared" si="133"/>
        <v>-4</v>
      </c>
      <c r="X113" s="24">
        <f t="shared" si="133"/>
        <v>-53</v>
      </c>
      <c r="Y113" s="24">
        <f t="shared" si="133"/>
        <v>-38</v>
      </c>
    </row>
    <row r="114" spans="2:25" x14ac:dyDescent="0.2">
      <c r="B114" s="7" t="s">
        <v>37</v>
      </c>
      <c r="I114" s="23">
        <f>I111+I112+I113</f>
        <v>154</v>
      </c>
      <c r="J114" s="23">
        <f t="shared" ref="J114" si="140">J111+J112+J113</f>
        <v>212</v>
      </c>
      <c r="K114" s="23">
        <f>K111+K112+K113</f>
        <v>329</v>
      </c>
      <c r="L114" s="38">
        <f>L111+L112+L113</f>
        <v>-1163</v>
      </c>
      <c r="M114" s="23">
        <f>M111+M112+M113</f>
        <v>463</v>
      </c>
      <c r="O114" s="23">
        <f t="shared" ref="O114:T114" si="141">O111+O112+O113</f>
        <v>-309.70000000000005</v>
      </c>
      <c r="P114" s="23">
        <f t="shared" si="141"/>
        <v>-274.79999999999995</v>
      </c>
      <c r="Q114" s="23">
        <f t="shared" si="141"/>
        <v>-288.10000000000002</v>
      </c>
      <c r="R114" s="23">
        <f t="shared" si="141"/>
        <v>-332.3</v>
      </c>
      <c r="S114" s="23">
        <f t="shared" si="141"/>
        <v>-495</v>
      </c>
      <c r="T114" s="23">
        <f t="shared" si="141"/>
        <v>-339</v>
      </c>
      <c r="U114" s="23">
        <f t="shared" ref="U114" si="142">U111+U112+U113</f>
        <v>-622</v>
      </c>
      <c r="V114" s="23">
        <f>V111+V112+V113</f>
        <v>-714</v>
      </c>
      <c r="W114" s="23">
        <f>W111+W112+W113</f>
        <v>-515</v>
      </c>
      <c r="X114" s="23">
        <f>X111+X112+X113</f>
        <v>-834</v>
      </c>
      <c r="Y114" s="23">
        <f>Y111+Y112+Y113</f>
        <v>-903</v>
      </c>
    </row>
    <row r="115" spans="2:25" x14ac:dyDescent="0.2">
      <c r="B115" s="9" t="s">
        <v>38</v>
      </c>
      <c r="I115" s="21">
        <f>I114/I$8</f>
        <v>0.19035846724351049</v>
      </c>
      <c r="J115" s="21">
        <f t="shared" ref="J115" si="143">J114/J$8</f>
        <v>0.19981149858623939</v>
      </c>
      <c r="K115" s="21">
        <f>K114/K$8</f>
        <v>0.28986784140969163</v>
      </c>
      <c r="L115" s="40">
        <f>L114/L$8</f>
        <v>-0.8817285822592873</v>
      </c>
      <c r="M115" s="21">
        <f>M114/M$8</f>
        <v>0.31539509536784743</v>
      </c>
      <c r="O115" s="21">
        <f t="shared" ref="O115:X115" si="144">-O114/O$8</f>
        <v>0.10690000345172761</v>
      </c>
      <c r="P115" s="21">
        <f t="shared" si="144"/>
        <v>9.4589012804626171E-2</v>
      </c>
      <c r="Q115" s="21">
        <f t="shared" si="144"/>
        <v>0.16607101683191144</v>
      </c>
      <c r="R115" s="21">
        <f t="shared" si="144"/>
        <v>0.16338069718275233</v>
      </c>
      <c r="S115" s="21">
        <f t="shared" si="144"/>
        <v>0.24799599198396793</v>
      </c>
      <c r="T115" s="21">
        <f t="shared" si="144"/>
        <v>0.22084690553745928</v>
      </c>
      <c r="U115" s="21">
        <f t="shared" si="144"/>
        <v>0.40180878552971577</v>
      </c>
      <c r="V115" s="21">
        <f t="shared" si="144"/>
        <v>0.38995084653194978</v>
      </c>
      <c r="W115" s="21">
        <f t="shared" si="144"/>
        <v>0.41199999999999998</v>
      </c>
      <c r="X115" s="21">
        <f t="shared" si="144"/>
        <v>0.33985330073349634</v>
      </c>
      <c r="Y115" s="21">
        <f t="shared" ref="Y115" si="145">-Y114/Y$8</f>
        <v>0.30914070523793219</v>
      </c>
    </row>
    <row r="116" spans="2:25" x14ac:dyDescent="0.2">
      <c r="B116" s="9"/>
      <c r="I116" s="21"/>
      <c r="J116" s="21"/>
      <c r="K116" s="21"/>
      <c r="L116" s="40"/>
      <c r="M116" s="21"/>
      <c r="O116" s="21"/>
      <c r="P116" s="21"/>
      <c r="Q116" s="21"/>
      <c r="R116" s="21"/>
      <c r="S116" s="21"/>
      <c r="T116" s="21"/>
      <c r="U116" s="21"/>
      <c r="V116" s="21"/>
      <c r="W116" s="21"/>
      <c r="X116" s="21"/>
      <c r="Y116" s="21"/>
    </row>
    <row r="117" spans="2:25" x14ac:dyDescent="0.2">
      <c r="B117" s="13" t="s">
        <v>56</v>
      </c>
      <c r="I117" s="21"/>
      <c r="J117" s="21"/>
      <c r="K117" s="21"/>
      <c r="L117" s="40"/>
      <c r="M117" s="21"/>
      <c r="O117" s="21"/>
      <c r="P117" s="21"/>
      <c r="Q117" s="21"/>
      <c r="R117" s="21"/>
      <c r="S117" s="21"/>
      <c r="T117" s="21"/>
      <c r="U117" s="21"/>
      <c r="V117" s="21"/>
      <c r="W117" s="21"/>
      <c r="X117" s="21"/>
      <c r="Y117" s="21"/>
    </row>
    <row r="118" spans="2:25" hidden="1" outlineLevel="1" x14ac:dyDescent="0.2">
      <c r="B118" s="9" t="s">
        <v>57</v>
      </c>
      <c r="I118" s="18">
        <v>0</v>
      </c>
      <c r="J118" s="18">
        <v>0</v>
      </c>
      <c r="K118" s="18"/>
      <c r="L118" s="38"/>
      <c r="M118" s="18"/>
      <c r="O118" s="18">
        <v>483.7</v>
      </c>
      <c r="P118" s="18">
        <v>518.79999999999995</v>
      </c>
      <c r="Q118" s="18">
        <v>468.4</v>
      </c>
      <c r="R118" s="18">
        <v>492.2</v>
      </c>
      <c r="S118" s="18">
        <v>486</v>
      </c>
      <c r="T118" s="18">
        <v>586</v>
      </c>
      <c r="U118" s="18">
        <v>616</v>
      </c>
      <c r="V118" s="18">
        <v>762</v>
      </c>
      <c r="W118" s="18">
        <v>671</v>
      </c>
      <c r="X118" s="18">
        <v>766</v>
      </c>
      <c r="Y118" s="18">
        <v>837</v>
      </c>
    </row>
    <row r="119" spans="2:25" hidden="1" outlineLevel="1" x14ac:dyDescent="0.2">
      <c r="B119" s="9" t="s">
        <v>58</v>
      </c>
      <c r="I119" s="18">
        <v>0</v>
      </c>
      <c r="J119" s="18">
        <v>0</v>
      </c>
      <c r="K119" s="18"/>
      <c r="L119" s="38"/>
      <c r="M119" s="18"/>
      <c r="O119" s="18">
        <v>300.3</v>
      </c>
      <c r="P119" s="18">
        <v>330.7</v>
      </c>
      <c r="Q119" s="18">
        <v>361.7</v>
      </c>
      <c r="R119" s="18">
        <v>438.3</v>
      </c>
      <c r="S119" s="18">
        <v>448</v>
      </c>
      <c r="T119" s="18">
        <v>281</v>
      </c>
      <c r="U119" s="18">
        <v>266</v>
      </c>
      <c r="V119" s="18">
        <v>397</v>
      </c>
      <c r="W119" s="18">
        <v>404</v>
      </c>
      <c r="X119" s="18">
        <v>461</v>
      </c>
      <c r="Y119" s="18">
        <v>453</v>
      </c>
    </row>
    <row r="120" spans="2:25" hidden="1" outlineLevel="1" x14ac:dyDescent="0.2">
      <c r="B120" s="9" t="s">
        <v>59</v>
      </c>
      <c r="I120" s="18">
        <v>0</v>
      </c>
      <c r="J120" s="18">
        <v>0</v>
      </c>
      <c r="K120" s="18"/>
      <c r="L120" s="38"/>
      <c r="M120" s="18"/>
      <c r="O120" s="18">
        <v>3256.7</v>
      </c>
      <c r="P120" s="18">
        <v>3495.2</v>
      </c>
      <c r="Q120" s="18">
        <v>2513.3000000000002</v>
      </c>
      <c r="R120" s="18">
        <v>3005.5</v>
      </c>
      <c r="S120" s="18">
        <v>2937</v>
      </c>
      <c r="T120" s="18">
        <v>2744</v>
      </c>
      <c r="U120" s="18">
        <v>3015</v>
      </c>
      <c r="V120" s="18">
        <v>3761</v>
      </c>
      <c r="W120" s="18">
        <v>3597</v>
      </c>
      <c r="X120" s="18">
        <v>5188</v>
      </c>
      <c r="Y120" s="18">
        <v>6229</v>
      </c>
    </row>
    <row r="121" spans="2:25" hidden="1" outlineLevel="1" x14ac:dyDescent="0.2">
      <c r="B121" s="9" t="s">
        <v>60</v>
      </c>
      <c r="I121" s="18">
        <v>0</v>
      </c>
      <c r="J121" s="18">
        <v>0</v>
      </c>
      <c r="K121" s="18"/>
      <c r="L121" s="38"/>
      <c r="M121" s="18"/>
      <c r="O121" s="18">
        <v>155.80000000000001</v>
      </c>
      <c r="P121" s="18">
        <v>199.4</v>
      </c>
      <c r="Q121" s="18">
        <v>280</v>
      </c>
      <c r="R121" s="18">
        <v>310.10000000000002</v>
      </c>
      <c r="S121" s="18">
        <v>400</v>
      </c>
      <c r="T121" s="18">
        <v>231</v>
      </c>
      <c r="U121" s="18">
        <v>166</v>
      </c>
      <c r="V121" s="18">
        <v>201</v>
      </c>
      <c r="W121" s="18">
        <v>376</v>
      </c>
      <c r="X121" s="18">
        <v>658</v>
      </c>
      <c r="Y121" s="18">
        <v>857</v>
      </c>
    </row>
    <row r="122" spans="2:25" ht="14.25" hidden="1" outlineLevel="1" x14ac:dyDescent="0.35">
      <c r="B122" s="9" t="s">
        <v>61</v>
      </c>
      <c r="I122" s="19">
        <v>0</v>
      </c>
      <c r="J122" s="19">
        <v>0</v>
      </c>
      <c r="K122" s="19"/>
      <c r="L122" s="39"/>
      <c r="M122" s="19"/>
      <c r="O122" s="19">
        <v>238.8</v>
      </c>
      <c r="P122" s="19">
        <v>188.6</v>
      </c>
      <c r="Q122" s="19">
        <v>274</v>
      </c>
      <c r="R122" s="19">
        <v>321</v>
      </c>
      <c r="S122" s="19">
        <v>358</v>
      </c>
      <c r="T122" s="19">
        <v>136</v>
      </c>
      <c r="U122" s="19">
        <v>124</v>
      </c>
      <c r="V122" s="19">
        <v>255</v>
      </c>
      <c r="W122" s="19">
        <v>315</v>
      </c>
      <c r="X122" s="19">
        <v>337</v>
      </c>
      <c r="Y122" s="19">
        <v>387</v>
      </c>
    </row>
    <row r="123" spans="2:25" ht="9.75" hidden="1" customHeight="1" outlineLevel="1" x14ac:dyDescent="0.2">
      <c r="B123" s="5" t="s">
        <v>134</v>
      </c>
      <c r="I123" s="22">
        <f>I118+I119+I120+I121+I122</f>
        <v>0</v>
      </c>
      <c r="J123" s="22">
        <f t="shared" ref="J123" si="146">J118+J119+J120+J121+J122</f>
        <v>0</v>
      </c>
      <c r="K123" s="22"/>
      <c r="L123" s="22"/>
      <c r="M123" s="22"/>
      <c r="O123" s="22">
        <f t="shared" ref="O123:T123" si="147">O118+O119+O120+O121+O122</f>
        <v>4435.3</v>
      </c>
      <c r="P123" s="22">
        <f t="shared" si="147"/>
        <v>4732.7</v>
      </c>
      <c r="Q123" s="22">
        <f t="shared" si="147"/>
        <v>3897.4</v>
      </c>
      <c r="R123" s="22">
        <f t="shared" si="147"/>
        <v>4567.1000000000004</v>
      </c>
      <c r="S123" s="22">
        <f t="shared" si="147"/>
        <v>4629</v>
      </c>
      <c r="T123" s="22">
        <f t="shared" si="147"/>
        <v>3978</v>
      </c>
      <c r="U123" s="22">
        <f t="shared" ref="U123" si="148">U118+U119+U120+U121+U122</f>
        <v>4187</v>
      </c>
      <c r="V123" s="22">
        <f>V118+V119+V120+V121+V122</f>
        <v>5376</v>
      </c>
      <c r="W123" s="22">
        <f>W118+W119+W120+W121+W122</f>
        <v>5363</v>
      </c>
      <c r="X123" s="22">
        <f>X118+X119+X120+X121+X122</f>
        <v>7410</v>
      </c>
      <c r="Y123" s="22">
        <f>Y118+Y119+Y120+Y121+Y122</f>
        <v>8763</v>
      </c>
    </row>
    <row r="124" spans="2:25" ht="9.75" hidden="1" customHeight="1" outlineLevel="1" x14ac:dyDescent="0.2">
      <c r="I124" s="22"/>
      <c r="J124" s="22"/>
      <c r="K124" s="22"/>
      <c r="L124" s="22"/>
      <c r="M124" s="22"/>
      <c r="O124" s="22"/>
      <c r="P124" s="22"/>
      <c r="Q124" s="22"/>
      <c r="R124" s="22"/>
      <c r="S124" s="22"/>
      <c r="T124" s="22"/>
      <c r="U124" s="22"/>
      <c r="V124" s="22"/>
      <c r="W124" s="22"/>
      <c r="X124" s="22"/>
      <c r="Y124" s="22"/>
    </row>
    <row r="125" spans="2:25" ht="11.25" hidden="1" customHeight="1" outlineLevel="1" x14ac:dyDescent="0.2">
      <c r="B125" s="9" t="s">
        <v>57</v>
      </c>
      <c r="I125" s="22"/>
      <c r="J125" s="22"/>
      <c r="K125" s="22"/>
      <c r="L125" s="22"/>
      <c r="M125" s="22"/>
      <c r="O125" s="21">
        <f t="shared" ref="O125:X125" si="149">O118/O$123</f>
        <v>0.10905688453994092</v>
      </c>
      <c r="P125" s="21">
        <f t="shared" si="149"/>
        <v>0.10962030130792148</v>
      </c>
      <c r="Q125" s="21">
        <f t="shared" si="149"/>
        <v>0.12018268589315953</v>
      </c>
      <c r="R125" s="21">
        <f t="shared" si="149"/>
        <v>0.1077707954719625</v>
      </c>
      <c r="S125" s="21">
        <f t="shared" si="149"/>
        <v>0.1049902786779002</v>
      </c>
      <c r="T125" s="21">
        <f t="shared" si="149"/>
        <v>0.14731020613373555</v>
      </c>
      <c r="U125" s="21">
        <f t="shared" si="149"/>
        <v>0.14712204442321472</v>
      </c>
      <c r="V125" s="21">
        <f t="shared" si="149"/>
        <v>0.14174107142857142</v>
      </c>
      <c r="W125" s="21">
        <f t="shared" si="149"/>
        <v>0.12511653925041955</v>
      </c>
      <c r="X125" s="21">
        <f t="shared" si="149"/>
        <v>0.10337381916329284</v>
      </c>
      <c r="Y125" s="21">
        <f t="shared" ref="Y125" si="150">Y118/Y$123</f>
        <v>9.5515234508729882E-2</v>
      </c>
    </row>
    <row r="126" spans="2:25" ht="11.25" hidden="1" customHeight="1" outlineLevel="1" x14ac:dyDescent="0.2">
      <c r="B126" s="9" t="s">
        <v>58</v>
      </c>
      <c r="I126" s="21" t="e">
        <f>I118/I$123</f>
        <v>#DIV/0!</v>
      </c>
      <c r="J126" s="21" t="e">
        <f t="shared" ref="J126" si="151">J118/J$123</f>
        <v>#DIV/0!</v>
      </c>
      <c r="K126" s="21"/>
      <c r="L126" s="40"/>
      <c r="M126" s="21"/>
      <c r="O126" s="21">
        <f t="shared" ref="O126:X126" si="152">O119/O$123</f>
        <v>6.7706806754898208E-2</v>
      </c>
      <c r="P126" s="21">
        <f t="shared" si="152"/>
        <v>6.987554672808334E-2</v>
      </c>
      <c r="Q126" s="21">
        <f t="shared" si="152"/>
        <v>9.2805460050289931E-2</v>
      </c>
      <c r="R126" s="21">
        <f t="shared" si="152"/>
        <v>9.5968995642749216E-2</v>
      </c>
      <c r="S126" s="21">
        <f t="shared" si="152"/>
        <v>9.6781162238064378E-2</v>
      </c>
      <c r="T126" s="21">
        <f t="shared" si="152"/>
        <v>7.0638511814982402E-2</v>
      </c>
      <c r="U126" s="21">
        <f t="shared" si="152"/>
        <v>6.352997372820636E-2</v>
      </c>
      <c r="V126" s="21">
        <f t="shared" si="152"/>
        <v>7.3846726190476192E-2</v>
      </c>
      <c r="W126" s="21">
        <f t="shared" si="152"/>
        <v>7.5330971471191499E-2</v>
      </c>
      <c r="X126" s="21">
        <f t="shared" si="152"/>
        <v>6.2213225371120111E-2</v>
      </c>
      <c r="Y126" s="21">
        <f t="shared" ref="Y126" si="153">Y119/Y$123</f>
        <v>5.1694625128380689E-2</v>
      </c>
    </row>
    <row r="127" spans="2:25" ht="11.25" hidden="1" customHeight="1" outlineLevel="1" x14ac:dyDescent="0.2">
      <c r="B127" s="9" t="s">
        <v>59</v>
      </c>
      <c r="I127" s="21" t="e">
        <f>I119/I$123</f>
        <v>#DIV/0!</v>
      </c>
      <c r="J127" s="21" t="e">
        <f t="shared" ref="J127" si="154">J119/J$123</f>
        <v>#DIV/0!</v>
      </c>
      <c r="K127" s="21"/>
      <c r="L127" s="40"/>
      <c r="M127" s="21"/>
      <c r="O127" s="21">
        <f t="shared" ref="O127:X127" si="155">O120/O$123</f>
        <v>0.73426825693865116</v>
      </c>
      <c r="P127" s="21">
        <f t="shared" si="155"/>
        <v>0.73852135144843323</v>
      </c>
      <c r="Q127" s="21">
        <f t="shared" si="155"/>
        <v>0.64486580797454718</v>
      </c>
      <c r="R127" s="21">
        <f t="shared" si="155"/>
        <v>0.65807624094064066</v>
      </c>
      <c r="S127" s="21">
        <f t="shared" si="155"/>
        <v>0.63447828904731041</v>
      </c>
      <c r="T127" s="21">
        <f t="shared" si="155"/>
        <v>0.68979386626445449</v>
      </c>
      <c r="U127" s="21">
        <f t="shared" si="155"/>
        <v>0.72008598041557204</v>
      </c>
      <c r="V127" s="21">
        <f t="shared" si="155"/>
        <v>0.69959077380952384</v>
      </c>
      <c r="W127" s="21">
        <f t="shared" si="155"/>
        <v>0.67070669401454408</v>
      </c>
      <c r="X127" s="21">
        <f t="shared" si="155"/>
        <v>0.7001349527665317</v>
      </c>
      <c r="Y127" s="21">
        <f t="shared" ref="Y127" si="156">Y120/Y$123</f>
        <v>0.71082962455779986</v>
      </c>
    </row>
    <row r="128" spans="2:25" ht="11.25" hidden="1" customHeight="1" outlineLevel="1" x14ac:dyDescent="0.2">
      <c r="B128" s="9" t="s">
        <v>60</v>
      </c>
      <c r="I128" s="21" t="e">
        <f>I120/I$123</f>
        <v>#DIV/0!</v>
      </c>
      <c r="J128" s="21" t="e">
        <f t="shared" ref="J128" si="157">J120/J$123</f>
        <v>#DIV/0!</v>
      </c>
      <c r="K128" s="21"/>
      <c r="L128" s="40"/>
      <c r="M128" s="21"/>
      <c r="O128" s="21">
        <f t="shared" ref="O128:X128" si="158">O121/O$123</f>
        <v>3.5127274367010124E-2</v>
      </c>
      <c r="P128" s="21">
        <f t="shared" si="158"/>
        <v>4.213239799691508E-2</v>
      </c>
      <c r="Q128" s="21">
        <f t="shared" si="158"/>
        <v>7.1842766972853689E-2</v>
      </c>
      <c r="R128" s="21">
        <f t="shared" si="158"/>
        <v>6.7898666549889422E-2</v>
      </c>
      <c r="S128" s="21">
        <f t="shared" si="158"/>
        <v>8.6411751998271766E-2</v>
      </c>
      <c r="T128" s="21">
        <f t="shared" si="158"/>
        <v>5.8069381598793365E-2</v>
      </c>
      <c r="U128" s="21">
        <f t="shared" si="158"/>
        <v>3.9646524958203963E-2</v>
      </c>
      <c r="V128" s="21">
        <f t="shared" si="158"/>
        <v>3.7388392857142856E-2</v>
      </c>
      <c r="W128" s="21">
        <f t="shared" si="158"/>
        <v>7.0110013052396045E-2</v>
      </c>
      <c r="X128" s="21">
        <f t="shared" si="158"/>
        <v>8.8798920377867741E-2</v>
      </c>
      <c r="Y128" s="21">
        <f t="shared" ref="Y128" si="159">Y121/Y$123</f>
        <v>9.7797557913956404E-2</v>
      </c>
    </row>
    <row r="129" spans="1:26" ht="11.25" hidden="1" customHeight="1" outlineLevel="1" x14ac:dyDescent="0.2">
      <c r="B129" s="9" t="s">
        <v>61</v>
      </c>
      <c r="I129" s="21" t="e">
        <f>I121/I$123</f>
        <v>#DIV/0!</v>
      </c>
      <c r="J129" s="21" t="e">
        <f t="shared" ref="J129" si="160">J121/J$123</f>
        <v>#DIV/0!</v>
      </c>
      <c r="K129" s="21"/>
      <c r="L129" s="40"/>
      <c r="M129" s="21"/>
    </row>
    <row r="130" spans="1:26" ht="11.25" customHeight="1" collapsed="1" thickBot="1" x14ac:dyDescent="0.25">
      <c r="B130" s="141" t="s">
        <v>354</v>
      </c>
      <c r="C130" s="142"/>
      <c r="D130" s="142"/>
      <c r="E130" s="142"/>
      <c r="F130" s="142"/>
      <c r="G130" s="142"/>
      <c r="H130" s="142"/>
      <c r="I130" s="142"/>
      <c r="J130" s="142"/>
      <c r="K130" s="142"/>
      <c r="L130" s="142"/>
      <c r="M130" s="142"/>
      <c r="N130" s="142"/>
      <c r="O130" s="142"/>
      <c r="P130" s="142"/>
      <c r="Q130" s="142"/>
      <c r="R130" s="142"/>
      <c r="S130" s="142"/>
      <c r="T130" s="142"/>
      <c r="U130" s="142"/>
      <c r="V130" s="142"/>
      <c r="W130" s="142"/>
      <c r="X130" s="142"/>
      <c r="Y130" s="143"/>
    </row>
    <row r="131" spans="1:26" ht="11.25" customHeight="1" x14ac:dyDescent="0.2">
      <c r="B131" s="144" t="s">
        <v>335</v>
      </c>
      <c r="C131" s="134">
        <v>0</v>
      </c>
      <c r="D131" s="135"/>
      <c r="E131" s="135">
        <v>27.7</v>
      </c>
      <c r="F131" s="135">
        <v>25</v>
      </c>
      <c r="G131" s="135">
        <v>31.6</v>
      </c>
      <c r="H131" s="133"/>
      <c r="I131" s="136"/>
      <c r="J131" s="136"/>
      <c r="K131" s="137"/>
      <c r="L131" s="138"/>
      <c r="M131" s="139">
        <v>25.036999999999999</v>
      </c>
      <c r="N131" s="133"/>
      <c r="O131" s="140">
        <f>6.831+5.663</f>
        <v>12.494</v>
      </c>
      <c r="P131" s="140">
        <f>6.926+7.246</f>
        <v>14.172000000000001</v>
      </c>
      <c r="Q131" s="139">
        <v>14.9</v>
      </c>
      <c r="R131" s="139">
        <v>17.600000000000001</v>
      </c>
      <c r="S131" s="139">
        <v>19.8</v>
      </c>
      <c r="T131" s="139">
        <v>18.600000000000001</v>
      </c>
      <c r="U131" s="139">
        <v>22.236999999999998</v>
      </c>
      <c r="V131" s="139">
        <v>22.236999999999998</v>
      </c>
      <c r="W131" s="136"/>
      <c r="X131" s="139">
        <v>28.73</v>
      </c>
      <c r="Y131" s="145">
        <v>29.5</v>
      </c>
      <c r="Z131" s="59">
        <f>(Y131/O131)^(1/(2025-2015))-1</f>
        <v>8.9712797976966741E-2</v>
      </c>
    </row>
    <row r="132" spans="1:26" ht="11.25" customHeight="1" x14ac:dyDescent="0.2">
      <c r="B132" s="146" t="s">
        <v>310</v>
      </c>
      <c r="C132" s="147"/>
      <c r="D132" s="148"/>
      <c r="E132" s="148"/>
      <c r="F132" s="148"/>
      <c r="G132" s="148"/>
      <c r="H132" s="149"/>
      <c r="I132" s="150"/>
      <c r="J132" s="150"/>
      <c r="K132" s="151"/>
      <c r="L132" s="152"/>
      <c r="M132" s="153"/>
      <c r="N132" s="149"/>
      <c r="O132" s="154"/>
      <c r="P132" s="155">
        <f>P131/O131-1</f>
        <v>0.13430446614374913</v>
      </c>
      <c r="Q132" s="155">
        <f t="shared" ref="Q132:Y132" si="161">Q131/P131-1</f>
        <v>5.1368896415467047E-2</v>
      </c>
      <c r="R132" s="155">
        <f t="shared" si="161"/>
        <v>0.18120805369127524</v>
      </c>
      <c r="S132" s="155">
        <f t="shared" si="161"/>
        <v>0.125</v>
      </c>
      <c r="T132" s="155">
        <f t="shared" si="161"/>
        <v>-6.0606060606060552E-2</v>
      </c>
      <c r="U132" s="155">
        <f t="shared" si="161"/>
        <v>0.19553763440860195</v>
      </c>
      <c r="V132" s="155">
        <f t="shared" si="161"/>
        <v>0</v>
      </c>
      <c r="W132" s="155">
        <f t="shared" si="161"/>
        <v>-1</v>
      </c>
      <c r="X132" s="155" t="e">
        <f t="shared" si="161"/>
        <v>#DIV/0!</v>
      </c>
      <c r="Y132" s="156">
        <f t="shared" si="161"/>
        <v>2.6801253045596996E-2</v>
      </c>
      <c r="Z132" s="76"/>
    </row>
    <row r="133" spans="1:26" ht="11.25" customHeight="1" x14ac:dyDescent="0.2">
      <c r="B133" s="7" t="s">
        <v>150</v>
      </c>
      <c r="I133" s="21"/>
      <c r="J133" s="21"/>
      <c r="K133" s="21"/>
      <c r="L133" s="40"/>
      <c r="M133" s="21"/>
      <c r="O133" s="21"/>
      <c r="P133" s="21"/>
      <c r="Q133" s="21"/>
      <c r="R133" s="21"/>
      <c r="S133" s="21"/>
      <c r="T133" s="21"/>
      <c r="U133" s="21"/>
      <c r="V133" s="21"/>
      <c r="W133" s="21"/>
      <c r="X133" s="21"/>
      <c r="Y133" s="21"/>
    </row>
    <row r="134" spans="1:26" x14ac:dyDescent="0.2">
      <c r="B134" s="6" t="s">
        <v>135</v>
      </c>
      <c r="C134" s="18">
        <v>-24</v>
      </c>
      <c r="D134" s="18"/>
      <c r="E134" s="18">
        <v>-30</v>
      </c>
      <c r="F134" s="18"/>
      <c r="G134" s="18"/>
      <c r="I134" s="18">
        <v>-34</v>
      </c>
      <c r="J134" s="18">
        <v>-39</v>
      </c>
      <c r="K134" s="18">
        <v>-52</v>
      </c>
      <c r="L134" s="38">
        <f t="shared" ref="L134:L135" si="162">X134-K134</f>
        <v>52</v>
      </c>
      <c r="M134" s="18">
        <v>-62</v>
      </c>
      <c r="S134" s="23">
        <v>31</v>
      </c>
      <c r="T134" s="23">
        <v>33</v>
      </c>
      <c r="U134" s="18">
        <v>54</v>
      </c>
      <c r="V134" s="18">
        <v>44</v>
      </c>
    </row>
    <row r="135" spans="1:26" ht="14.25" x14ac:dyDescent="0.35">
      <c r="B135" s="6" t="s">
        <v>136</v>
      </c>
      <c r="C135" s="19">
        <v>56</v>
      </c>
      <c r="D135" s="19"/>
      <c r="E135" s="19">
        <v>78</v>
      </c>
      <c r="F135" s="19"/>
      <c r="G135" s="19"/>
      <c r="I135" s="19">
        <v>101</v>
      </c>
      <c r="J135" s="19">
        <v>119</v>
      </c>
      <c r="K135" s="19">
        <v>128</v>
      </c>
      <c r="L135" s="39">
        <f t="shared" si="162"/>
        <v>-128</v>
      </c>
      <c r="M135" s="19">
        <v>128</v>
      </c>
      <c r="S135" s="24">
        <f>S136-S134</f>
        <v>183</v>
      </c>
      <c r="T135" s="24">
        <f>T136-T134</f>
        <v>153</v>
      </c>
      <c r="U135" s="19">
        <v>20</v>
      </c>
      <c r="V135" s="19">
        <v>24</v>
      </c>
    </row>
    <row r="136" spans="1:26" x14ac:dyDescent="0.2">
      <c r="B136" s="11" t="s">
        <v>137</v>
      </c>
      <c r="C136" s="20">
        <f>C135-C134</f>
        <v>80</v>
      </c>
      <c r="D136" s="20"/>
      <c r="E136" s="20">
        <f>E135-E134</f>
        <v>108</v>
      </c>
      <c r="F136" s="20"/>
      <c r="G136" s="20"/>
      <c r="H136" s="7"/>
      <c r="I136" s="20">
        <f>I135-I134</f>
        <v>135</v>
      </c>
      <c r="J136" s="20">
        <f>J135-J134</f>
        <v>158</v>
      </c>
      <c r="K136" s="20">
        <f>K135-K134</f>
        <v>180</v>
      </c>
      <c r="L136" s="20">
        <f>L135-L134</f>
        <v>-180</v>
      </c>
      <c r="M136" s="20">
        <f>M135-M134</f>
        <v>190</v>
      </c>
      <c r="N136" s="7"/>
      <c r="S136" s="53">
        <v>214</v>
      </c>
      <c r="T136" s="53">
        <v>186</v>
      </c>
      <c r="U136" s="20">
        <f>U134+U135</f>
        <v>74</v>
      </c>
      <c r="V136" s="20">
        <f>V134+V135</f>
        <v>68</v>
      </c>
    </row>
    <row r="137" spans="1:26" x14ac:dyDescent="0.2">
      <c r="B137" s="13" t="s">
        <v>323</v>
      </c>
      <c r="C137" s="20"/>
      <c r="D137" s="20"/>
      <c r="E137" s="20"/>
      <c r="F137" s="20"/>
      <c r="G137" s="20"/>
      <c r="H137" s="7"/>
      <c r="I137" s="20"/>
      <c r="J137" s="20"/>
      <c r="K137" s="20"/>
      <c r="L137" s="20"/>
      <c r="M137" s="20"/>
      <c r="N137" s="7"/>
      <c r="S137" s="53"/>
      <c r="T137" s="53"/>
      <c r="U137" s="20"/>
      <c r="V137" s="20"/>
    </row>
    <row r="138" spans="1:26" x14ac:dyDescent="0.2">
      <c r="B138" s="9" t="s">
        <v>312</v>
      </c>
      <c r="C138" s="20"/>
      <c r="D138" s="20"/>
      <c r="E138" s="20"/>
      <c r="F138" s="20"/>
      <c r="G138" s="20"/>
      <c r="H138" s="7"/>
      <c r="I138" s="20"/>
      <c r="J138" s="20"/>
      <c r="K138" s="20"/>
      <c r="L138" s="20"/>
      <c r="M138" s="20"/>
      <c r="N138" s="7"/>
      <c r="O138" s="21">
        <f t="shared" ref="O138:Y138" si="163">O10/O$142</f>
        <v>0.65319144139066121</v>
      </c>
      <c r="P138" s="21">
        <f t="shared" si="163"/>
        <v>0.61385678365415086</v>
      </c>
      <c r="Q138" s="21">
        <f t="shared" si="163"/>
        <v>0.4451172576589521</v>
      </c>
      <c r="R138" s="21">
        <f t="shared" si="163"/>
        <v>0.44533730375949726</v>
      </c>
      <c r="S138" s="21">
        <f t="shared" si="163"/>
        <v>0.43128781331028521</v>
      </c>
      <c r="T138" s="21">
        <f t="shared" si="163"/>
        <v>0.38596932361076186</v>
      </c>
      <c r="U138" s="21">
        <f t="shared" si="163"/>
        <v>0.36962750716332377</v>
      </c>
      <c r="V138" s="21">
        <f t="shared" si="163"/>
        <v>0.34352720450281427</v>
      </c>
      <c r="W138" s="21">
        <f t="shared" si="163"/>
        <v>0.41245571508484058</v>
      </c>
      <c r="X138" s="21">
        <f t="shared" si="163"/>
        <v>0.34151936310889219</v>
      </c>
      <c r="Y138" s="21">
        <f t="shared" si="163"/>
        <v>0.32808398950131235</v>
      </c>
    </row>
    <row r="139" spans="1:26" x14ac:dyDescent="0.2">
      <c r="B139" s="9" t="s">
        <v>324</v>
      </c>
      <c r="C139" s="20"/>
      <c r="D139" s="20"/>
      <c r="E139" s="20"/>
      <c r="F139" s="20"/>
      <c r="G139" s="20"/>
      <c r="H139" s="7"/>
      <c r="I139" s="20"/>
      <c r="J139" s="20"/>
      <c r="K139" s="20"/>
      <c r="L139" s="20"/>
      <c r="M139" s="20"/>
      <c r="N139" s="7"/>
      <c r="O139" s="21">
        <f t="shared" ref="O139:Y139" si="164">O42/O$142</f>
        <v>0.3563682276283453</v>
      </c>
      <c r="P139" s="21">
        <f t="shared" si="164"/>
        <v>0.40450482811080357</v>
      </c>
      <c r="Q139" s="21">
        <f t="shared" si="164"/>
        <v>0.58636526915379483</v>
      </c>
      <c r="R139" s="21">
        <f t="shared" si="164"/>
        <v>0.61303671914343894</v>
      </c>
      <c r="S139" s="21">
        <f t="shared" si="164"/>
        <v>0.58578219533275711</v>
      </c>
      <c r="T139" s="21">
        <f t="shared" si="164"/>
        <v>0.63414634146341464</v>
      </c>
      <c r="U139" s="21">
        <f t="shared" si="164"/>
        <v>0.65448901623686728</v>
      </c>
      <c r="V139" s="21">
        <f t="shared" si="164"/>
        <v>0.67842401500938088</v>
      </c>
      <c r="W139" s="21">
        <f t="shared" si="164"/>
        <v>0.78780533283609921</v>
      </c>
      <c r="X139" s="21">
        <f t="shared" si="164"/>
        <v>0.68357846444474435</v>
      </c>
      <c r="Y139" s="21">
        <f t="shared" si="164"/>
        <v>0.6801323747575031</v>
      </c>
    </row>
    <row r="140" spans="1:26" x14ac:dyDescent="0.2">
      <c r="A140" s="5" t="s">
        <v>39</v>
      </c>
      <c r="B140" s="13" t="s">
        <v>40</v>
      </c>
      <c r="M140" s="5" t="s">
        <v>151</v>
      </c>
    </row>
    <row r="141" spans="1:26" x14ac:dyDescent="0.2">
      <c r="B141" s="10" t="s">
        <v>45</v>
      </c>
      <c r="C141" s="22">
        <f>C90</f>
        <v>1674</v>
      </c>
      <c r="D141" s="22"/>
      <c r="E141" s="22">
        <f>E90</f>
        <v>2092</v>
      </c>
      <c r="F141" s="22"/>
      <c r="G141" s="22"/>
      <c r="I141" s="22">
        <f>I90</f>
        <v>2520</v>
      </c>
      <c r="J141" s="22">
        <f>J90</f>
        <v>3142</v>
      </c>
      <c r="K141" s="22">
        <f>K90</f>
        <v>3439</v>
      </c>
      <c r="L141" s="38">
        <f t="shared" ref="L141:L144" si="165">X141-K141</f>
        <v>3972</v>
      </c>
      <c r="M141" s="22">
        <f>M90</f>
        <v>4268</v>
      </c>
      <c r="O141" s="22">
        <f t="shared" ref="O141:Y141" si="166">O90</f>
        <v>4435.3</v>
      </c>
      <c r="P141" s="22">
        <f t="shared" si="166"/>
        <v>4732.7000000000007</v>
      </c>
      <c r="Q141" s="22">
        <f t="shared" si="166"/>
        <v>3897.4000000000005</v>
      </c>
      <c r="R141" s="22">
        <f t="shared" si="166"/>
        <v>4567.1000000000004</v>
      </c>
      <c r="S141" s="22">
        <f t="shared" si="166"/>
        <v>4628</v>
      </c>
      <c r="T141" s="22">
        <f t="shared" si="166"/>
        <v>3977</v>
      </c>
      <c r="U141" s="22">
        <f t="shared" si="166"/>
        <v>4188</v>
      </c>
      <c r="V141" s="22">
        <f t="shared" si="166"/>
        <v>5330</v>
      </c>
      <c r="W141" s="22">
        <f t="shared" si="166"/>
        <v>5363</v>
      </c>
      <c r="X141" s="22">
        <f t="shared" si="166"/>
        <v>7411</v>
      </c>
      <c r="Y141" s="22">
        <f t="shared" si="166"/>
        <v>8763</v>
      </c>
      <c r="Z141" s="59">
        <f>(Y141/O141)^(1/(2025-2015))-1</f>
        <v>7.0466254558871455E-2</v>
      </c>
    </row>
    <row r="142" spans="1:26" x14ac:dyDescent="0.2">
      <c r="B142" s="5" t="s">
        <v>41</v>
      </c>
      <c r="C142" s="18">
        <v>1650</v>
      </c>
      <c r="D142" s="18"/>
      <c r="E142" s="18">
        <v>2111</v>
      </c>
      <c r="F142" s="18"/>
      <c r="G142" s="18"/>
      <c r="I142" s="18">
        <v>2469</v>
      </c>
      <c r="J142" s="18">
        <v>3093</v>
      </c>
      <c r="K142" s="18">
        <v>3389</v>
      </c>
      <c r="L142" s="38">
        <f t="shared" si="165"/>
        <v>4022</v>
      </c>
      <c r="M142" s="18">
        <v>4197</v>
      </c>
      <c r="O142" s="18">
        <v>4435.3</v>
      </c>
      <c r="P142" s="18">
        <v>4732.7</v>
      </c>
      <c r="Q142" s="18">
        <v>3897.4</v>
      </c>
      <c r="R142" s="18">
        <v>4567.1000000000004</v>
      </c>
      <c r="S142" s="18">
        <v>4628</v>
      </c>
      <c r="T142" s="18">
        <v>3977</v>
      </c>
      <c r="U142" s="18">
        <v>4188</v>
      </c>
      <c r="V142" s="18">
        <v>5330</v>
      </c>
      <c r="W142" s="18">
        <v>5363</v>
      </c>
      <c r="X142" s="18">
        <v>7411</v>
      </c>
      <c r="Y142" s="18">
        <v>8763</v>
      </c>
    </row>
    <row r="143" spans="1:26" ht="11.25" customHeight="1" x14ac:dyDescent="0.2">
      <c r="B143" s="6" t="s">
        <v>310</v>
      </c>
      <c r="C143" s="69"/>
      <c r="D143" s="70"/>
      <c r="E143" s="70"/>
      <c r="F143" s="70"/>
      <c r="G143" s="70"/>
      <c r="I143" s="71"/>
      <c r="J143" s="71"/>
      <c r="K143" s="72"/>
      <c r="L143" s="73"/>
      <c r="M143" s="74"/>
      <c r="O143" s="75"/>
      <c r="P143" s="77">
        <f>P142/O142-1</f>
        <v>6.7052961468220706E-2</v>
      </c>
      <c r="Q143" s="77">
        <f t="shared" ref="Q143" si="167">Q142/P142-1</f>
        <v>-0.17649544657383731</v>
      </c>
      <c r="R143" s="77">
        <f t="shared" ref="R143" si="168">R142/Q142-1</f>
        <v>0.17183250372042913</v>
      </c>
      <c r="S143" s="77">
        <f t="shared" ref="S143" si="169">S142/R142-1</f>
        <v>1.333450110573442E-2</v>
      </c>
      <c r="T143" s="77">
        <f t="shared" ref="T143" si="170">T142/S142-1</f>
        <v>-0.14066551426101992</v>
      </c>
      <c r="U143" s="77">
        <f t="shared" ref="U143" si="171">U142/T142-1</f>
        <v>5.3055066633140635E-2</v>
      </c>
      <c r="V143" s="77">
        <f t="shared" ref="V143" si="172">V142/U142-1</f>
        <v>0.27268385864374411</v>
      </c>
      <c r="W143" s="77">
        <f t="shared" ref="W143" si="173">W142/V142-1</f>
        <v>6.1913696060038603E-3</v>
      </c>
      <c r="X143" s="77">
        <f t="shared" ref="X143" si="174">X142/W142-1</f>
        <v>0.38187581577475305</v>
      </c>
      <c r="Y143" s="77">
        <f t="shared" ref="Y143" si="175">Y142/X142-1</f>
        <v>0.1824315207124545</v>
      </c>
      <c r="Z143" s="76"/>
    </row>
    <row r="144" spans="1:26" ht="14.25" x14ac:dyDescent="0.35">
      <c r="B144" s="5" t="s">
        <v>42</v>
      </c>
      <c r="C144" s="19">
        <v>-1390</v>
      </c>
      <c r="D144" s="19"/>
      <c r="E144" s="19">
        <v>-1741</v>
      </c>
      <c r="F144" s="19"/>
      <c r="G144" s="19"/>
      <c r="I144" s="19">
        <v>-2118</v>
      </c>
      <c r="J144" s="19">
        <v>-2573</v>
      </c>
      <c r="K144" s="19">
        <v>-2820</v>
      </c>
      <c r="L144" s="39">
        <f t="shared" si="165"/>
        <v>-3358</v>
      </c>
      <c r="M144" s="19">
        <v>-3369</v>
      </c>
      <c r="O144" s="19">
        <v>-3855</v>
      </c>
      <c r="P144" s="19">
        <v>-4074.8</v>
      </c>
      <c r="Q144" s="19">
        <v>-3186.5</v>
      </c>
      <c r="R144" s="19">
        <v>-3715.8</v>
      </c>
      <c r="S144" s="19">
        <v>-3697</v>
      </c>
      <c r="T144" s="19">
        <v>-3484</v>
      </c>
      <c r="U144" s="19">
        <v>-3601</v>
      </c>
      <c r="V144" s="19">
        <v>-4475</v>
      </c>
      <c r="W144" s="19">
        <v>-5245</v>
      </c>
      <c r="X144" s="19">
        <v>-6178</v>
      </c>
      <c r="Y144" s="19">
        <v>-7075</v>
      </c>
    </row>
    <row r="145" spans="2:25" x14ac:dyDescent="0.2">
      <c r="B145" s="7" t="s">
        <v>43</v>
      </c>
      <c r="C145" s="22">
        <f>C142+C144</f>
        <v>260</v>
      </c>
      <c r="D145" s="22"/>
      <c r="E145" s="22">
        <f>E142+E144</f>
        <v>370</v>
      </c>
      <c r="F145" s="22"/>
      <c r="G145" s="22"/>
      <c r="I145" s="22">
        <f>I142+I144</f>
        <v>351</v>
      </c>
      <c r="J145" s="22">
        <f t="shared" ref="J145" si="176">J142+J144</f>
        <v>520</v>
      </c>
      <c r="K145" s="22">
        <f>K142+K144</f>
        <v>569</v>
      </c>
      <c r="L145" s="22">
        <f>L142+L144</f>
        <v>664</v>
      </c>
      <c r="M145" s="22">
        <f>M142+M144</f>
        <v>828</v>
      </c>
      <c r="O145" s="22">
        <f t="shared" ref="O145:T145" si="177">O142+O144</f>
        <v>580.30000000000018</v>
      </c>
      <c r="P145" s="22">
        <f t="shared" si="177"/>
        <v>657.89999999999964</v>
      </c>
      <c r="Q145" s="22">
        <f t="shared" si="177"/>
        <v>710.90000000000009</v>
      </c>
      <c r="R145" s="22">
        <f t="shared" si="177"/>
        <v>851.30000000000018</v>
      </c>
      <c r="S145" s="22">
        <f t="shared" si="177"/>
        <v>931</v>
      </c>
      <c r="T145" s="22">
        <f t="shared" si="177"/>
        <v>493</v>
      </c>
      <c r="U145" s="22">
        <f t="shared" ref="U145" si="178">U142+U144</f>
        <v>587</v>
      </c>
      <c r="V145" s="22">
        <f>V142+V144</f>
        <v>855</v>
      </c>
      <c r="W145" s="22">
        <f>W142+W144</f>
        <v>118</v>
      </c>
      <c r="X145" s="22">
        <f>X142+X144</f>
        <v>1233</v>
      </c>
      <c r="Y145" s="22">
        <f>Y142+Y144</f>
        <v>1688</v>
      </c>
    </row>
    <row r="146" spans="2:25" s="78" customFormat="1" x14ac:dyDescent="0.2">
      <c r="B146" s="79" t="s">
        <v>38</v>
      </c>
      <c r="C146" s="60">
        <f>C145/C$142</f>
        <v>0.15757575757575756</v>
      </c>
      <c r="D146" s="60"/>
      <c r="E146" s="60">
        <f>E145/E$142</f>
        <v>0.1752723827569872</v>
      </c>
      <c r="F146" s="60"/>
      <c r="G146" s="60"/>
      <c r="I146" s="60">
        <f>I145/I$142</f>
        <v>0.14216281895504251</v>
      </c>
      <c r="J146" s="60">
        <f t="shared" ref="J146" si="179">J145/J$142</f>
        <v>0.16812156482379567</v>
      </c>
      <c r="K146" s="60">
        <f>K145/K$142</f>
        <v>0.16789613455296548</v>
      </c>
      <c r="L146" s="60">
        <f>L145/L$142</f>
        <v>0.16509199403281949</v>
      </c>
      <c r="M146" s="60">
        <f>M145/M$142</f>
        <v>0.19728377412437456</v>
      </c>
      <c r="O146" s="60">
        <f t="shared" ref="O146:Y146" si="180">O145/O$142</f>
        <v>0.13083669650305507</v>
      </c>
      <c r="P146" s="60">
        <f t="shared" si="180"/>
        <v>0.13901155788450562</v>
      </c>
      <c r="Q146" s="60">
        <f t="shared" si="180"/>
        <v>0.18240365371786321</v>
      </c>
      <c r="R146" s="60">
        <f t="shared" si="180"/>
        <v>0.18639837095750042</v>
      </c>
      <c r="S146" s="60">
        <f t="shared" si="180"/>
        <v>0.20116681071737252</v>
      </c>
      <c r="T146" s="60">
        <f t="shared" si="180"/>
        <v>0.12396278601961278</v>
      </c>
      <c r="U146" s="60">
        <f t="shared" si="180"/>
        <v>0.14016236867239731</v>
      </c>
      <c r="V146" s="60">
        <f t="shared" si="180"/>
        <v>0.16041275797373358</v>
      </c>
      <c r="W146" s="60">
        <f t="shared" si="180"/>
        <v>2.2002610479209397E-2</v>
      </c>
      <c r="X146" s="60">
        <f t="shared" si="180"/>
        <v>0.16637430846039672</v>
      </c>
      <c r="Y146" s="60">
        <f t="shared" si="180"/>
        <v>0.19262809540111833</v>
      </c>
    </row>
    <row r="147" spans="2:25" x14ac:dyDescent="0.2">
      <c r="B147" s="5" t="s">
        <v>46</v>
      </c>
      <c r="C147" s="18">
        <v>-26</v>
      </c>
      <c r="D147" s="18"/>
      <c r="E147" s="18">
        <v>-21</v>
      </c>
      <c r="F147" s="18"/>
      <c r="G147" s="18"/>
      <c r="I147" s="18">
        <v>-47</v>
      </c>
      <c r="J147" s="18">
        <v>-54</v>
      </c>
      <c r="K147" s="18">
        <v>-49</v>
      </c>
      <c r="L147" s="38">
        <f t="shared" ref="L147:L152" si="181">X147-K147</f>
        <v>-57</v>
      </c>
      <c r="M147" s="18">
        <v>-47</v>
      </c>
      <c r="O147" s="18">
        <v>-66.5</v>
      </c>
      <c r="P147" s="18">
        <v>-71.099999999999994</v>
      </c>
      <c r="Q147" s="18">
        <v>-51.7</v>
      </c>
      <c r="R147" s="18">
        <v>-60.7</v>
      </c>
      <c r="S147" s="18">
        <v>-66</v>
      </c>
      <c r="T147" s="18">
        <v>-61</v>
      </c>
      <c r="U147" s="18">
        <v>-83</v>
      </c>
      <c r="V147" s="18">
        <v>-106</v>
      </c>
      <c r="W147" s="18">
        <v>-114</v>
      </c>
      <c r="X147" s="18">
        <v>-106</v>
      </c>
      <c r="Y147" s="18">
        <v>-111</v>
      </c>
    </row>
    <row r="148" spans="2:25" x14ac:dyDescent="0.2">
      <c r="B148" s="123" t="s">
        <v>406</v>
      </c>
      <c r="C148" s="18"/>
      <c r="D148" s="18"/>
      <c r="E148" s="18"/>
      <c r="F148" s="18"/>
      <c r="G148" s="18"/>
      <c r="I148" s="18"/>
      <c r="J148" s="18"/>
      <c r="K148" s="18"/>
      <c r="L148" s="38"/>
      <c r="M148" s="18"/>
      <c r="O148" s="18"/>
      <c r="P148" s="18"/>
      <c r="Q148" s="18"/>
      <c r="R148" s="18"/>
      <c r="S148" s="18"/>
      <c r="T148" s="18"/>
      <c r="U148" s="18"/>
      <c r="V148" s="18"/>
      <c r="W148" s="18"/>
      <c r="X148" s="18"/>
      <c r="Y148" s="23">
        <f>'R&amp;D Capitalization'!C20</f>
        <v>-22.625</v>
      </c>
    </row>
    <row r="149" spans="2:25" x14ac:dyDescent="0.2">
      <c r="B149" s="5" t="s">
        <v>47</v>
      </c>
      <c r="C149" s="18">
        <v>-52</v>
      </c>
      <c r="D149" s="18"/>
      <c r="E149" s="18">
        <v>-82</v>
      </c>
      <c r="F149" s="18"/>
      <c r="G149" s="18"/>
      <c r="I149" s="18">
        <v>-83</v>
      </c>
      <c r="J149" s="18">
        <v>-70</v>
      </c>
      <c r="K149" s="18">
        <v>-68</v>
      </c>
      <c r="L149" s="38">
        <f t="shared" si="181"/>
        <v>-70</v>
      </c>
      <c r="M149" s="18">
        <v>-82</v>
      </c>
      <c r="O149" s="18">
        <v>-94.3</v>
      </c>
      <c r="P149" s="18">
        <v>-104</v>
      </c>
      <c r="Q149" s="18">
        <v>-102.2</v>
      </c>
      <c r="R149" s="18">
        <v>-115.1</v>
      </c>
      <c r="S149" s="18">
        <v>-119</v>
      </c>
      <c r="T149" s="18">
        <v>-146</v>
      </c>
      <c r="U149" s="18">
        <v>-124</v>
      </c>
      <c r="V149" s="18">
        <v>-143</v>
      </c>
      <c r="W149" s="18">
        <v>-141</v>
      </c>
      <c r="X149" s="18">
        <v>-138</v>
      </c>
      <c r="Y149" s="18">
        <v>-157</v>
      </c>
    </row>
    <row r="150" spans="2:25" x14ac:dyDescent="0.2">
      <c r="B150" s="5" t="s">
        <v>48</v>
      </c>
      <c r="C150" s="18">
        <v>0</v>
      </c>
      <c r="D150" s="18"/>
      <c r="E150" s="18">
        <v>0</v>
      </c>
      <c r="F150" s="18"/>
      <c r="G150" s="18"/>
      <c r="I150" s="18">
        <v>-51</v>
      </c>
      <c r="J150" s="18">
        <v>-57</v>
      </c>
      <c r="K150" s="18">
        <v>-61</v>
      </c>
      <c r="L150" s="38">
        <f t="shared" si="181"/>
        <v>-67</v>
      </c>
      <c r="M150" s="18">
        <v>-78</v>
      </c>
      <c r="O150" s="18">
        <v>-65.599999999999994</v>
      </c>
      <c r="P150" s="18">
        <v>-70.8</v>
      </c>
      <c r="Q150" s="18">
        <v>-76.8</v>
      </c>
      <c r="R150" s="18">
        <v>-83.6</v>
      </c>
      <c r="S150" s="18">
        <v>-85</v>
      </c>
      <c r="T150" s="18">
        <v>-79</v>
      </c>
      <c r="U150" s="18">
        <v>-92</v>
      </c>
      <c r="V150" s="18">
        <v>-111</v>
      </c>
      <c r="W150" s="18">
        <v>-109</v>
      </c>
      <c r="X150" s="18">
        <v>-128</v>
      </c>
      <c r="Y150" s="18">
        <v>-175</v>
      </c>
    </row>
    <row r="151" spans="2:25" x14ac:dyDescent="0.2">
      <c r="B151" s="5" t="s">
        <v>133</v>
      </c>
      <c r="C151" s="18">
        <v>-9</v>
      </c>
      <c r="D151" s="18"/>
      <c r="E151" s="18">
        <v>-11</v>
      </c>
      <c r="F151" s="18"/>
      <c r="G151" s="18"/>
      <c r="I151" s="18">
        <v>17</v>
      </c>
      <c r="J151" s="18">
        <v>35</v>
      </c>
      <c r="K151" s="23">
        <f>8-24</f>
        <v>-16</v>
      </c>
      <c r="L151" s="38">
        <f t="shared" si="181"/>
        <v>-5</v>
      </c>
      <c r="M151" s="23">
        <f>9-28</f>
        <v>-19</v>
      </c>
      <c r="O151" s="23">
        <f>14.6-13.6</f>
        <v>1</v>
      </c>
      <c r="P151" s="23">
        <f>17.2-7.1</f>
        <v>10.1</v>
      </c>
      <c r="Q151" s="23">
        <f>7.9-10.8</f>
        <v>-2.9000000000000004</v>
      </c>
      <c r="R151" s="23">
        <f>9-26.2</f>
        <v>-17.2</v>
      </c>
      <c r="S151" s="23">
        <f>12-51</f>
        <v>-39</v>
      </c>
      <c r="T151" s="23">
        <f>48-62</f>
        <v>-14</v>
      </c>
      <c r="U151" s="23">
        <f>41-57</f>
        <v>-16</v>
      </c>
      <c r="V151" s="23">
        <f>23-72</f>
        <v>-49</v>
      </c>
      <c r="W151" s="23">
        <f>43-57</f>
        <v>-14</v>
      </c>
      <c r="X151" s="23">
        <f>38-59</f>
        <v>-21</v>
      </c>
      <c r="Y151" s="23">
        <f>49-75</f>
        <v>-26</v>
      </c>
    </row>
    <row r="152" spans="2:25" ht="14.25" x14ac:dyDescent="0.35">
      <c r="B152" s="5" t="s">
        <v>306</v>
      </c>
      <c r="C152" s="19">
        <v>17</v>
      </c>
      <c r="D152" s="19"/>
      <c r="E152" s="19">
        <v>59</v>
      </c>
      <c r="F152" s="19"/>
      <c r="G152" s="19"/>
      <c r="I152" s="19">
        <f>-31+27</f>
        <v>-4</v>
      </c>
      <c r="J152" s="39">
        <f>-32+41</f>
        <v>9</v>
      </c>
      <c r="K152" s="19">
        <v>45</v>
      </c>
      <c r="L152" s="39">
        <f t="shared" si="181"/>
        <v>70</v>
      </c>
      <c r="M152" s="19">
        <v>102</v>
      </c>
      <c r="O152" s="19">
        <f>29.1+1.5</f>
        <v>30.6</v>
      </c>
      <c r="P152" s="24">
        <f>28.6+2.1</f>
        <v>30.700000000000003</v>
      </c>
      <c r="Q152" s="24">
        <f>42.4+1.5</f>
        <v>43.9</v>
      </c>
      <c r="R152" s="24">
        <f>43.8+1.7</f>
        <v>45.5</v>
      </c>
      <c r="S152" s="24">
        <f>80+3</f>
        <v>83</v>
      </c>
      <c r="T152" s="24">
        <f>69+1</f>
        <v>70</v>
      </c>
      <c r="U152" s="24">
        <f>81+2</f>
        <v>83</v>
      </c>
      <c r="V152" s="24">
        <f>60+3</f>
        <v>63</v>
      </c>
      <c r="W152" s="19">
        <v>99</v>
      </c>
      <c r="X152" s="19">
        <v>115</v>
      </c>
      <c r="Y152" s="19">
        <v>159</v>
      </c>
    </row>
    <row r="153" spans="2:25" x14ac:dyDescent="0.2">
      <c r="B153" s="7" t="s">
        <v>24</v>
      </c>
      <c r="C153" s="22">
        <f>C145+C147+C149+C150+C151+C152</f>
        <v>190</v>
      </c>
      <c r="D153" s="22"/>
      <c r="E153" s="22">
        <f>E145+E147+E149+E150+E151+E152</f>
        <v>315</v>
      </c>
      <c r="F153" s="22"/>
      <c r="G153" s="22"/>
      <c r="I153" s="22">
        <f>I145+I147+I149+I150+I151+I152</f>
        <v>183</v>
      </c>
      <c r="J153" s="22">
        <f t="shared" ref="J153" si="182">J145+J147+J149+J150+J151+J152</f>
        <v>383</v>
      </c>
      <c r="K153" s="22">
        <f>K145+K147+K149+K150+K151+K152</f>
        <v>420</v>
      </c>
      <c r="L153" s="22">
        <f>L145+L147+L149+L150+L151+L152</f>
        <v>535</v>
      </c>
      <c r="M153" s="22">
        <f>M145+M147+M149+M150+M151+M152</f>
        <v>704</v>
      </c>
      <c r="O153" s="22">
        <f t="shared" ref="O153:T153" si="183">O145+O147+O149+O150+O151+O152</f>
        <v>385.50000000000023</v>
      </c>
      <c r="P153" s="22">
        <f t="shared" si="183"/>
        <v>452.79999999999961</v>
      </c>
      <c r="Q153" s="22">
        <f t="shared" si="183"/>
        <v>521.20000000000005</v>
      </c>
      <c r="R153" s="22">
        <f t="shared" si="183"/>
        <v>620.20000000000005</v>
      </c>
      <c r="S153" s="22">
        <f t="shared" si="183"/>
        <v>705</v>
      </c>
      <c r="T153" s="22">
        <f t="shared" si="183"/>
        <v>263</v>
      </c>
      <c r="U153" s="22">
        <f t="shared" ref="U153" si="184">U145+U147+U149+U150+U151+U152</f>
        <v>355</v>
      </c>
      <c r="V153" s="22">
        <f>V145+V147+V149+V150+V151+V152</f>
        <v>509</v>
      </c>
      <c r="W153" s="22">
        <f>W145+W147+W149+W150+W151+W152</f>
        <v>-161</v>
      </c>
      <c r="X153" s="22">
        <f>X145+X147+X149+X150+X151+X152</f>
        <v>955</v>
      </c>
      <c r="Y153" s="22">
        <f>Y145+Y147+Y149+Y150+Y151+Y152+Y148</f>
        <v>1355.375</v>
      </c>
    </row>
    <row r="154" spans="2:25" x14ac:dyDescent="0.2">
      <c r="B154" s="9" t="s">
        <v>38</v>
      </c>
      <c r="C154" s="21">
        <f>C153/C$142</f>
        <v>0.11515151515151516</v>
      </c>
      <c r="D154" s="21"/>
      <c r="E154" s="21">
        <f>E153/E$142</f>
        <v>0.14921837991473236</v>
      </c>
      <c r="F154" s="21"/>
      <c r="G154" s="21"/>
      <c r="I154" s="21">
        <f>I153/I$142</f>
        <v>7.4119076549210211E-2</v>
      </c>
      <c r="J154" s="21">
        <f t="shared" ref="J154" si="185">J153/J$142</f>
        <v>0.12382799870675719</v>
      </c>
      <c r="K154" s="21">
        <f>K153/K$142</f>
        <v>0.12393036293892004</v>
      </c>
      <c r="L154" s="21">
        <f>L153/L$142</f>
        <v>0.13301839880656391</v>
      </c>
      <c r="M154" s="21">
        <f>M153/M$142</f>
        <v>0.16773886109125566</v>
      </c>
      <c r="O154" s="21">
        <f t="shared" ref="O154:Y154" si="186">O153/O$142</f>
        <v>8.6916330349694537E-2</v>
      </c>
      <c r="P154" s="21">
        <f t="shared" si="186"/>
        <v>9.5674773385171177E-2</v>
      </c>
      <c r="Q154" s="21">
        <f t="shared" si="186"/>
        <v>0.13373017909375481</v>
      </c>
      <c r="R154" s="21">
        <f t="shared" si="186"/>
        <v>0.13579733309977884</v>
      </c>
      <c r="S154" s="21">
        <f t="shared" si="186"/>
        <v>0.15233362143474502</v>
      </c>
      <c r="T154" s="21">
        <f t="shared" si="186"/>
        <v>6.6130248931355287E-2</v>
      </c>
      <c r="U154" s="21">
        <f t="shared" si="186"/>
        <v>8.4765998089780331E-2</v>
      </c>
      <c r="V154" s="21">
        <f t="shared" si="186"/>
        <v>9.5497185741088175E-2</v>
      </c>
      <c r="W154" s="21">
        <f t="shared" si="186"/>
        <v>-3.0020510908073839E-2</v>
      </c>
      <c r="X154" s="21">
        <f t="shared" si="186"/>
        <v>0.12886250168668195</v>
      </c>
      <c r="Y154" s="21">
        <f t="shared" si="186"/>
        <v>0.15467020426794476</v>
      </c>
    </row>
    <row r="155" spans="2:25" x14ac:dyDescent="0.2">
      <c r="B155" s="62" t="s">
        <v>300</v>
      </c>
      <c r="C155" s="63"/>
      <c r="D155" s="63"/>
      <c r="E155" s="63"/>
      <c r="F155" s="63"/>
      <c r="G155" s="63"/>
      <c r="H155" s="63"/>
      <c r="I155" s="64"/>
      <c r="J155" s="64"/>
      <c r="K155" s="64"/>
      <c r="L155" s="64"/>
      <c r="M155" s="64"/>
      <c r="N155" s="63"/>
      <c r="O155" s="64">
        <f t="shared" ref="O155:Y155" si="187">O153+O212+O213</f>
        <v>548.70000000000027</v>
      </c>
      <c r="P155" s="64">
        <f t="shared" si="187"/>
        <v>628.09999999999968</v>
      </c>
      <c r="Q155" s="64">
        <f t="shared" si="187"/>
        <v>714.7</v>
      </c>
      <c r="R155" s="64">
        <f t="shared" si="187"/>
        <v>820.7</v>
      </c>
      <c r="S155" s="64">
        <f t="shared" si="187"/>
        <v>965</v>
      </c>
      <c r="T155" s="64">
        <f t="shared" si="187"/>
        <v>615</v>
      </c>
      <c r="U155" s="64">
        <f t="shared" si="187"/>
        <v>712</v>
      </c>
      <c r="V155" s="64">
        <f t="shared" si="187"/>
        <v>865</v>
      </c>
      <c r="W155" s="64">
        <f t="shared" si="187"/>
        <v>171</v>
      </c>
      <c r="X155" s="64">
        <f t="shared" si="187"/>
        <v>1438</v>
      </c>
      <c r="Y155" s="64">
        <f t="shared" si="187"/>
        <v>1771.375</v>
      </c>
    </row>
    <row r="156" spans="2:25" x14ac:dyDescent="0.2">
      <c r="B156" s="65" t="s">
        <v>31</v>
      </c>
      <c r="C156" s="66"/>
      <c r="D156" s="66"/>
      <c r="E156" s="66"/>
      <c r="F156" s="66"/>
      <c r="G156" s="66"/>
      <c r="H156" s="66"/>
      <c r="I156" s="67"/>
      <c r="J156" s="67"/>
      <c r="K156" s="67"/>
      <c r="L156" s="67"/>
      <c r="M156" s="67"/>
      <c r="N156" s="66"/>
      <c r="O156" s="68">
        <f>O155/O$40</f>
        <v>0.34714665316968257</v>
      </c>
      <c r="P156" s="68">
        <f>P155/P$40</f>
        <v>0.3280923526953613</v>
      </c>
      <c r="Q156" s="68">
        <f>Q155/Q$40</f>
        <v>0.31273793375049225</v>
      </c>
      <c r="R156" s="68">
        <f t="shared" ref="R156" si="188">R155/R$40</f>
        <v>0.29312808057718409</v>
      </c>
      <c r="S156" s="68">
        <f t="shared" ref="S156" si="189">S155/S$40</f>
        <v>0.35595721136112135</v>
      </c>
      <c r="T156" s="68">
        <f t="shared" ref="T156" si="190">T155/T$40</f>
        <v>0.24385408406026962</v>
      </c>
      <c r="U156" s="68">
        <f t="shared" ref="U156" si="191">U155/U$40</f>
        <v>0.25975921196643559</v>
      </c>
      <c r="V156" s="68">
        <f t="shared" ref="V156" si="192">V155/V$40</f>
        <v>0.23921460176991149</v>
      </c>
      <c r="W156" s="68">
        <f t="shared" ref="W156" si="193">W155/W$40</f>
        <v>4.0482954545454544E-2</v>
      </c>
      <c r="X156" s="68">
        <f t="shared" ref="X156" si="194">X155/X$40</f>
        <v>0.28385313857086458</v>
      </c>
      <c r="Y156" s="68">
        <f t="shared" ref="Y156" si="195">Y155/Y$40</f>
        <v>0.29721057046979865</v>
      </c>
    </row>
    <row r="157" spans="2:25" x14ac:dyDescent="0.2">
      <c r="B157" s="5" t="s">
        <v>49</v>
      </c>
      <c r="I157" s="18">
        <v>-15</v>
      </c>
      <c r="J157" s="18">
        <v>-1</v>
      </c>
      <c r="K157" s="18">
        <v>-5</v>
      </c>
      <c r="L157" s="38">
        <f t="shared" ref="L157:L158" si="196">X157-K157</f>
        <v>-17</v>
      </c>
      <c r="M157" s="18">
        <v>-24</v>
      </c>
      <c r="O157" s="18">
        <f>2.4-3.5</f>
        <v>-1.1000000000000001</v>
      </c>
      <c r="P157" s="18">
        <f>0.8-12.7</f>
        <v>-11.899999999999999</v>
      </c>
      <c r="Q157" s="18">
        <v>-7.2</v>
      </c>
      <c r="R157" s="18">
        <v>-0.7</v>
      </c>
      <c r="S157" s="18">
        <v>-17</v>
      </c>
      <c r="T157" s="18">
        <v>-20</v>
      </c>
      <c r="U157" s="18">
        <v>-29</v>
      </c>
      <c r="V157" s="18">
        <v>-22</v>
      </c>
      <c r="W157" s="18">
        <v>-12</v>
      </c>
      <c r="X157" s="18">
        <v>-22</v>
      </c>
      <c r="Y157" s="18">
        <v>-56</v>
      </c>
    </row>
    <row r="158" spans="2:25" ht="14.25" x14ac:dyDescent="0.35">
      <c r="B158" s="5" t="s">
        <v>50</v>
      </c>
      <c r="I158" s="19">
        <v>-3</v>
      </c>
      <c r="J158" s="19">
        <v>-21</v>
      </c>
      <c r="K158" s="19">
        <v>-17</v>
      </c>
      <c r="L158" s="39">
        <f t="shared" si="196"/>
        <v>-21</v>
      </c>
      <c r="M158" s="19">
        <v>43</v>
      </c>
      <c r="O158" s="19">
        <v>-63.7</v>
      </c>
      <c r="P158" s="19">
        <v>-25.3</v>
      </c>
      <c r="Q158" s="19">
        <v>-35.9</v>
      </c>
      <c r="R158" s="19">
        <v>-12.2</v>
      </c>
      <c r="S158" s="19">
        <v>-22</v>
      </c>
      <c r="T158" s="19">
        <v>-47</v>
      </c>
      <c r="U158" s="19">
        <v>-10</v>
      </c>
      <c r="V158" s="19">
        <v>-23</v>
      </c>
      <c r="W158" s="19">
        <v>-32</v>
      </c>
      <c r="X158" s="19">
        <v>-38</v>
      </c>
      <c r="Y158" s="19">
        <v>39</v>
      </c>
    </row>
    <row r="159" spans="2:25" x14ac:dyDescent="0.2">
      <c r="B159" s="5" t="s">
        <v>51</v>
      </c>
      <c r="C159" s="25">
        <v>-12</v>
      </c>
      <c r="D159" s="25"/>
      <c r="E159" s="25">
        <v>1</v>
      </c>
      <c r="F159" s="25"/>
      <c r="G159" s="25"/>
      <c r="I159" s="22">
        <f>I157+I158</f>
        <v>-18</v>
      </c>
      <c r="J159" s="22">
        <f t="shared" ref="J159" si="197">J157+J158</f>
        <v>-22</v>
      </c>
      <c r="K159" s="22">
        <f>K157+K158</f>
        <v>-22</v>
      </c>
      <c r="L159" s="22">
        <f>L157+L158</f>
        <v>-38</v>
      </c>
      <c r="M159" s="22">
        <f>M157+M158</f>
        <v>19</v>
      </c>
      <c r="O159" s="22">
        <f t="shared" ref="O159:T159" si="198">O157+O158</f>
        <v>-64.8</v>
      </c>
      <c r="P159" s="22">
        <f t="shared" si="198"/>
        <v>-37.200000000000003</v>
      </c>
      <c r="Q159" s="22">
        <f t="shared" si="198"/>
        <v>-43.1</v>
      </c>
      <c r="R159" s="22">
        <f t="shared" si="198"/>
        <v>-12.899999999999999</v>
      </c>
      <c r="S159" s="22">
        <f t="shared" si="198"/>
        <v>-39</v>
      </c>
      <c r="T159" s="22">
        <f t="shared" si="198"/>
        <v>-67</v>
      </c>
      <c r="U159" s="22">
        <f t="shared" ref="U159" si="199">U157+U158</f>
        <v>-39</v>
      </c>
      <c r="V159" s="22">
        <f>V157+V158</f>
        <v>-45</v>
      </c>
      <c r="W159" s="22">
        <f>W157+W158</f>
        <v>-44</v>
      </c>
      <c r="X159" s="22">
        <f>X157+X158</f>
        <v>-60</v>
      </c>
      <c r="Y159" s="22">
        <f>Y157+Y158</f>
        <v>-17</v>
      </c>
    </row>
    <row r="160" spans="2:25" x14ac:dyDescent="0.2">
      <c r="B160" s="7" t="s">
        <v>321</v>
      </c>
      <c r="C160" s="22">
        <f>C153+C159</f>
        <v>178</v>
      </c>
      <c r="D160" s="22"/>
      <c r="E160" s="22">
        <f>E153+E159</f>
        <v>316</v>
      </c>
      <c r="F160" s="22"/>
      <c r="G160" s="22"/>
      <c r="I160" s="22">
        <f>I153+I159</f>
        <v>165</v>
      </c>
      <c r="J160" s="22">
        <f t="shared" ref="J160" si="200">J153+J159</f>
        <v>361</v>
      </c>
      <c r="K160" s="22">
        <f>K153+K159</f>
        <v>398</v>
      </c>
      <c r="L160" s="22">
        <f>L153+L159</f>
        <v>497</v>
      </c>
      <c r="M160" s="22">
        <f>M153+M159</f>
        <v>723</v>
      </c>
      <c r="O160" s="22">
        <f t="shared" ref="O160:T160" si="201">O153+O159</f>
        <v>320.70000000000022</v>
      </c>
      <c r="P160" s="22">
        <f t="shared" si="201"/>
        <v>415.59999999999962</v>
      </c>
      <c r="Q160" s="22">
        <f t="shared" si="201"/>
        <v>478.1</v>
      </c>
      <c r="R160" s="22">
        <f t="shared" si="201"/>
        <v>607.30000000000007</v>
      </c>
      <c r="S160" s="22">
        <f t="shared" si="201"/>
        <v>666</v>
      </c>
      <c r="T160" s="22">
        <f t="shared" si="201"/>
        <v>196</v>
      </c>
      <c r="U160" s="22">
        <f t="shared" ref="U160" si="202">U153+U159</f>
        <v>316</v>
      </c>
      <c r="V160" s="22">
        <f>V153+V159</f>
        <v>464</v>
      </c>
      <c r="W160" s="22">
        <f>W153+W159</f>
        <v>-205</v>
      </c>
      <c r="X160" s="22">
        <f>X153+X159</f>
        <v>895</v>
      </c>
      <c r="Y160" s="22">
        <f>Y153+Y159</f>
        <v>1338.375</v>
      </c>
    </row>
    <row r="161" spans="2:26" ht="14.25" x14ac:dyDescent="0.35">
      <c r="B161" s="5" t="s">
        <v>52</v>
      </c>
      <c r="C161" s="19">
        <v>-50</v>
      </c>
      <c r="D161" s="19"/>
      <c r="E161" s="19">
        <v>-91</v>
      </c>
      <c r="F161" s="19"/>
      <c r="G161" s="19"/>
      <c r="I161" s="19">
        <v>-46</v>
      </c>
      <c r="J161" s="19">
        <v>-106</v>
      </c>
      <c r="K161" s="19">
        <v>-111</v>
      </c>
      <c r="L161" s="39">
        <f t="shared" ref="L161" si="203">X161-K161</f>
        <v>-142</v>
      </c>
      <c r="M161" s="19">
        <v>-211</v>
      </c>
      <c r="O161" s="19">
        <v>-103.2</v>
      </c>
      <c r="P161" s="19">
        <v>-103</v>
      </c>
      <c r="Q161" s="19">
        <v>-119.4</v>
      </c>
      <c r="R161" s="19">
        <v>-154</v>
      </c>
      <c r="S161" s="19">
        <v>-178</v>
      </c>
      <c r="T161" s="19">
        <v>-48</v>
      </c>
      <c r="U161" s="19">
        <v>-84</v>
      </c>
      <c r="V161" s="19">
        <v>-130</v>
      </c>
      <c r="W161" s="19">
        <v>-108</v>
      </c>
      <c r="X161" s="19">
        <v>-253</v>
      </c>
      <c r="Y161" s="19">
        <v>-335</v>
      </c>
    </row>
    <row r="162" spans="2:26" x14ac:dyDescent="0.2">
      <c r="B162" s="7" t="s">
        <v>53</v>
      </c>
      <c r="C162" s="22">
        <f>C160+C161</f>
        <v>128</v>
      </c>
      <c r="D162" s="22"/>
      <c r="E162" s="22">
        <f>E160+E161</f>
        <v>225</v>
      </c>
      <c r="F162" s="22"/>
      <c r="G162" s="22"/>
      <c r="I162" s="22">
        <f>I160+I161</f>
        <v>119</v>
      </c>
      <c r="J162" s="22">
        <f>J160+J161</f>
        <v>255</v>
      </c>
      <c r="K162" s="22">
        <f>K160+K161</f>
        <v>287</v>
      </c>
      <c r="L162" s="22">
        <f>L160+L161</f>
        <v>355</v>
      </c>
      <c r="M162" s="22">
        <f>M160+M161</f>
        <v>512</v>
      </c>
      <c r="O162" s="22">
        <f t="shared" ref="O162:Y162" si="204">O160+O161</f>
        <v>217.50000000000023</v>
      </c>
      <c r="P162" s="22">
        <f t="shared" si="204"/>
        <v>312.59999999999962</v>
      </c>
      <c r="Q162" s="22">
        <f t="shared" si="204"/>
        <v>358.70000000000005</v>
      </c>
      <c r="R162" s="22">
        <f t="shared" si="204"/>
        <v>453.30000000000007</v>
      </c>
      <c r="S162" s="22">
        <f t="shared" si="204"/>
        <v>488</v>
      </c>
      <c r="T162" s="22">
        <f t="shared" si="204"/>
        <v>148</v>
      </c>
      <c r="U162" s="22">
        <f t="shared" si="204"/>
        <v>232</v>
      </c>
      <c r="V162" s="22">
        <f t="shared" si="204"/>
        <v>334</v>
      </c>
      <c r="W162" s="22">
        <f t="shared" si="204"/>
        <v>-313</v>
      </c>
      <c r="X162" s="22">
        <f t="shared" si="204"/>
        <v>642</v>
      </c>
      <c r="Y162" s="22">
        <f t="shared" si="204"/>
        <v>1003.375</v>
      </c>
    </row>
    <row r="163" spans="2:26" x14ac:dyDescent="0.2">
      <c r="B163" s="9" t="s">
        <v>38</v>
      </c>
      <c r="C163" s="21">
        <f>C162/C$142</f>
        <v>7.7575757575757576E-2</v>
      </c>
      <c r="D163" s="21"/>
      <c r="E163" s="21">
        <f>E162/E$142</f>
        <v>0.10658455708195168</v>
      </c>
      <c r="F163" s="21"/>
      <c r="G163" s="21"/>
      <c r="I163" s="21">
        <f>I162/I$142</f>
        <v>4.8197650870797894E-2</v>
      </c>
      <c r="J163" s="21">
        <f t="shared" ref="J163" si="205">J162/J$142</f>
        <v>8.2444228903976721E-2</v>
      </c>
      <c r="K163" s="21">
        <f>K162/K$142</f>
        <v>8.4685748008262021E-2</v>
      </c>
      <c r="L163" s="21">
        <f>L162/L$142</f>
        <v>8.826454500248633E-2</v>
      </c>
      <c r="M163" s="21">
        <f>M162/M$142</f>
        <v>0.12199189897545866</v>
      </c>
      <c r="O163" s="21">
        <f t="shared" ref="O163:Y163" si="206">O162/O$142</f>
        <v>4.9038396500800448E-2</v>
      </c>
      <c r="P163" s="21">
        <f t="shared" si="206"/>
        <v>6.6051091343207816E-2</v>
      </c>
      <c r="Q163" s="21">
        <f t="shared" si="206"/>
        <v>9.2035716118437944E-2</v>
      </c>
      <c r="R163" s="21">
        <f t="shared" si="206"/>
        <v>9.925335552100896E-2</v>
      </c>
      <c r="S163" s="21">
        <f t="shared" si="206"/>
        <v>0.10544511668107173</v>
      </c>
      <c r="T163" s="21">
        <f t="shared" si="206"/>
        <v>3.721398038722655E-2</v>
      </c>
      <c r="U163" s="21">
        <f t="shared" si="206"/>
        <v>5.5396370582617004E-2</v>
      </c>
      <c r="V163" s="21">
        <f t="shared" si="206"/>
        <v>6.2664165103189493E-2</v>
      </c>
      <c r="W163" s="21">
        <f t="shared" si="206"/>
        <v>-5.8362856610106283E-2</v>
      </c>
      <c r="X163" s="21">
        <f t="shared" si="206"/>
        <v>8.6627985427067872E-2</v>
      </c>
      <c r="Y163" s="21">
        <f t="shared" si="206"/>
        <v>0.11450131233595801</v>
      </c>
    </row>
    <row r="164" spans="2:26" x14ac:dyDescent="0.2">
      <c r="B164" s="5" t="s">
        <v>54</v>
      </c>
      <c r="C164" s="18">
        <v>158</v>
      </c>
      <c r="D164" s="18"/>
      <c r="E164" s="18">
        <v>221</v>
      </c>
      <c r="F164" s="18"/>
      <c r="G164" s="18"/>
      <c r="I164" s="18">
        <v>119</v>
      </c>
      <c r="J164" s="18">
        <v>255</v>
      </c>
      <c r="K164" s="18">
        <v>285</v>
      </c>
      <c r="L164" s="22">
        <f>L159+L163</f>
        <v>-37.911735454997512</v>
      </c>
      <c r="M164" s="18">
        <v>504</v>
      </c>
      <c r="O164" s="18">
        <v>217.6</v>
      </c>
      <c r="P164" s="18">
        <v>312.2</v>
      </c>
      <c r="Q164" s="18">
        <v>355.1</v>
      </c>
      <c r="R164" s="18">
        <v>447</v>
      </c>
      <c r="S164" s="18">
        <v>478</v>
      </c>
      <c r="T164" s="18">
        <v>139</v>
      </c>
      <c r="U164" s="18">
        <v>222</v>
      </c>
      <c r="V164" s="18">
        <v>331</v>
      </c>
      <c r="W164" s="18">
        <v>-102</v>
      </c>
      <c r="X164" s="18">
        <v>633</v>
      </c>
      <c r="Y164" s="18">
        <v>1016</v>
      </c>
    </row>
    <row r="165" spans="2:26" x14ac:dyDescent="0.2">
      <c r="B165" s="5" t="s">
        <v>55</v>
      </c>
      <c r="I165" s="22">
        <f>I162-I164</f>
        <v>0</v>
      </c>
      <c r="J165" s="22">
        <f t="shared" ref="J165" si="207">J162-J164</f>
        <v>0</v>
      </c>
      <c r="K165" s="22">
        <f>K162-K164</f>
        <v>2</v>
      </c>
      <c r="L165" s="22">
        <f>L160+L164</f>
        <v>459.08826454500252</v>
      </c>
      <c r="M165" s="22">
        <f>M162-M164</f>
        <v>8</v>
      </c>
      <c r="O165" s="22">
        <f t="shared" ref="O165:T165" si="208">O162-O164</f>
        <v>-9.9999999999766942E-2</v>
      </c>
      <c r="P165" s="22">
        <f t="shared" si="208"/>
        <v>0.3999999999996362</v>
      </c>
      <c r="Q165" s="22">
        <f t="shared" si="208"/>
        <v>3.6000000000000227</v>
      </c>
      <c r="R165" s="22">
        <f t="shared" si="208"/>
        <v>6.3000000000000682</v>
      </c>
      <c r="S165" s="22">
        <f t="shared" si="208"/>
        <v>10</v>
      </c>
      <c r="T165" s="22">
        <f t="shared" si="208"/>
        <v>9</v>
      </c>
      <c r="U165" s="22">
        <f t="shared" ref="U165" si="209">U162-U164</f>
        <v>10</v>
      </c>
      <c r="V165" s="22">
        <f>V162-V164</f>
        <v>3</v>
      </c>
      <c r="W165" s="22">
        <f>W162-W164</f>
        <v>-211</v>
      </c>
      <c r="X165" s="22">
        <f>X162-X164</f>
        <v>9</v>
      </c>
      <c r="Y165" s="22">
        <f>Y162-Y164</f>
        <v>-12.625</v>
      </c>
    </row>
    <row r="166" spans="2:26" x14ac:dyDescent="0.2">
      <c r="B166" s="5" t="s">
        <v>4</v>
      </c>
      <c r="I166" s="25">
        <v>53.35624</v>
      </c>
      <c r="J166" s="25">
        <v>53.611952000000002</v>
      </c>
      <c r="K166" s="25">
        <v>53.770913999999998</v>
      </c>
      <c r="L166" s="22"/>
      <c r="M166" s="25">
        <v>53.785246000000001</v>
      </c>
      <c r="N166" s="32"/>
      <c r="O166" s="25">
        <v>51.073326000000002</v>
      </c>
      <c r="P166" s="25">
        <v>51.262219999999999</v>
      </c>
      <c r="Q166" s="25">
        <v>51.442495000000001</v>
      </c>
      <c r="R166" s="25">
        <v>51.580928999999998</v>
      </c>
      <c r="S166" s="25">
        <v>51.813526000000003</v>
      </c>
      <c r="T166" s="25">
        <v>52.985567000000003</v>
      </c>
      <c r="U166" s="25">
        <v>53.325297999999997</v>
      </c>
      <c r="V166" s="25">
        <v>53.366517999999999</v>
      </c>
      <c r="W166" s="25">
        <v>53.778080000000003</v>
      </c>
      <c r="X166" s="25">
        <v>53.778080000000003</v>
      </c>
      <c r="Y166" s="25">
        <v>53.785595000000001</v>
      </c>
      <c r="Z166" s="59">
        <f>(Y166/O166)^(1/(2025-2015))-1</f>
        <v>5.1877415278116512E-3</v>
      </c>
    </row>
    <row r="167" spans="2:26" x14ac:dyDescent="0.2">
      <c r="B167" s="5" t="s">
        <v>65</v>
      </c>
      <c r="C167" s="26">
        <v>2.35</v>
      </c>
      <c r="D167" s="26"/>
      <c r="E167" s="26">
        <v>4.03</v>
      </c>
      <c r="F167" s="26"/>
      <c r="G167" s="26"/>
      <c r="I167" s="27">
        <f>I164/I166</f>
        <v>2.2302920895475395</v>
      </c>
      <c r="J167" s="27">
        <f t="shared" ref="J167" si="210">J164/J166</f>
        <v>4.7564020798944231</v>
      </c>
      <c r="K167" s="27">
        <f>K164/K166</f>
        <v>5.3002632612865757</v>
      </c>
      <c r="L167" s="27"/>
      <c r="M167" s="27">
        <f>M164/M166</f>
        <v>9.3705995134799611</v>
      </c>
      <c r="O167" s="27">
        <f t="shared" ref="O167:T167" si="211">O164/O166</f>
        <v>4.2605410111728377</v>
      </c>
      <c r="P167" s="27">
        <f t="shared" si="211"/>
        <v>6.0902551625739187</v>
      </c>
      <c r="Q167" s="27">
        <f t="shared" si="211"/>
        <v>6.9028533705451105</v>
      </c>
      <c r="R167" s="27">
        <f t="shared" si="211"/>
        <v>8.6659935884442874</v>
      </c>
      <c r="S167" s="27">
        <f t="shared" si="211"/>
        <v>9.225390296734485</v>
      </c>
      <c r="T167" s="27">
        <f t="shared" si="211"/>
        <v>2.6233559036935472</v>
      </c>
      <c r="U167" s="27">
        <f t="shared" ref="U167" si="212">U164/U166</f>
        <v>4.1631272271558615</v>
      </c>
      <c r="V167" s="27">
        <f>V164/V166</f>
        <v>6.2023907949175179</v>
      </c>
      <c r="W167" s="27">
        <f>W164/W166</f>
        <v>-1.8966835558279507</v>
      </c>
      <c r="X167" s="27">
        <f>X164/X166</f>
        <v>11.770595008226399</v>
      </c>
      <c r="Y167" s="27">
        <f>Y164/Y166</f>
        <v>18.889816130136701</v>
      </c>
      <c r="Z167" s="59">
        <f>(Y167/O167)^(1/(2025-2015))-1</f>
        <v>0.16058324916511379</v>
      </c>
    </row>
    <row r="169" spans="2:26" x14ac:dyDescent="0.2">
      <c r="B169" s="8" t="s">
        <v>358</v>
      </c>
      <c r="I169" s="21"/>
      <c r="J169" s="21"/>
      <c r="K169" s="21"/>
      <c r="L169" s="40"/>
      <c r="M169" s="21"/>
    </row>
    <row r="170" spans="2:26" x14ac:dyDescent="0.2">
      <c r="B170" s="6" t="s">
        <v>357</v>
      </c>
      <c r="I170" s="21"/>
      <c r="J170" s="21"/>
      <c r="K170" s="21"/>
      <c r="L170" s="40"/>
      <c r="M170" s="21"/>
      <c r="O170" s="21">
        <f t="shared" ref="O170:Y170" si="213">-O161/O160</f>
        <v>0.32179607109448061</v>
      </c>
      <c r="P170" s="21">
        <f t="shared" si="213"/>
        <v>0.24783445620789243</v>
      </c>
      <c r="Q170" s="21">
        <f t="shared" si="213"/>
        <v>0.24973854842083246</v>
      </c>
      <c r="R170" s="21">
        <f t="shared" si="213"/>
        <v>0.25358142598386296</v>
      </c>
      <c r="S170" s="21">
        <f t="shared" si="213"/>
        <v>0.26726726726726729</v>
      </c>
      <c r="T170" s="21">
        <f t="shared" si="213"/>
        <v>0.24489795918367346</v>
      </c>
      <c r="U170" s="21">
        <f t="shared" si="213"/>
        <v>0.26582278481012656</v>
      </c>
      <c r="V170" s="21">
        <f t="shared" si="213"/>
        <v>0.28017241379310343</v>
      </c>
      <c r="W170" s="21">
        <f t="shared" si="213"/>
        <v>-0.52682926829268295</v>
      </c>
      <c r="X170" s="21">
        <f t="shared" si="213"/>
        <v>0.28268156424581004</v>
      </c>
      <c r="Y170" s="21">
        <f t="shared" si="213"/>
        <v>0.2503035397403568</v>
      </c>
    </row>
    <row r="171" spans="2:26" x14ac:dyDescent="0.2">
      <c r="B171" s="6" t="s">
        <v>359</v>
      </c>
      <c r="I171" s="21"/>
      <c r="J171" s="21"/>
      <c r="K171" s="21"/>
      <c r="L171" s="40"/>
      <c r="M171" s="21"/>
      <c r="O171" s="23">
        <f>IF(O153&gt;0,O153*(1-O170),O153)</f>
        <v>261.4476145930779</v>
      </c>
      <c r="P171" s="23">
        <f t="shared" ref="P171:Y171" si="214">IF(P153&gt;0,P153*(1-P170),P153)</f>
        <v>340.58055822906601</v>
      </c>
      <c r="Q171" s="23">
        <f t="shared" si="214"/>
        <v>391.03626856306215</v>
      </c>
      <c r="R171" s="23">
        <f t="shared" si="214"/>
        <v>462.92879960480826</v>
      </c>
      <c r="S171" s="23">
        <f t="shared" si="214"/>
        <v>516.57657657657649</v>
      </c>
      <c r="T171" s="23">
        <f t="shared" si="214"/>
        <v>198.59183673469386</v>
      </c>
      <c r="U171" s="23">
        <f t="shared" si="214"/>
        <v>260.63291139240505</v>
      </c>
      <c r="V171" s="23">
        <f t="shared" si="214"/>
        <v>366.39224137931035</v>
      </c>
      <c r="W171" s="23">
        <f t="shared" si="214"/>
        <v>-161</v>
      </c>
      <c r="X171" s="23">
        <f t="shared" si="214"/>
        <v>685.03910614525137</v>
      </c>
      <c r="Y171" s="23">
        <f t="shared" si="214"/>
        <v>1016.1198398244139</v>
      </c>
    </row>
    <row r="172" spans="2:26" x14ac:dyDescent="0.2">
      <c r="B172" s="6"/>
      <c r="I172" s="21"/>
      <c r="J172" s="21"/>
      <c r="K172" s="21"/>
      <c r="L172" s="40"/>
      <c r="M172" s="21"/>
      <c r="O172" s="23"/>
      <c r="P172" s="23"/>
      <c r="Q172" s="23"/>
      <c r="R172" s="23"/>
      <c r="S172" s="23"/>
      <c r="T172" s="23"/>
      <c r="U172" s="23"/>
      <c r="V172" s="23"/>
      <c r="W172" s="23"/>
      <c r="X172" s="23"/>
      <c r="Y172" s="23"/>
    </row>
    <row r="173" spans="2:26" x14ac:dyDescent="0.2">
      <c r="B173" s="5" t="s">
        <v>66</v>
      </c>
      <c r="D173" s="18"/>
      <c r="E173" s="18">
        <v>1310</v>
      </c>
      <c r="F173" s="18"/>
      <c r="G173" s="18"/>
      <c r="I173" s="33">
        <v>0</v>
      </c>
      <c r="J173" s="18">
        <v>1154</v>
      </c>
      <c r="K173" s="33">
        <v>0</v>
      </c>
      <c r="L173" s="18">
        <v>1313</v>
      </c>
      <c r="M173" s="18">
        <v>1429</v>
      </c>
      <c r="O173" s="18">
        <v>2214</v>
      </c>
      <c r="P173" s="18">
        <v>1007.6</v>
      </c>
      <c r="Q173" s="18">
        <v>1032.5</v>
      </c>
      <c r="R173" s="18">
        <v>1072.7</v>
      </c>
      <c r="S173" s="18">
        <v>1163</v>
      </c>
      <c r="T173" s="18">
        <v>1135</v>
      </c>
      <c r="U173" s="18">
        <v>1128</v>
      </c>
      <c r="V173" s="18">
        <v>1151</v>
      </c>
      <c r="W173" s="18">
        <v>1200</v>
      </c>
      <c r="X173" s="18">
        <v>1313</v>
      </c>
      <c r="Y173" s="18">
        <v>1490</v>
      </c>
    </row>
    <row r="174" spans="2:26" x14ac:dyDescent="0.2">
      <c r="B174" s="5" t="s">
        <v>35</v>
      </c>
      <c r="D174" s="18"/>
      <c r="E174" s="18">
        <v>1810</v>
      </c>
      <c r="F174" s="18"/>
      <c r="G174" s="18"/>
      <c r="I174" s="33">
        <v>0</v>
      </c>
      <c r="J174" s="18">
        <v>1406</v>
      </c>
      <c r="K174" s="33">
        <v>0</v>
      </c>
      <c r="L174" s="18">
        <v>1767</v>
      </c>
      <c r="M174" s="18">
        <v>1821</v>
      </c>
      <c r="O174" s="18">
        <v>632</v>
      </c>
      <c r="P174" s="18">
        <v>672.5</v>
      </c>
      <c r="Q174" s="18">
        <v>735.5</v>
      </c>
      <c r="R174" s="18">
        <v>799.3</v>
      </c>
      <c r="S174" s="18">
        <v>1101</v>
      </c>
      <c r="T174" s="18">
        <v>1161</v>
      </c>
      <c r="U174" s="18">
        <v>1251</v>
      </c>
      <c r="V174" s="18">
        <v>1384</v>
      </c>
      <c r="W174" s="18">
        <v>1501</v>
      </c>
      <c r="X174" s="18">
        <v>1767</v>
      </c>
      <c r="Y174" s="18">
        <v>1978</v>
      </c>
    </row>
    <row r="175" spans="2:26" x14ac:dyDescent="0.2">
      <c r="B175" s="5" t="s">
        <v>67</v>
      </c>
      <c r="I175" s="33">
        <v>0</v>
      </c>
      <c r="J175" s="18">
        <v>605</v>
      </c>
      <c r="K175" s="33">
        <v>0</v>
      </c>
      <c r="L175" s="18">
        <v>727</v>
      </c>
      <c r="M175" s="18">
        <v>660</v>
      </c>
      <c r="O175" s="18">
        <v>168</v>
      </c>
      <c r="P175" s="18">
        <v>201.9</v>
      </c>
      <c r="Q175" s="18">
        <v>291.5</v>
      </c>
      <c r="R175" s="18">
        <v>426.9</v>
      </c>
      <c r="S175" s="18">
        <v>538</v>
      </c>
      <c r="T175" s="18">
        <v>556</v>
      </c>
      <c r="U175" s="18">
        <v>611</v>
      </c>
      <c r="V175" s="18">
        <v>628</v>
      </c>
      <c r="W175" s="18">
        <v>643</v>
      </c>
      <c r="X175" s="18">
        <v>727</v>
      </c>
      <c r="Y175" s="18">
        <v>688</v>
      </c>
    </row>
    <row r="176" spans="2:26" x14ac:dyDescent="0.2">
      <c r="B176" s="5" t="s">
        <v>68</v>
      </c>
      <c r="I176" s="33">
        <v>0</v>
      </c>
      <c r="J176" s="18">
        <v>117</v>
      </c>
      <c r="K176" s="33">
        <v>0</v>
      </c>
      <c r="L176" s="18">
        <v>103</v>
      </c>
      <c r="M176" s="18">
        <v>172</v>
      </c>
      <c r="O176" s="18">
        <v>85.2</v>
      </c>
      <c r="P176" s="18">
        <v>130.19999999999999</v>
      </c>
      <c r="Q176" s="18">
        <v>167.8</v>
      </c>
      <c r="R176" s="18">
        <v>104.4</v>
      </c>
      <c r="S176" s="18">
        <v>77</v>
      </c>
      <c r="T176" s="18">
        <v>137</v>
      </c>
      <c r="U176" s="18">
        <v>72</v>
      </c>
      <c r="V176" s="18">
        <v>100</v>
      </c>
      <c r="W176" s="18">
        <v>132</v>
      </c>
      <c r="X176" s="18">
        <v>103</v>
      </c>
      <c r="Y176" s="18">
        <v>139</v>
      </c>
    </row>
    <row r="177" spans="2:25" x14ac:dyDescent="0.2">
      <c r="B177" s="5" t="s">
        <v>69</v>
      </c>
      <c r="I177" s="33">
        <v>0</v>
      </c>
      <c r="J177" s="18">
        <v>817</v>
      </c>
      <c r="K177" s="33">
        <v>0</v>
      </c>
      <c r="L177" s="18">
        <v>722</v>
      </c>
      <c r="M177" s="18">
        <v>737</v>
      </c>
      <c r="O177" s="18">
        <v>3.2</v>
      </c>
      <c r="P177" s="18">
        <v>1228.5999999999999</v>
      </c>
      <c r="Q177" s="18">
        <v>1259.3</v>
      </c>
      <c r="R177" s="18">
        <v>1252.0999999999999</v>
      </c>
      <c r="S177" s="18">
        <v>1221</v>
      </c>
      <c r="T177" s="18">
        <v>973</v>
      </c>
      <c r="U177" s="18">
        <v>898</v>
      </c>
      <c r="V177" s="18">
        <v>800</v>
      </c>
      <c r="W177" s="18">
        <v>800</v>
      </c>
      <c r="X177" s="18">
        <v>722</v>
      </c>
      <c r="Y177" s="18">
        <v>712</v>
      </c>
    </row>
    <row r="178" spans="2:25" ht="14.25" x14ac:dyDescent="0.35">
      <c r="B178" s="5" t="s">
        <v>70</v>
      </c>
      <c r="I178" s="34">
        <v>0</v>
      </c>
      <c r="J178" s="19">
        <v>64</v>
      </c>
      <c r="K178" s="34">
        <v>0</v>
      </c>
      <c r="L178" s="19">
        <v>333</v>
      </c>
      <c r="M178" s="19">
        <v>173</v>
      </c>
      <c r="O178" s="19">
        <v>42</v>
      </c>
      <c r="P178" s="19">
        <v>92.8</v>
      </c>
      <c r="Q178" s="19">
        <v>55.2</v>
      </c>
      <c r="R178" s="19">
        <v>60.5</v>
      </c>
      <c r="S178" s="19">
        <v>56</v>
      </c>
      <c r="T178" s="19">
        <v>67</v>
      </c>
      <c r="U178" s="19">
        <v>83</v>
      </c>
      <c r="V178" s="19">
        <v>84</v>
      </c>
      <c r="W178" s="19">
        <v>328</v>
      </c>
      <c r="X178" s="19">
        <v>333</v>
      </c>
      <c r="Y178" s="19">
        <v>133</v>
      </c>
    </row>
    <row r="179" spans="2:25" x14ac:dyDescent="0.2">
      <c r="B179" s="7" t="s">
        <v>71</v>
      </c>
      <c r="D179" s="28"/>
      <c r="E179" s="28">
        <v>4948</v>
      </c>
      <c r="F179" s="28"/>
      <c r="G179" s="28"/>
      <c r="I179" s="35">
        <f>SUM(I173:I178)</f>
        <v>0</v>
      </c>
      <c r="J179" s="22">
        <f t="shared" ref="J179" si="215">SUM(J173:J178)</f>
        <v>4163</v>
      </c>
      <c r="K179" s="35">
        <f>SUM(K173:K178)</f>
        <v>0</v>
      </c>
      <c r="L179" s="22">
        <f>SUM(L173:L178)</f>
        <v>4965</v>
      </c>
      <c r="M179" s="22">
        <f>SUM(M173:M178)</f>
        <v>4992</v>
      </c>
      <c r="O179" s="22">
        <f t="shared" ref="O179:T179" si="216">SUM(O173:O178)</f>
        <v>3144.3999999999996</v>
      </c>
      <c r="P179" s="22">
        <f t="shared" si="216"/>
        <v>3333.6000000000004</v>
      </c>
      <c r="Q179" s="22">
        <f t="shared" si="216"/>
        <v>3541.8</v>
      </c>
      <c r="R179" s="22">
        <f t="shared" si="216"/>
        <v>3715.9</v>
      </c>
      <c r="S179" s="22">
        <f t="shared" si="216"/>
        <v>4156</v>
      </c>
      <c r="T179" s="22">
        <f t="shared" si="216"/>
        <v>4029</v>
      </c>
      <c r="U179" s="22">
        <f t="shared" ref="U179" si="217">SUM(U173:U178)</f>
        <v>4043</v>
      </c>
      <c r="V179" s="22">
        <f>SUM(V173:V178)</f>
        <v>4147</v>
      </c>
      <c r="W179" s="22">
        <f>SUM(W173:W178)</f>
        <v>4604</v>
      </c>
      <c r="X179" s="22">
        <f>SUM(X173:X178)</f>
        <v>4965</v>
      </c>
      <c r="Y179" s="22">
        <f>SUM(Y173:Y178)</f>
        <v>5140</v>
      </c>
    </row>
    <row r="180" spans="2:25" x14ac:dyDescent="0.2">
      <c r="B180" s="5" t="s">
        <v>72</v>
      </c>
      <c r="I180" s="33">
        <v>0</v>
      </c>
      <c r="J180" s="18">
        <v>1512</v>
      </c>
      <c r="K180" s="33">
        <v>0</v>
      </c>
      <c r="L180" s="18">
        <v>1753</v>
      </c>
      <c r="M180" s="18">
        <v>1733</v>
      </c>
      <c r="O180" s="18">
        <v>894</v>
      </c>
      <c r="P180" s="18">
        <v>922.6</v>
      </c>
      <c r="Q180" s="18">
        <v>845.1</v>
      </c>
      <c r="R180" s="18">
        <v>995.8</v>
      </c>
      <c r="S180" s="18">
        <v>1279</v>
      </c>
      <c r="T180" s="18">
        <v>1278</v>
      </c>
      <c r="U180" s="18">
        <v>1380</v>
      </c>
      <c r="V180" s="18">
        <v>1514</v>
      </c>
      <c r="W180" s="18">
        <v>1629</v>
      </c>
      <c r="X180" s="18">
        <v>1753</v>
      </c>
      <c r="Y180" s="18">
        <v>2018</v>
      </c>
    </row>
    <row r="181" spans="2:25" x14ac:dyDescent="0.2">
      <c r="B181" s="5" t="s">
        <v>73</v>
      </c>
      <c r="I181" s="33">
        <v>0</v>
      </c>
      <c r="J181" s="18">
        <v>1203</v>
      </c>
      <c r="K181" s="33"/>
      <c r="L181" s="18">
        <v>1665</v>
      </c>
      <c r="M181" s="18">
        <v>1432</v>
      </c>
      <c r="O181" s="18">
        <v>708.5</v>
      </c>
      <c r="P181" s="18">
        <v>827.5</v>
      </c>
      <c r="Q181" s="18">
        <v>914.5</v>
      </c>
      <c r="R181" s="18">
        <v>1051.2</v>
      </c>
      <c r="S181" s="18">
        <v>923</v>
      </c>
      <c r="T181" s="18">
        <v>969</v>
      </c>
      <c r="U181" s="18">
        <v>946</v>
      </c>
      <c r="V181" s="18">
        <v>1110</v>
      </c>
      <c r="W181" s="18">
        <v>1010</v>
      </c>
      <c r="X181" s="18">
        <v>1665</v>
      </c>
      <c r="Y181" s="18">
        <v>1484</v>
      </c>
    </row>
    <row r="182" spans="2:25" x14ac:dyDescent="0.2">
      <c r="B182" s="5" t="s">
        <v>74</v>
      </c>
      <c r="I182" s="33">
        <v>0</v>
      </c>
      <c r="J182" s="18">
        <v>1118</v>
      </c>
      <c r="K182" s="33"/>
      <c r="L182" s="18">
        <v>1325</v>
      </c>
      <c r="M182" s="18">
        <v>1208</v>
      </c>
      <c r="O182" s="18">
        <v>301.3</v>
      </c>
      <c r="P182" s="18">
        <v>577.20000000000005</v>
      </c>
      <c r="Q182" s="18">
        <v>632.79999999999995</v>
      </c>
      <c r="R182" s="18">
        <v>864.3</v>
      </c>
      <c r="S182" s="18">
        <v>1047</v>
      </c>
      <c r="T182" s="18">
        <v>870</v>
      </c>
      <c r="U182" s="18">
        <v>897</v>
      </c>
      <c r="V182" s="18">
        <v>1137</v>
      </c>
      <c r="W182" s="18">
        <v>1248</v>
      </c>
      <c r="X182" s="18">
        <v>1325</v>
      </c>
      <c r="Y182" s="18">
        <v>1501</v>
      </c>
    </row>
    <row r="183" spans="2:25" x14ac:dyDescent="0.2">
      <c r="B183" s="5" t="s">
        <v>75</v>
      </c>
      <c r="I183" s="33">
        <v>0</v>
      </c>
      <c r="J183" s="18">
        <v>7</v>
      </c>
      <c r="K183" s="33"/>
      <c r="L183" s="18">
        <v>63</v>
      </c>
      <c r="M183" s="18">
        <v>30</v>
      </c>
      <c r="O183" s="18">
        <v>0</v>
      </c>
      <c r="P183" s="18">
        <v>21.1</v>
      </c>
      <c r="Q183" s="18">
        <v>31.3</v>
      </c>
      <c r="R183" s="18">
        <v>43.2</v>
      </c>
      <c r="S183" s="18">
        <v>116</v>
      </c>
      <c r="T183" s="18">
        <v>42</v>
      </c>
      <c r="U183" s="18">
        <v>89</v>
      </c>
      <c r="V183" s="18">
        <v>34</v>
      </c>
      <c r="W183" s="18">
        <v>81</v>
      </c>
      <c r="X183" s="18">
        <v>63</v>
      </c>
      <c r="Y183" s="18">
        <v>47</v>
      </c>
    </row>
    <row r="184" spans="2:25" x14ac:dyDescent="0.2">
      <c r="B184" s="5" t="s">
        <v>68</v>
      </c>
      <c r="I184" s="33">
        <v>0</v>
      </c>
      <c r="J184" s="18">
        <v>467</v>
      </c>
      <c r="K184" s="33"/>
      <c r="L184" s="18">
        <v>885</v>
      </c>
      <c r="M184" s="18">
        <v>1044</v>
      </c>
      <c r="O184" s="18">
        <v>54.8</v>
      </c>
      <c r="P184" s="18">
        <v>42.9</v>
      </c>
      <c r="Q184" s="18">
        <v>113.2</v>
      </c>
      <c r="R184" s="18">
        <v>40.6</v>
      </c>
      <c r="S184" s="18">
        <v>62</v>
      </c>
      <c r="T184" s="18">
        <v>101</v>
      </c>
      <c r="U184" s="18">
        <v>177</v>
      </c>
      <c r="V184" s="18">
        <v>410</v>
      </c>
      <c r="W184" s="18">
        <v>679</v>
      </c>
      <c r="X184" s="18">
        <v>885</v>
      </c>
      <c r="Y184" s="18">
        <v>1196</v>
      </c>
    </row>
    <row r="185" spans="2:25" x14ac:dyDescent="0.2">
      <c r="B185" s="5" t="s">
        <v>76</v>
      </c>
      <c r="I185" s="33">
        <v>0</v>
      </c>
      <c r="J185" s="18">
        <v>39</v>
      </c>
      <c r="K185" s="33"/>
      <c r="L185" s="18">
        <v>83</v>
      </c>
      <c r="M185" s="18">
        <v>69</v>
      </c>
      <c r="O185" s="18">
        <v>32.200000000000003</v>
      </c>
      <c r="P185" s="18">
        <v>43.8</v>
      </c>
      <c r="Q185" s="18">
        <v>40.4</v>
      </c>
      <c r="R185" s="18">
        <v>40.799999999999997</v>
      </c>
      <c r="S185" s="18">
        <v>45</v>
      </c>
      <c r="T185" s="18">
        <v>40</v>
      </c>
      <c r="U185" s="18">
        <v>50</v>
      </c>
      <c r="V185" s="18">
        <v>56</v>
      </c>
      <c r="W185" s="18">
        <v>68</v>
      </c>
      <c r="X185" s="18">
        <v>83</v>
      </c>
      <c r="Y185" s="18">
        <v>81</v>
      </c>
    </row>
    <row r="186" spans="2:25" ht="14.25" x14ac:dyDescent="0.35">
      <c r="B186" s="5" t="s">
        <v>77</v>
      </c>
      <c r="I186" s="34">
        <v>0</v>
      </c>
      <c r="J186" s="19">
        <v>771</v>
      </c>
      <c r="K186" s="34"/>
      <c r="L186" s="19">
        <v>1747</v>
      </c>
      <c r="M186" s="19">
        <v>1273</v>
      </c>
      <c r="O186" s="19">
        <v>53.1</v>
      </c>
      <c r="P186" s="19">
        <v>322.39999999999998</v>
      </c>
      <c r="Q186" s="19">
        <v>106.1</v>
      </c>
      <c r="R186" s="19">
        <v>99</v>
      </c>
      <c r="S186" s="19">
        <v>139</v>
      </c>
      <c r="T186" s="19">
        <v>773</v>
      </c>
      <c r="U186" s="19">
        <v>722</v>
      </c>
      <c r="V186" s="19">
        <v>823</v>
      </c>
      <c r="W186" s="19">
        <v>883</v>
      </c>
      <c r="X186" s="19">
        <v>1747</v>
      </c>
      <c r="Y186" s="19">
        <v>1256</v>
      </c>
    </row>
    <row r="187" spans="2:25" x14ac:dyDescent="0.2">
      <c r="B187" s="7" t="s">
        <v>78</v>
      </c>
      <c r="D187" s="28"/>
      <c r="E187" s="28">
        <v>7237</v>
      </c>
      <c r="F187" s="28"/>
      <c r="G187" s="28"/>
      <c r="I187" s="35">
        <f>SUM(I180:I186)</f>
        <v>0</v>
      </c>
      <c r="J187" s="22">
        <f t="shared" ref="J187" si="218">SUM(J180:J186)</f>
        <v>5117</v>
      </c>
      <c r="K187" s="35"/>
      <c r="L187" s="22">
        <f>SUM(L180:L186)</f>
        <v>7521</v>
      </c>
      <c r="M187" s="22">
        <f>SUM(M180:M186)</f>
        <v>6789</v>
      </c>
      <c r="O187" s="22">
        <f t="shared" ref="O187:T187" si="219">SUM(O180:O186)</f>
        <v>2043.8999999999999</v>
      </c>
      <c r="P187" s="22">
        <f t="shared" si="219"/>
        <v>2757.5000000000005</v>
      </c>
      <c r="Q187" s="22">
        <f t="shared" si="219"/>
        <v>2683.3999999999996</v>
      </c>
      <c r="R187" s="22">
        <f t="shared" si="219"/>
        <v>3134.9</v>
      </c>
      <c r="S187" s="22">
        <f t="shared" si="219"/>
        <v>3611</v>
      </c>
      <c r="T187" s="22">
        <f t="shared" si="219"/>
        <v>4073</v>
      </c>
      <c r="U187" s="22">
        <f t="shared" ref="U187" si="220">SUM(U180:U186)</f>
        <v>4261</v>
      </c>
      <c r="V187" s="22">
        <f>SUM(V180:V186)</f>
        <v>5084</v>
      </c>
      <c r="W187" s="22">
        <f>SUM(W180:W186)</f>
        <v>5598</v>
      </c>
      <c r="X187" s="22">
        <f>SUM(X180:X186)</f>
        <v>7521</v>
      </c>
      <c r="Y187" s="22">
        <f>SUM(Y180:Y186)</f>
        <v>7583</v>
      </c>
    </row>
    <row r="188" spans="2:25" s="7" customFormat="1" x14ac:dyDescent="0.2">
      <c r="B188" s="7" t="s">
        <v>79</v>
      </c>
      <c r="D188" s="20"/>
      <c r="E188" s="20">
        <f>E187+E179</f>
        <v>12185</v>
      </c>
      <c r="F188" s="20"/>
      <c r="G188" s="20"/>
      <c r="I188" s="36">
        <f>I187+I179</f>
        <v>0</v>
      </c>
      <c r="J188" s="20">
        <f t="shared" ref="J188" si="221">J187+J179</f>
        <v>9280</v>
      </c>
      <c r="K188" s="36"/>
      <c r="L188" s="20">
        <f>L187+L179</f>
        <v>12486</v>
      </c>
      <c r="M188" s="20">
        <f>M187+M179</f>
        <v>11781</v>
      </c>
      <c r="O188" s="20">
        <f t="shared" ref="O188:T188" si="222">O187+O179</f>
        <v>5188.2999999999993</v>
      </c>
      <c r="P188" s="20">
        <f t="shared" si="222"/>
        <v>6091.1</v>
      </c>
      <c r="Q188" s="20">
        <f t="shared" si="222"/>
        <v>6225.2</v>
      </c>
      <c r="R188" s="20">
        <f t="shared" si="222"/>
        <v>6850.8</v>
      </c>
      <c r="S188" s="20">
        <f t="shared" si="222"/>
        <v>7767</v>
      </c>
      <c r="T188" s="20">
        <f t="shared" si="222"/>
        <v>8102</v>
      </c>
      <c r="U188" s="20">
        <f t="shared" ref="U188" si="223">U187+U179</f>
        <v>8304</v>
      </c>
      <c r="V188" s="20">
        <f>V187+V179</f>
        <v>9231</v>
      </c>
      <c r="W188" s="20">
        <f>W187+W179</f>
        <v>10202</v>
      </c>
      <c r="X188" s="20">
        <f>X187+X179</f>
        <v>12486</v>
      </c>
      <c r="Y188" s="20">
        <f>Y187+Y179</f>
        <v>12723</v>
      </c>
    </row>
    <row r="189" spans="2:25" x14ac:dyDescent="0.2">
      <c r="B189" s="5" t="s">
        <v>80</v>
      </c>
      <c r="I189" s="33">
        <v>0</v>
      </c>
      <c r="J189" s="18">
        <v>3198</v>
      </c>
      <c r="K189" s="33"/>
      <c r="L189" s="18">
        <v>3363</v>
      </c>
      <c r="M189" s="18">
        <v>3843</v>
      </c>
      <c r="O189" s="18">
        <v>1300.8</v>
      </c>
      <c r="P189" s="18">
        <v>1374.9</v>
      </c>
      <c r="Q189" s="18">
        <v>1805</v>
      </c>
      <c r="R189" s="18">
        <v>2070.1999999999998</v>
      </c>
      <c r="S189" s="18">
        <v>2336</v>
      </c>
      <c r="T189" s="18">
        <v>2553</v>
      </c>
      <c r="U189" s="18">
        <v>2681</v>
      </c>
      <c r="V189" s="18">
        <v>3034</v>
      </c>
      <c r="W189" s="18">
        <v>2863</v>
      </c>
      <c r="X189" s="18">
        <v>3363</v>
      </c>
      <c r="Y189" s="18">
        <v>4314</v>
      </c>
    </row>
    <row r="190" spans="2:25" ht="14.25" x14ac:dyDescent="0.35">
      <c r="B190" s="5" t="s">
        <v>81</v>
      </c>
      <c r="I190" s="34">
        <v>0</v>
      </c>
      <c r="J190" s="19">
        <v>70</v>
      </c>
      <c r="K190" s="34"/>
      <c r="L190" s="19">
        <v>74</v>
      </c>
      <c r="M190" s="19">
        <v>66</v>
      </c>
      <c r="O190" s="19">
        <v>-0.2</v>
      </c>
      <c r="P190" s="19">
        <v>0.2</v>
      </c>
      <c r="Q190" s="19">
        <v>36</v>
      </c>
      <c r="R190" s="19">
        <v>74</v>
      </c>
      <c r="S190" s="19">
        <v>86</v>
      </c>
      <c r="T190" s="19">
        <v>82</v>
      </c>
      <c r="U190" s="19">
        <v>79</v>
      </c>
      <c r="V190" s="19">
        <v>72</v>
      </c>
      <c r="W190" s="19">
        <v>70</v>
      </c>
      <c r="X190" s="19">
        <v>74</v>
      </c>
      <c r="Y190" s="19">
        <v>61</v>
      </c>
    </row>
    <row r="191" spans="2:25" x14ac:dyDescent="0.2">
      <c r="B191" s="7" t="s">
        <v>82</v>
      </c>
      <c r="D191" s="28"/>
      <c r="E191" s="28">
        <v>3694</v>
      </c>
      <c r="F191" s="28"/>
      <c r="G191" s="28"/>
      <c r="I191" s="35">
        <f>I189+I190</f>
        <v>0</v>
      </c>
      <c r="J191" s="22">
        <f t="shared" ref="J191" si="224">J189+J190</f>
        <v>3268</v>
      </c>
      <c r="K191" s="35"/>
      <c r="L191" s="22">
        <f>L189+L190</f>
        <v>3437</v>
      </c>
      <c r="M191" s="22">
        <f>M189+M190</f>
        <v>3909</v>
      </c>
      <c r="O191" s="22">
        <f t="shared" ref="O191:T191" si="225">O189+O190</f>
        <v>1300.5999999999999</v>
      </c>
      <c r="P191" s="22">
        <f t="shared" si="225"/>
        <v>1375.1000000000001</v>
      </c>
      <c r="Q191" s="22">
        <f t="shared" si="225"/>
        <v>1841</v>
      </c>
      <c r="R191" s="22">
        <f t="shared" si="225"/>
        <v>2144.1999999999998</v>
      </c>
      <c r="S191" s="22">
        <f t="shared" si="225"/>
        <v>2422</v>
      </c>
      <c r="T191" s="22">
        <f t="shared" si="225"/>
        <v>2635</v>
      </c>
      <c r="U191" s="22">
        <f t="shared" ref="U191" si="226">U189+U190</f>
        <v>2760</v>
      </c>
      <c r="V191" s="22">
        <f>V189+V190</f>
        <v>3106</v>
      </c>
      <c r="W191" s="22">
        <f>W189+W190</f>
        <v>2933</v>
      </c>
      <c r="X191" s="22">
        <f>X189+X190</f>
        <v>3437</v>
      </c>
      <c r="Y191" s="22">
        <f>Y189+Y190</f>
        <v>4375</v>
      </c>
    </row>
    <row r="192" spans="2:25" x14ac:dyDescent="0.2">
      <c r="B192" s="5" t="s">
        <v>83</v>
      </c>
      <c r="I192" s="33">
        <v>0</v>
      </c>
      <c r="J192" s="18">
        <v>675</v>
      </c>
      <c r="K192" s="33"/>
      <c r="L192" s="18">
        <v>692</v>
      </c>
      <c r="M192" s="18">
        <v>681</v>
      </c>
      <c r="O192" s="18">
        <v>777.5</v>
      </c>
      <c r="P192" s="18">
        <v>860</v>
      </c>
      <c r="Q192" s="18">
        <v>847.6</v>
      </c>
      <c r="R192" s="18">
        <v>853.2</v>
      </c>
      <c r="S192" s="18">
        <v>954</v>
      </c>
      <c r="T192" s="18">
        <v>984</v>
      </c>
      <c r="U192" s="18">
        <v>905</v>
      </c>
      <c r="V192" s="18">
        <v>661</v>
      </c>
      <c r="W192" s="18">
        <v>713</v>
      </c>
      <c r="X192" s="18">
        <v>692</v>
      </c>
      <c r="Y192" s="18">
        <v>640</v>
      </c>
    </row>
    <row r="193" spans="2:25" x14ac:dyDescent="0.2">
      <c r="B193" s="5" t="s">
        <v>84</v>
      </c>
      <c r="I193" s="33">
        <v>0</v>
      </c>
      <c r="J193" s="18">
        <v>46</v>
      </c>
      <c r="K193" s="33"/>
      <c r="L193" s="18">
        <v>33</v>
      </c>
      <c r="M193" s="18">
        <v>56</v>
      </c>
      <c r="O193" s="18">
        <v>24.8</v>
      </c>
      <c r="P193" s="18">
        <v>23.4</v>
      </c>
      <c r="Q193" s="18">
        <v>37.6</v>
      </c>
      <c r="R193" s="18">
        <v>47.7</v>
      </c>
      <c r="S193" s="18">
        <v>48</v>
      </c>
      <c r="T193" s="18">
        <v>64</v>
      </c>
      <c r="U193" s="18">
        <v>63</v>
      </c>
      <c r="V193" s="18">
        <v>53</v>
      </c>
      <c r="W193" s="18">
        <v>28</v>
      </c>
      <c r="X193" s="18">
        <v>33</v>
      </c>
      <c r="Y193" s="18">
        <v>72</v>
      </c>
    </row>
    <row r="194" spans="2:25" x14ac:dyDescent="0.2">
      <c r="B194" s="5" t="s">
        <v>85</v>
      </c>
      <c r="I194" s="33">
        <v>0</v>
      </c>
      <c r="J194" s="18">
        <v>1493</v>
      </c>
      <c r="K194" s="33"/>
      <c r="L194" s="18">
        <v>2265</v>
      </c>
      <c r="M194" s="18">
        <v>2259</v>
      </c>
      <c r="O194" s="18">
        <v>910.2</v>
      </c>
      <c r="P194" s="18">
        <v>1054.4000000000001</v>
      </c>
      <c r="Q194" s="18">
        <v>935.2</v>
      </c>
      <c r="R194" s="18">
        <v>935</v>
      </c>
      <c r="S194" s="18">
        <v>1080</v>
      </c>
      <c r="T194" s="18">
        <v>1434</v>
      </c>
      <c r="U194" s="18">
        <v>1437</v>
      </c>
      <c r="V194" s="18">
        <v>1610</v>
      </c>
      <c r="W194" s="18">
        <v>1495</v>
      </c>
      <c r="X194" s="18">
        <v>2265</v>
      </c>
      <c r="Y194" s="18">
        <v>2376</v>
      </c>
    </row>
    <row r="195" spans="2:25" x14ac:dyDescent="0.2">
      <c r="B195" s="5" t="s">
        <v>86</v>
      </c>
      <c r="I195" s="33">
        <v>0</v>
      </c>
      <c r="J195" s="18">
        <v>4</v>
      </c>
      <c r="K195" s="33"/>
      <c r="L195" s="18">
        <v>3</v>
      </c>
      <c r="M195" s="18"/>
      <c r="O195" s="18">
        <v>0</v>
      </c>
      <c r="P195" s="18">
        <v>0</v>
      </c>
      <c r="Q195" s="18">
        <v>16.899999999999999</v>
      </c>
      <c r="R195" s="18">
        <v>27</v>
      </c>
      <c r="S195" s="18">
        <v>27</v>
      </c>
      <c r="T195" s="18">
        <v>10</v>
      </c>
      <c r="U195" s="18">
        <v>7</v>
      </c>
      <c r="V195" s="18">
        <v>5</v>
      </c>
      <c r="W195" s="18">
        <v>3</v>
      </c>
      <c r="X195" s="18">
        <v>3</v>
      </c>
      <c r="Y195" s="18"/>
    </row>
    <row r="196" spans="2:25" x14ac:dyDescent="0.2">
      <c r="B196" s="5" t="s">
        <v>87</v>
      </c>
      <c r="I196" s="33">
        <v>0</v>
      </c>
      <c r="J196" s="18">
        <v>14</v>
      </c>
      <c r="K196" s="33"/>
      <c r="L196" s="18">
        <v>4</v>
      </c>
      <c r="M196" s="18"/>
      <c r="O196" s="18">
        <v>0</v>
      </c>
      <c r="P196" s="18">
        <f>2+0</f>
        <v>2</v>
      </c>
      <c r="Q196" s="18">
        <v>1.4</v>
      </c>
      <c r="R196" s="23">
        <f>0.7+30.3</f>
        <v>31</v>
      </c>
      <c r="S196" s="18">
        <v>21</v>
      </c>
      <c r="T196" s="18">
        <f>9</f>
        <v>9</v>
      </c>
      <c r="U196" s="18">
        <v>9</v>
      </c>
      <c r="V196" s="18">
        <v>14</v>
      </c>
      <c r="W196" s="18">
        <v>19</v>
      </c>
      <c r="X196" s="18">
        <v>4</v>
      </c>
      <c r="Y196" s="18">
        <v>3</v>
      </c>
    </row>
    <row r="197" spans="2:25" ht="14.25" x14ac:dyDescent="0.35">
      <c r="B197" s="5" t="s">
        <v>70</v>
      </c>
      <c r="I197" s="34">
        <v>0</v>
      </c>
      <c r="J197" s="19">
        <v>0</v>
      </c>
      <c r="K197" s="34"/>
      <c r="L197" s="19">
        <v>0</v>
      </c>
      <c r="M197" s="19">
        <v>0</v>
      </c>
      <c r="O197" s="19">
        <v>22.7</v>
      </c>
      <c r="P197" s="19">
        <v>0</v>
      </c>
      <c r="Q197" s="19">
        <v>16.899999999999999</v>
      </c>
      <c r="R197" s="19">
        <v>8.4</v>
      </c>
      <c r="S197" s="19">
        <v>0</v>
      </c>
      <c r="T197" s="19">
        <v>0</v>
      </c>
      <c r="U197" s="19">
        <v>3</v>
      </c>
      <c r="V197" s="19">
        <v>0</v>
      </c>
      <c r="W197" s="19">
        <v>0</v>
      </c>
      <c r="X197" s="19">
        <v>0</v>
      </c>
      <c r="Y197" s="19">
        <v>0</v>
      </c>
    </row>
    <row r="198" spans="2:25" x14ac:dyDescent="0.2">
      <c r="B198" s="7" t="s">
        <v>88</v>
      </c>
      <c r="D198" s="28"/>
      <c r="E198" s="28">
        <v>2915</v>
      </c>
      <c r="F198" s="28"/>
      <c r="G198" s="28"/>
      <c r="I198" s="35">
        <f>SUM(I192:I197)</f>
        <v>0</v>
      </c>
      <c r="J198" s="22">
        <f t="shared" ref="J198" si="227">SUM(J192:J197)</f>
        <v>2232</v>
      </c>
      <c r="K198" s="35"/>
      <c r="L198" s="22">
        <f>SUM(L192:L197)</f>
        <v>2997</v>
      </c>
      <c r="M198" s="22">
        <f>SUM(M192:M197)</f>
        <v>2996</v>
      </c>
      <c r="O198" s="22">
        <f t="shared" ref="O198:T198" si="228">SUM(O192:O197)</f>
        <v>1735.2</v>
      </c>
      <c r="P198" s="22">
        <f t="shared" si="228"/>
        <v>1939.8000000000002</v>
      </c>
      <c r="Q198" s="22">
        <f t="shared" si="228"/>
        <v>1855.6000000000004</v>
      </c>
      <c r="R198" s="22">
        <f t="shared" si="228"/>
        <v>1902.3000000000002</v>
      </c>
      <c r="S198" s="22">
        <f t="shared" si="228"/>
        <v>2130</v>
      </c>
      <c r="T198" s="22">
        <f t="shared" si="228"/>
        <v>2501</v>
      </c>
      <c r="U198" s="22">
        <f t="shared" ref="U198" si="229">SUM(U192:U197)</f>
        <v>2424</v>
      </c>
      <c r="V198" s="22">
        <f>SUM(V192:V197)</f>
        <v>2343</v>
      </c>
      <c r="W198" s="22">
        <f>SUM(W192:W197)</f>
        <v>2258</v>
      </c>
      <c r="X198" s="22">
        <f>SUM(X192:X197)</f>
        <v>2997</v>
      </c>
      <c r="Y198" s="22">
        <f>SUM(Y192:Y197)</f>
        <v>3091</v>
      </c>
    </row>
    <row r="199" spans="2:25" x14ac:dyDescent="0.2">
      <c r="B199" s="5" t="s">
        <v>83</v>
      </c>
      <c r="I199" s="33">
        <v>0</v>
      </c>
      <c r="J199" s="18">
        <v>46</v>
      </c>
      <c r="K199" s="33"/>
      <c r="L199" s="18">
        <v>32</v>
      </c>
      <c r="M199" s="18">
        <v>32</v>
      </c>
      <c r="O199" s="18">
        <v>24.2</v>
      </c>
      <c r="P199" s="18">
        <v>22.7</v>
      </c>
      <c r="Q199" s="18">
        <v>23.1</v>
      </c>
      <c r="R199" s="18">
        <v>25.8</v>
      </c>
      <c r="S199" s="18">
        <v>22</v>
      </c>
      <c r="T199" s="18">
        <v>26</v>
      </c>
      <c r="U199" s="18">
        <v>44</v>
      </c>
      <c r="V199" s="18">
        <v>46</v>
      </c>
      <c r="W199" s="18">
        <v>30</v>
      </c>
      <c r="X199" s="18">
        <v>32</v>
      </c>
      <c r="Y199" s="18">
        <v>31</v>
      </c>
    </row>
    <row r="200" spans="2:25" x14ac:dyDescent="0.2">
      <c r="B200" s="5" t="s">
        <v>89</v>
      </c>
      <c r="I200" s="33">
        <v>0</v>
      </c>
      <c r="J200" s="18">
        <v>99</v>
      </c>
      <c r="K200" s="33"/>
      <c r="L200" s="18">
        <v>35</v>
      </c>
      <c r="M200" s="18">
        <v>38</v>
      </c>
      <c r="O200" s="18">
        <v>31.1</v>
      </c>
      <c r="P200" s="18">
        <v>5.8</v>
      </c>
      <c r="Q200" s="18">
        <v>2.9</v>
      </c>
      <c r="R200" s="18">
        <v>9.9</v>
      </c>
      <c r="S200" s="18">
        <v>5</v>
      </c>
      <c r="T200" s="18">
        <v>5</v>
      </c>
      <c r="U200" s="18">
        <v>9</v>
      </c>
      <c r="V200" s="18">
        <v>70</v>
      </c>
      <c r="W200" s="18">
        <v>37</v>
      </c>
      <c r="X200" s="18">
        <v>35</v>
      </c>
      <c r="Y200" s="18">
        <v>17</v>
      </c>
    </row>
    <row r="201" spans="2:25" x14ac:dyDescent="0.2">
      <c r="B201" s="5" t="s">
        <v>84</v>
      </c>
      <c r="I201" s="33">
        <v>0</v>
      </c>
      <c r="J201" s="18">
        <v>155</v>
      </c>
      <c r="K201" s="33"/>
      <c r="L201" s="18">
        <v>158</v>
      </c>
      <c r="M201" s="18">
        <v>186</v>
      </c>
      <c r="O201" s="18">
        <v>495.2</v>
      </c>
      <c r="P201" s="18">
        <v>136.19999999999999</v>
      </c>
      <c r="Q201" s="18">
        <v>175.6</v>
      </c>
      <c r="R201" s="18">
        <v>177.3</v>
      </c>
      <c r="S201" s="18">
        <v>168</v>
      </c>
      <c r="T201" s="18">
        <v>134</v>
      </c>
      <c r="U201" s="18">
        <v>173</v>
      </c>
      <c r="V201" s="18">
        <v>217</v>
      </c>
      <c r="W201" s="18">
        <v>129</v>
      </c>
      <c r="X201" s="18">
        <v>158</v>
      </c>
      <c r="Y201" s="18">
        <v>142</v>
      </c>
    </row>
    <row r="202" spans="2:25" x14ac:dyDescent="0.2">
      <c r="B202" s="5" t="s">
        <v>90</v>
      </c>
      <c r="I202" s="33">
        <v>0</v>
      </c>
      <c r="J202" s="18">
        <v>1953</v>
      </c>
      <c r="K202" s="33"/>
      <c r="L202" s="18">
        <v>3305</v>
      </c>
      <c r="M202" s="18">
        <v>2892</v>
      </c>
      <c r="O202" s="18">
        <v>0</v>
      </c>
      <c r="P202" s="18">
        <v>1207.2</v>
      </c>
      <c r="Q202" s="18">
        <v>1155.3</v>
      </c>
      <c r="R202" s="18">
        <v>1506.2</v>
      </c>
      <c r="S202" s="18">
        <v>1682</v>
      </c>
      <c r="T202" s="18">
        <v>1583</v>
      </c>
      <c r="U202" s="18">
        <v>1758</v>
      </c>
      <c r="V202" s="18">
        <v>2041</v>
      </c>
      <c r="W202" s="18">
        <v>3242</v>
      </c>
      <c r="X202" s="18">
        <v>3305</v>
      </c>
      <c r="Y202" s="18">
        <v>3103</v>
      </c>
    </row>
    <row r="203" spans="2:25" x14ac:dyDescent="0.2">
      <c r="B203" s="5" t="s">
        <v>85</v>
      </c>
      <c r="I203" s="33">
        <v>0</v>
      </c>
      <c r="J203" s="18">
        <v>370</v>
      </c>
      <c r="K203" s="33"/>
      <c r="L203" s="18">
        <v>1051</v>
      </c>
      <c r="M203" s="18">
        <v>447</v>
      </c>
      <c r="O203" s="18">
        <v>512</v>
      </c>
      <c r="P203" s="18">
        <v>522.9</v>
      </c>
      <c r="Q203" s="18">
        <v>242.1</v>
      </c>
      <c r="R203" s="18">
        <v>228.5</v>
      </c>
      <c r="S203" s="18">
        <v>253</v>
      </c>
      <c r="T203" s="18">
        <v>288</v>
      </c>
      <c r="U203" s="18">
        <v>226</v>
      </c>
      <c r="V203" s="18">
        <v>319</v>
      </c>
      <c r="W203" s="18">
        <v>395</v>
      </c>
      <c r="X203" s="18">
        <v>1051</v>
      </c>
      <c r="Y203" s="18">
        <v>854</v>
      </c>
    </row>
    <row r="204" spans="2:25" x14ac:dyDescent="0.2">
      <c r="B204" s="5" t="s">
        <v>91</v>
      </c>
      <c r="I204" s="33">
        <v>0</v>
      </c>
      <c r="J204" s="18">
        <v>393</v>
      </c>
      <c r="K204" s="33"/>
      <c r="L204" s="18">
        <v>504</v>
      </c>
      <c r="M204" s="18">
        <v>365</v>
      </c>
      <c r="O204" s="18">
        <v>673.4</v>
      </c>
      <c r="P204" s="18">
        <v>244.7</v>
      </c>
      <c r="Q204" s="18">
        <v>307.10000000000002</v>
      </c>
      <c r="R204" s="18">
        <v>230.6</v>
      </c>
      <c r="S204" s="18">
        <v>313</v>
      </c>
      <c r="T204" s="18">
        <v>169</v>
      </c>
      <c r="U204" s="18">
        <v>165</v>
      </c>
      <c r="V204" s="18">
        <v>284</v>
      </c>
      <c r="W204" s="18">
        <v>325</v>
      </c>
      <c r="X204" s="18">
        <v>504</v>
      </c>
      <c r="Y204" s="18">
        <v>588</v>
      </c>
    </row>
    <row r="205" spans="2:25" x14ac:dyDescent="0.2">
      <c r="B205" s="5" t="s">
        <v>86</v>
      </c>
      <c r="I205" s="33">
        <v>0</v>
      </c>
      <c r="J205" s="18">
        <v>678</v>
      </c>
      <c r="K205" s="33"/>
      <c r="L205" s="18">
        <v>845</v>
      </c>
      <c r="M205" s="18">
        <v>801</v>
      </c>
      <c r="O205" s="18">
        <v>0</v>
      </c>
      <c r="P205" s="18">
        <v>593.79999999999995</v>
      </c>
      <c r="Q205" s="18">
        <v>555.70000000000005</v>
      </c>
      <c r="R205" s="18">
        <v>549</v>
      </c>
      <c r="S205" s="18">
        <v>680</v>
      </c>
      <c r="T205" s="18">
        <v>729</v>
      </c>
      <c r="U205" s="18">
        <v>692</v>
      </c>
      <c r="V205" s="18">
        <v>708</v>
      </c>
      <c r="W205" s="18">
        <v>735</v>
      </c>
      <c r="X205" s="18">
        <v>845</v>
      </c>
      <c r="Y205" s="18">
        <v>394</v>
      </c>
    </row>
    <row r="206" spans="2:25" ht="14.25" x14ac:dyDescent="0.35">
      <c r="B206" s="5" t="s">
        <v>87</v>
      </c>
      <c r="I206" s="34">
        <v>0</v>
      </c>
      <c r="J206" s="19">
        <v>85</v>
      </c>
      <c r="K206" s="34"/>
      <c r="L206" s="19">
        <v>119</v>
      </c>
      <c r="M206" s="19">
        <v>114</v>
      </c>
      <c r="O206" s="24">
        <f>373.8+42.8</f>
        <v>416.6</v>
      </c>
      <c r="P206" s="19">
        <v>42.1</v>
      </c>
      <c r="Q206" s="19">
        <v>66.5</v>
      </c>
      <c r="R206" s="19">
        <v>77</v>
      </c>
      <c r="S206" s="19">
        <v>90</v>
      </c>
      <c r="T206" s="19">
        <v>34</v>
      </c>
      <c r="U206" s="19">
        <v>53</v>
      </c>
      <c r="V206" s="19">
        <v>95</v>
      </c>
      <c r="W206" s="19">
        <v>120</v>
      </c>
      <c r="X206" s="19">
        <v>119</v>
      </c>
      <c r="Y206" s="19">
        <v>126</v>
      </c>
    </row>
    <row r="207" spans="2:25" x14ac:dyDescent="0.2">
      <c r="B207" s="7" t="s">
        <v>92</v>
      </c>
      <c r="D207" s="28"/>
      <c r="E207" s="28">
        <v>5576</v>
      </c>
      <c r="F207" s="28"/>
      <c r="G207" s="28"/>
      <c r="I207" s="37">
        <f>SUM(I199:I206)</f>
        <v>0</v>
      </c>
      <c r="J207" s="23">
        <f t="shared" ref="J207" si="230">SUM(J199:J206)</f>
        <v>3779</v>
      </c>
      <c r="K207" s="37"/>
      <c r="L207" s="23">
        <f>SUM(L199:L206)</f>
        <v>6049</v>
      </c>
      <c r="M207" s="23">
        <f>SUM(M199:M206)</f>
        <v>4875</v>
      </c>
      <c r="O207" s="23">
        <f t="shared" ref="O207:T207" si="231">SUM(O199:O206)</f>
        <v>2152.5</v>
      </c>
      <c r="P207" s="23">
        <f t="shared" si="231"/>
        <v>2775.4</v>
      </c>
      <c r="Q207" s="23">
        <f t="shared" si="231"/>
        <v>2528.3000000000002</v>
      </c>
      <c r="R207" s="23">
        <f t="shared" si="231"/>
        <v>2804.3</v>
      </c>
      <c r="S207" s="23">
        <f t="shared" si="231"/>
        <v>3213</v>
      </c>
      <c r="T207" s="23">
        <f t="shared" si="231"/>
        <v>2968</v>
      </c>
      <c r="U207" s="23">
        <f t="shared" ref="U207" si="232">SUM(U199:U206)</f>
        <v>3120</v>
      </c>
      <c r="V207" s="23">
        <f>SUM(V199:V206)</f>
        <v>3780</v>
      </c>
      <c r="W207" s="23">
        <f>SUM(W199:W206)</f>
        <v>5013</v>
      </c>
      <c r="X207" s="23">
        <f>SUM(X199:X206)</f>
        <v>6049</v>
      </c>
      <c r="Y207" s="23">
        <f>SUM(Y199:Y206)</f>
        <v>5255</v>
      </c>
    </row>
    <row r="208" spans="2:25" x14ac:dyDescent="0.2">
      <c r="B208" s="7" t="s">
        <v>93</v>
      </c>
      <c r="D208" s="22"/>
      <c r="E208" s="22">
        <f>E198+E207</f>
        <v>8491</v>
      </c>
      <c r="F208" s="22"/>
      <c r="G208" s="22"/>
      <c r="I208" s="35">
        <f>I198+I207</f>
        <v>0</v>
      </c>
      <c r="J208" s="22">
        <f t="shared" ref="J208" si="233">J198+J207</f>
        <v>6011</v>
      </c>
      <c r="K208" s="35"/>
      <c r="L208" s="22">
        <f>L198+L207</f>
        <v>9046</v>
      </c>
      <c r="M208" s="22">
        <f>M198+M207</f>
        <v>7871</v>
      </c>
      <c r="O208" s="22">
        <f t="shared" ref="O208:T208" si="234">O198+O207</f>
        <v>3887.7</v>
      </c>
      <c r="P208" s="22">
        <f t="shared" si="234"/>
        <v>4715.2000000000007</v>
      </c>
      <c r="Q208" s="22">
        <f t="shared" si="234"/>
        <v>4383.9000000000005</v>
      </c>
      <c r="R208" s="22">
        <f t="shared" si="234"/>
        <v>4706.6000000000004</v>
      </c>
      <c r="S208" s="22">
        <f t="shared" si="234"/>
        <v>5343</v>
      </c>
      <c r="T208" s="22">
        <f t="shared" si="234"/>
        <v>5469</v>
      </c>
      <c r="U208" s="22">
        <f t="shared" ref="U208" si="235">U198+U207</f>
        <v>5544</v>
      </c>
      <c r="V208" s="22">
        <f>V198+V207</f>
        <v>6123</v>
      </c>
      <c r="W208" s="22">
        <f>W198+W207</f>
        <v>7271</v>
      </c>
      <c r="X208" s="22">
        <f>X198+X207</f>
        <v>9046</v>
      </c>
      <c r="Y208" s="22">
        <f>Y198+Y207</f>
        <v>8346</v>
      </c>
    </row>
    <row r="209" spans="1:25" x14ac:dyDescent="0.2">
      <c r="B209" s="10" t="s">
        <v>94</v>
      </c>
      <c r="D209" s="22"/>
      <c r="E209" s="22">
        <f>E188-E191-E208</f>
        <v>0</v>
      </c>
      <c r="F209" s="22"/>
      <c r="G209" s="22"/>
      <c r="I209" s="35">
        <f>I188-I191-I208</f>
        <v>0</v>
      </c>
      <c r="J209" s="22">
        <f t="shared" ref="J209" si="236">J188-J191-J208</f>
        <v>1</v>
      </c>
      <c r="K209" s="35"/>
      <c r="L209" s="22">
        <f>L188-L191-L208</f>
        <v>3</v>
      </c>
      <c r="M209" s="22">
        <f>M188-M191-M208</f>
        <v>1</v>
      </c>
      <c r="O209" s="22">
        <f t="shared" ref="O209:T209" si="237">O188-O191-O208</f>
        <v>0</v>
      </c>
      <c r="P209" s="22">
        <f t="shared" si="237"/>
        <v>0.7999999999992724</v>
      </c>
      <c r="Q209" s="22">
        <f t="shared" si="237"/>
        <v>0.2999999999992724</v>
      </c>
      <c r="R209" s="22">
        <f t="shared" si="237"/>
        <v>0</v>
      </c>
      <c r="S209" s="22">
        <f t="shared" si="237"/>
        <v>2</v>
      </c>
      <c r="T209" s="22">
        <f t="shared" si="237"/>
        <v>-2</v>
      </c>
      <c r="U209" s="22">
        <f t="shared" ref="U209" si="238">U188-U191-U208</f>
        <v>0</v>
      </c>
      <c r="V209" s="22">
        <f>V188-V191-V208</f>
        <v>2</v>
      </c>
      <c r="W209" s="22">
        <f>W188-W191-W208</f>
        <v>-2</v>
      </c>
      <c r="X209" s="22">
        <f>X188-X191-X208</f>
        <v>3</v>
      </c>
      <c r="Y209" s="22">
        <f>Y188-Y191-Y208</f>
        <v>2</v>
      </c>
    </row>
    <row r="211" spans="1:25" x14ac:dyDescent="0.2">
      <c r="A211" s="5" t="s">
        <v>39</v>
      </c>
      <c r="B211" s="7" t="s">
        <v>95</v>
      </c>
      <c r="C211" s="22">
        <f>C162</f>
        <v>128</v>
      </c>
      <c r="D211" s="22"/>
      <c r="E211" s="22">
        <f>E162</f>
        <v>225</v>
      </c>
      <c r="F211" s="22"/>
      <c r="G211" s="22"/>
      <c r="I211" s="22">
        <f>I162</f>
        <v>119</v>
      </c>
      <c r="J211" s="22">
        <f>J162</f>
        <v>255</v>
      </c>
      <c r="K211" s="22">
        <f>K162</f>
        <v>287</v>
      </c>
      <c r="L211" s="22">
        <f>L162</f>
        <v>355</v>
      </c>
      <c r="M211" s="22">
        <f>M162</f>
        <v>512</v>
      </c>
      <c r="O211" s="22">
        <f t="shared" ref="O211:U211" si="239">O162</f>
        <v>217.50000000000023</v>
      </c>
      <c r="P211" s="22">
        <f t="shared" si="239"/>
        <v>312.59999999999962</v>
      </c>
      <c r="Q211" s="22">
        <f t="shared" si="239"/>
        <v>358.70000000000005</v>
      </c>
      <c r="R211" s="22">
        <f t="shared" si="239"/>
        <v>453.30000000000007</v>
      </c>
      <c r="S211" s="22">
        <f t="shared" si="239"/>
        <v>488</v>
      </c>
      <c r="T211" s="22">
        <f t="shared" si="239"/>
        <v>148</v>
      </c>
      <c r="U211" s="22">
        <f t="shared" si="239"/>
        <v>232</v>
      </c>
      <c r="V211" s="22">
        <f t="shared" ref="V211" si="240">V162</f>
        <v>334</v>
      </c>
      <c r="W211" s="22">
        <f>W162</f>
        <v>-313</v>
      </c>
      <c r="X211" s="22">
        <f>X162</f>
        <v>642</v>
      </c>
      <c r="Y211" s="22">
        <f>Y162</f>
        <v>1003.375</v>
      </c>
    </row>
    <row r="212" spans="1:25" x14ac:dyDescent="0.2">
      <c r="B212" s="5" t="s">
        <v>96</v>
      </c>
      <c r="C212" s="18"/>
      <c r="D212" s="18"/>
      <c r="E212" s="18"/>
      <c r="F212" s="18"/>
      <c r="G212" s="18"/>
      <c r="I212" s="18">
        <v>85</v>
      </c>
      <c r="J212" s="18">
        <v>23</v>
      </c>
      <c r="K212" s="18">
        <v>25</v>
      </c>
      <c r="L212" s="38">
        <f t="shared" ref="L212:L227" si="241">X212-K212</f>
        <v>112</v>
      </c>
      <c r="M212" s="18">
        <v>25</v>
      </c>
      <c r="O212" s="18">
        <v>0</v>
      </c>
      <c r="P212" s="18">
        <v>0</v>
      </c>
      <c r="Q212" s="18">
        <v>47.3</v>
      </c>
      <c r="R212" s="18">
        <v>49</v>
      </c>
      <c r="S212" s="18">
        <v>53</v>
      </c>
      <c r="T212" s="18">
        <v>119</v>
      </c>
      <c r="U212" s="18">
        <v>92</v>
      </c>
      <c r="V212" s="18">
        <v>109</v>
      </c>
      <c r="W212" s="18">
        <v>50</v>
      </c>
      <c r="X212" s="18">
        <v>137</v>
      </c>
      <c r="Y212" s="18">
        <v>49</v>
      </c>
    </row>
    <row r="213" spans="1:25" x14ac:dyDescent="0.2">
      <c r="B213" s="5" t="s">
        <v>97</v>
      </c>
      <c r="C213" s="18">
        <v>87</v>
      </c>
      <c r="D213" s="18"/>
      <c r="E213" s="18">
        <v>102</v>
      </c>
      <c r="F213" s="18"/>
      <c r="G213" s="18"/>
      <c r="I213" s="18">
        <v>121</v>
      </c>
      <c r="J213" s="18">
        <v>132</v>
      </c>
      <c r="K213" s="18">
        <v>151</v>
      </c>
      <c r="L213" s="38">
        <f t="shared" si="241"/>
        <v>195</v>
      </c>
      <c r="M213" s="18">
        <v>179</v>
      </c>
      <c r="O213" s="18">
        <v>163.19999999999999</v>
      </c>
      <c r="P213" s="18">
        <v>175.3</v>
      </c>
      <c r="Q213" s="18">
        <v>146.19999999999999</v>
      </c>
      <c r="R213" s="18">
        <v>151.5</v>
      </c>
      <c r="S213" s="18">
        <v>207</v>
      </c>
      <c r="T213" s="18">
        <v>233</v>
      </c>
      <c r="U213" s="18">
        <v>265</v>
      </c>
      <c r="V213" s="18">
        <v>247</v>
      </c>
      <c r="W213" s="18">
        <v>282</v>
      </c>
      <c r="X213" s="18">
        <v>346</v>
      </c>
      <c r="Y213" s="18">
        <v>367</v>
      </c>
    </row>
    <row r="214" spans="1:25" x14ac:dyDescent="0.2">
      <c r="B214" s="5" t="s">
        <v>138</v>
      </c>
      <c r="C214" s="18"/>
      <c r="D214" s="18"/>
      <c r="E214" s="18"/>
      <c r="F214" s="18"/>
      <c r="G214" s="18"/>
      <c r="I214" s="18">
        <v>-27</v>
      </c>
      <c r="J214" s="18">
        <v>-41</v>
      </c>
      <c r="K214" s="18">
        <v>-45</v>
      </c>
      <c r="L214" s="38">
        <f t="shared" si="241"/>
        <v>-77</v>
      </c>
      <c r="M214" s="18">
        <v>-102</v>
      </c>
      <c r="O214" s="18">
        <v>-29.1</v>
      </c>
      <c r="P214" s="18">
        <v>-28.6</v>
      </c>
      <c r="Q214" s="18">
        <v>-42.4</v>
      </c>
      <c r="R214" s="18">
        <v>-43.8</v>
      </c>
      <c r="S214" s="18">
        <v>-80</v>
      </c>
      <c r="T214" s="18">
        <v>-69</v>
      </c>
      <c r="U214" s="18">
        <v>-81</v>
      </c>
      <c r="V214" s="18">
        <v>-60</v>
      </c>
      <c r="W214" s="18">
        <v>-97</v>
      </c>
      <c r="X214" s="18">
        <v>-122</v>
      </c>
      <c r="Y214" s="18">
        <v>-156</v>
      </c>
    </row>
    <row r="215" spans="1:25" x14ac:dyDescent="0.2">
      <c r="B215" s="5" t="s">
        <v>98</v>
      </c>
      <c r="C215" s="18"/>
      <c r="D215" s="18"/>
      <c r="E215" s="18"/>
      <c r="F215" s="18"/>
      <c r="G215" s="18"/>
      <c r="I215" s="18">
        <v>0</v>
      </c>
      <c r="J215" s="18">
        <v>0</v>
      </c>
      <c r="K215" s="18"/>
      <c r="L215" s="38">
        <f t="shared" si="241"/>
        <v>7</v>
      </c>
      <c r="M215" s="18">
        <v>0</v>
      </c>
      <c r="O215" s="18">
        <v>-1.6</v>
      </c>
      <c r="P215" s="18">
        <v>-2.1</v>
      </c>
      <c r="Q215" s="18">
        <v>-1.5</v>
      </c>
      <c r="R215" s="18">
        <v>-1.7</v>
      </c>
      <c r="S215" s="18">
        <v>-3</v>
      </c>
      <c r="T215" s="23">
        <v>-1</v>
      </c>
      <c r="U215" s="18">
        <v>-2</v>
      </c>
      <c r="V215" s="18">
        <v>-3</v>
      </c>
      <c r="W215" s="18">
        <v>-2</v>
      </c>
      <c r="X215" s="18">
        <v>7</v>
      </c>
      <c r="Y215" s="18">
        <v>-3</v>
      </c>
    </row>
    <row r="216" spans="1:25" x14ac:dyDescent="0.2">
      <c r="B216" s="5" t="s">
        <v>99</v>
      </c>
      <c r="C216" s="18"/>
      <c r="D216" s="18"/>
      <c r="E216" s="18"/>
      <c r="F216" s="18"/>
      <c r="G216" s="18"/>
      <c r="I216" s="18">
        <v>0</v>
      </c>
      <c r="J216" s="18">
        <v>0</v>
      </c>
      <c r="K216" s="18">
        <v>36</v>
      </c>
      <c r="L216" s="38">
        <f t="shared" si="241"/>
        <v>40</v>
      </c>
      <c r="M216" s="18">
        <v>45</v>
      </c>
      <c r="O216" s="18">
        <v>15.7</v>
      </c>
      <c r="P216" s="18">
        <v>15.1</v>
      </c>
      <c r="Q216" s="18">
        <v>17.8</v>
      </c>
      <c r="R216" s="18">
        <v>34.200000000000003</v>
      </c>
      <c r="S216" s="18">
        <v>31</v>
      </c>
      <c r="T216" s="18">
        <v>52</v>
      </c>
      <c r="U216" s="18">
        <v>85</v>
      </c>
      <c r="V216" s="18">
        <v>76</v>
      </c>
      <c r="W216" s="18">
        <v>56</v>
      </c>
      <c r="X216" s="18">
        <v>76</v>
      </c>
      <c r="Y216" s="18">
        <v>125</v>
      </c>
    </row>
    <row r="217" spans="1:25" x14ac:dyDescent="0.2">
      <c r="B217" s="5" t="s">
        <v>100</v>
      </c>
      <c r="C217" s="18"/>
      <c r="D217" s="18"/>
      <c r="E217" s="18"/>
      <c r="F217" s="18"/>
      <c r="G217" s="18"/>
      <c r="I217" s="18">
        <v>0</v>
      </c>
      <c r="J217" s="18">
        <v>0</v>
      </c>
      <c r="K217" s="18">
        <v>-2</v>
      </c>
      <c r="L217" s="38">
        <f t="shared" si="241"/>
        <v>-1</v>
      </c>
      <c r="M217" s="18">
        <v>0</v>
      </c>
      <c r="O217" s="18">
        <v>-0.1</v>
      </c>
      <c r="P217" s="18">
        <v>-3.8</v>
      </c>
      <c r="Q217" s="18">
        <v>5.2</v>
      </c>
      <c r="R217" s="18">
        <v>-0.1</v>
      </c>
      <c r="S217" s="18">
        <v>1</v>
      </c>
      <c r="T217" s="18">
        <v>1</v>
      </c>
      <c r="U217" s="18">
        <v>-14</v>
      </c>
      <c r="V217" s="18">
        <v>0</v>
      </c>
      <c r="W217" s="18">
        <v>1</v>
      </c>
      <c r="X217" s="18">
        <v>-3</v>
      </c>
      <c r="Y217" s="18">
        <v>-1</v>
      </c>
    </row>
    <row r="218" spans="1:25" x14ac:dyDescent="0.2">
      <c r="B218" s="5" t="s">
        <v>101</v>
      </c>
      <c r="C218" s="18"/>
      <c r="D218" s="18"/>
      <c r="E218" s="18"/>
      <c r="F218" s="18"/>
      <c r="G218" s="18"/>
      <c r="I218" s="18">
        <v>2</v>
      </c>
      <c r="J218" s="18">
        <v>8</v>
      </c>
      <c r="K218" s="18">
        <v>7</v>
      </c>
      <c r="L218" s="38">
        <f t="shared" si="241"/>
        <v>-16</v>
      </c>
      <c r="M218" s="18">
        <v>9</v>
      </c>
      <c r="O218" s="18">
        <v>4.0999999999999996</v>
      </c>
      <c r="P218" s="18">
        <v>1.7</v>
      </c>
      <c r="Q218" s="18">
        <v>6.8</v>
      </c>
      <c r="R218" s="18">
        <v>2.2999999999999998</v>
      </c>
      <c r="S218" s="18">
        <v>0</v>
      </c>
      <c r="T218" s="18">
        <v>-14</v>
      </c>
      <c r="U218" s="18">
        <v>-22</v>
      </c>
      <c r="V218" s="18">
        <v>-19</v>
      </c>
      <c r="W218" s="18">
        <v>-14</v>
      </c>
      <c r="X218" s="18">
        <v>-9</v>
      </c>
      <c r="Y218" s="18">
        <v>-14</v>
      </c>
    </row>
    <row r="219" spans="1:25" x14ac:dyDescent="0.2">
      <c r="B219" s="5" t="s">
        <v>102</v>
      </c>
      <c r="C219" s="18">
        <v>49</v>
      </c>
      <c r="D219" s="18"/>
      <c r="E219" s="18">
        <v>-185</v>
      </c>
      <c r="F219" s="18"/>
      <c r="G219" s="18"/>
      <c r="I219" s="18">
        <v>-40</v>
      </c>
      <c r="J219" s="18">
        <v>-69</v>
      </c>
      <c r="K219" s="18">
        <v>32</v>
      </c>
      <c r="L219" s="38">
        <f t="shared" si="241"/>
        <v>3</v>
      </c>
      <c r="M219" s="18">
        <v>51</v>
      </c>
      <c r="O219" s="18">
        <v>148.5</v>
      </c>
      <c r="P219" s="18">
        <v>187.7</v>
      </c>
      <c r="Q219" s="18">
        <v>53.6</v>
      </c>
      <c r="R219" s="18">
        <v>11.8</v>
      </c>
      <c r="S219" s="18">
        <v>-9</v>
      </c>
      <c r="T219" s="18">
        <v>-18</v>
      </c>
      <c r="U219" s="18">
        <v>40</v>
      </c>
      <c r="V219" s="18">
        <v>34</v>
      </c>
      <c r="W219" s="18">
        <v>-32</v>
      </c>
      <c r="X219" s="18">
        <v>35</v>
      </c>
      <c r="Y219" s="18">
        <v>22</v>
      </c>
    </row>
    <row r="220" spans="1:25" x14ac:dyDescent="0.2">
      <c r="B220" s="5" t="s">
        <v>103</v>
      </c>
      <c r="C220" s="18"/>
      <c r="D220" s="18"/>
      <c r="E220" s="18"/>
      <c r="F220" s="18"/>
      <c r="G220" s="18"/>
      <c r="I220" s="18">
        <v>139</v>
      </c>
      <c r="J220" s="18">
        <v>86</v>
      </c>
      <c r="K220" s="18">
        <v>100</v>
      </c>
      <c r="L220" s="38">
        <f t="shared" si="241"/>
        <v>88</v>
      </c>
      <c r="M220" s="18">
        <v>-254</v>
      </c>
      <c r="O220" s="18">
        <v>0</v>
      </c>
      <c r="P220" s="18">
        <v>0</v>
      </c>
      <c r="Q220" s="18">
        <v>131.80000000000001</v>
      </c>
      <c r="R220" s="18">
        <v>170.4</v>
      </c>
      <c r="S220" s="18">
        <v>185</v>
      </c>
      <c r="T220" s="18">
        <v>-80</v>
      </c>
      <c r="U220" s="18">
        <v>-96</v>
      </c>
      <c r="V220" s="18">
        <v>204</v>
      </c>
      <c r="W220" s="18">
        <v>1010</v>
      </c>
      <c r="X220" s="18">
        <v>188</v>
      </c>
      <c r="Y220" s="18">
        <v>-175</v>
      </c>
    </row>
    <row r="221" spans="1:25" x14ac:dyDescent="0.2">
      <c r="B221" s="5" t="s">
        <v>104</v>
      </c>
      <c r="C221" s="18">
        <v>-161</v>
      </c>
      <c r="D221" s="18"/>
      <c r="E221" s="18">
        <v>148</v>
      </c>
      <c r="F221" s="18"/>
      <c r="G221" s="18"/>
      <c r="I221" s="18">
        <v>-168</v>
      </c>
      <c r="J221" s="18">
        <v>-205</v>
      </c>
      <c r="K221" s="18">
        <v>-311</v>
      </c>
      <c r="L221" s="38">
        <f t="shared" si="241"/>
        <v>-385</v>
      </c>
      <c r="M221" s="18">
        <v>-48</v>
      </c>
      <c r="O221" s="18">
        <v>-255</v>
      </c>
      <c r="P221" s="18">
        <v>-291.60000000000002</v>
      </c>
      <c r="Q221" s="18">
        <v>-191</v>
      </c>
      <c r="R221" s="18">
        <v>-320.39999999999998</v>
      </c>
      <c r="S221" s="18">
        <v>-142</v>
      </c>
      <c r="T221" s="18">
        <v>-25</v>
      </c>
      <c r="U221" s="18">
        <v>50</v>
      </c>
      <c r="V221" s="18">
        <v>-293</v>
      </c>
      <c r="W221" s="18">
        <v>-81</v>
      </c>
      <c r="X221" s="18">
        <v>-696</v>
      </c>
      <c r="Y221" s="18">
        <v>-404</v>
      </c>
    </row>
    <row r="222" spans="1:25" x14ac:dyDescent="0.2">
      <c r="B222" s="5" t="s">
        <v>105</v>
      </c>
      <c r="C222" s="18"/>
      <c r="D222" s="18"/>
      <c r="E222" s="18"/>
      <c r="F222" s="18"/>
      <c r="G222" s="18"/>
      <c r="I222" s="18">
        <v>32</v>
      </c>
      <c r="J222" s="18">
        <v>14</v>
      </c>
      <c r="K222" s="18">
        <v>19</v>
      </c>
      <c r="L222" s="38">
        <f t="shared" si="241"/>
        <v>21</v>
      </c>
      <c r="M222" s="18">
        <v>-106</v>
      </c>
      <c r="O222" s="18">
        <v>75.7</v>
      </c>
      <c r="P222" s="18">
        <v>37.299999999999997</v>
      </c>
      <c r="Q222" s="18">
        <v>-43.8</v>
      </c>
      <c r="R222" s="18">
        <v>67</v>
      </c>
      <c r="S222" s="18">
        <v>49</v>
      </c>
      <c r="T222" s="18">
        <v>6</v>
      </c>
      <c r="U222" s="18">
        <v>42</v>
      </c>
      <c r="V222" s="18">
        <v>43</v>
      </c>
      <c r="W222" s="18">
        <v>34</v>
      </c>
      <c r="X222" s="18">
        <v>40</v>
      </c>
      <c r="Y222" s="18">
        <v>-107</v>
      </c>
    </row>
    <row r="223" spans="1:25" x14ac:dyDescent="0.2">
      <c r="B223" s="5" t="s">
        <v>49</v>
      </c>
      <c r="C223" s="18"/>
      <c r="D223" s="18"/>
      <c r="E223" s="18"/>
      <c r="F223" s="18"/>
      <c r="G223" s="18"/>
      <c r="I223" s="18">
        <v>15</v>
      </c>
      <c r="J223" s="18">
        <v>1</v>
      </c>
      <c r="K223" s="18">
        <v>5</v>
      </c>
      <c r="L223" s="38">
        <f t="shared" si="241"/>
        <v>17</v>
      </c>
      <c r="M223" s="18">
        <v>24</v>
      </c>
      <c r="O223" s="18">
        <v>1.1000000000000001</v>
      </c>
      <c r="P223" s="18">
        <v>11.9</v>
      </c>
      <c r="Q223" s="18">
        <v>7.2</v>
      </c>
      <c r="R223" s="18">
        <v>0.7</v>
      </c>
      <c r="S223" s="18">
        <v>17</v>
      </c>
      <c r="T223" s="18">
        <v>20</v>
      </c>
      <c r="U223" s="18">
        <v>29</v>
      </c>
      <c r="V223" s="18">
        <v>22</v>
      </c>
      <c r="W223" s="18">
        <v>12</v>
      </c>
      <c r="X223" s="18">
        <v>22</v>
      </c>
      <c r="Y223" s="18">
        <v>56</v>
      </c>
    </row>
    <row r="224" spans="1:25" x14ac:dyDescent="0.2">
      <c r="B224" s="5" t="s">
        <v>106</v>
      </c>
      <c r="C224" s="18"/>
      <c r="D224" s="18"/>
      <c r="E224" s="18"/>
      <c r="F224" s="18"/>
      <c r="G224" s="18"/>
      <c r="I224" s="18">
        <v>-8</v>
      </c>
      <c r="J224" s="18">
        <v>12</v>
      </c>
      <c r="K224" s="18">
        <v>-10</v>
      </c>
      <c r="L224" s="38">
        <f t="shared" si="241"/>
        <v>-25</v>
      </c>
      <c r="M224" s="18">
        <v>-37</v>
      </c>
      <c r="O224" s="18">
        <v>-13.5</v>
      </c>
      <c r="P224" s="18">
        <v>-15.2</v>
      </c>
      <c r="Q224" s="18">
        <v>-14.5</v>
      </c>
      <c r="R224" s="18">
        <v>-7.3</v>
      </c>
      <c r="S224" s="18">
        <v>-14</v>
      </c>
      <c r="T224" s="18">
        <v>-14</v>
      </c>
      <c r="U224" s="18">
        <v>-29</v>
      </c>
      <c r="V224" s="18">
        <v>-26</v>
      </c>
      <c r="W224" s="18">
        <v>-28</v>
      </c>
      <c r="X224" s="18">
        <v>-35</v>
      </c>
      <c r="Y224" s="18">
        <v>-81</v>
      </c>
    </row>
    <row r="225" spans="2:25" x14ac:dyDescent="0.2">
      <c r="B225" s="5" t="s">
        <v>107</v>
      </c>
      <c r="C225" s="18">
        <v>12</v>
      </c>
      <c r="D225" s="18"/>
      <c r="E225" s="18">
        <v>-61</v>
      </c>
      <c r="F225" s="18"/>
      <c r="G225" s="18"/>
      <c r="I225" s="18">
        <v>50</v>
      </c>
      <c r="J225" s="18">
        <v>30</v>
      </c>
      <c r="K225" s="18">
        <v>18</v>
      </c>
      <c r="L225" s="38">
        <f t="shared" si="241"/>
        <v>21</v>
      </c>
      <c r="M225" s="18">
        <v>17</v>
      </c>
      <c r="O225" s="18">
        <v>2.4</v>
      </c>
      <c r="P225" s="18">
        <v>0.8</v>
      </c>
      <c r="Q225" s="18">
        <v>4.7</v>
      </c>
      <c r="R225" s="18">
        <v>10.5</v>
      </c>
      <c r="S225" s="18">
        <v>6</v>
      </c>
      <c r="T225" s="18">
        <v>3</v>
      </c>
      <c r="U225" s="18">
        <v>1</v>
      </c>
      <c r="V225" s="18">
        <v>7</v>
      </c>
      <c r="W225" s="18">
        <v>29</v>
      </c>
      <c r="X225" s="18">
        <v>39</v>
      </c>
      <c r="Y225" s="18">
        <v>30</v>
      </c>
    </row>
    <row r="226" spans="2:25" x14ac:dyDescent="0.2">
      <c r="B226" s="5" t="s">
        <v>108</v>
      </c>
      <c r="C226" s="18">
        <v>4</v>
      </c>
      <c r="D226" s="18"/>
      <c r="E226" s="18">
        <v>56</v>
      </c>
      <c r="F226" s="18"/>
      <c r="G226" s="18"/>
      <c r="I226" s="18">
        <v>46</v>
      </c>
      <c r="J226" s="18">
        <v>106</v>
      </c>
      <c r="K226" s="18">
        <v>111</v>
      </c>
      <c r="L226" s="38">
        <f t="shared" si="241"/>
        <v>142</v>
      </c>
      <c r="M226" s="18">
        <v>211</v>
      </c>
      <c r="O226" s="18">
        <v>103.2</v>
      </c>
      <c r="P226" s="18">
        <v>103</v>
      </c>
      <c r="Q226" s="18">
        <v>119.4</v>
      </c>
      <c r="R226" s="18">
        <v>154</v>
      </c>
      <c r="S226" s="18">
        <v>178</v>
      </c>
      <c r="T226" s="18">
        <v>48</v>
      </c>
      <c r="U226" s="18">
        <v>84</v>
      </c>
      <c r="V226" s="18">
        <v>130</v>
      </c>
      <c r="W226" s="18">
        <v>-108</v>
      </c>
      <c r="X226" s="18">
        <v>253</v>
      </c>
      <c r="Y226" s="18">
        <v>335</v>
      </c>
    </row>
    <row r="227" spans="2:25" ht="14.25" x14ac:dyDescent="0.35">
      <c r="B227" s="5" t="s">
        <v>109</v>
      </c>
      <c r="C227" s="19">
        <v>0</v>
      </c>
      <c r="D227" s="19"/>
      <c r="E227" s="19">
        <v>0</v>
      </c>
      <c r="F227" s="19"/>
      <c r="G227" s="19"/>
      <c r="I227" s="19">
        <v>-46</v>
      </c>
      <c r="J227" s="19">
        <v>-45</v>
      </c>
      <c r="K227" s="19">
        <v>-73</v>
      </c>
      <c r="L227" s="39">
        <f t="shared" si="241"/>
        <v>-133</v>
      </c>
      <c r="M227" s="19">
        <v>-110</v>
      </c>
      <c r="O227" s="19">
        <v>-136</v>
      </c>
      <c r="P227" s="19">
        <v>-146.1</v>
      </c>
      <c r="Q227" s="19">
        <v>-144.6</v>
      </c>
      <c r="R227" s="19">
        <v>-136.69999999999999</v>
      </c>
      <c r="S227" s="19">
        <v>-136</v>
      </c>
      <c r="T227" s="19">
        <v>-21</v>
      </c>
      <c r="U227" s="19">
        <v>-107</v>
      </c>
      <c r="V227" s="19">
        <v>-76</v>
      </c>
      <c r="W227" s="19">
        <v>-237</v>
      </c>
      <c r="X227" s="19">
        <v>-206</v>
      </c>
      <c r="Y227" s="19">
        <v>-222</v>
      </c>
    </row>
    <row r="228" spans="2:25" x14ac:dyDescent="0.2">
      <c r="B228" s="7" t="s">
        <v>110</v>
      </c>
      <c r="C228" s="29">
        <f>SUM(C211:C227)</f>
        <v>119</v>
      </c>
      <c r="D228" s="29"/>
      <c r="E228" s="29">
        <f>SUM(E211:E227)</f>
        <v>285</v>
      </c>
      <c r="F228" s="29"/>
      <c r="G228" s="29"/>
      <c r="I228" s="29">
        <f>SUM(I211:I227)</f>
        <v>320</v>
      </c>
      <c r="J228" s="29">
        <f t="shared" ref="J228" si="242">SUM(J211:J227)</f>
        <v>307</v>
      </c>
      <c r="K228" s="29">
        <f>SUM(K211:K227)</f>
        <v>350</v>
      </c>
      <c r="L228" s="29">
        <f>SUM(L211:L227)</f>
        <v>364</v>
      </c>
      <c r="M228" s="29">
        <f>SUM(M211:M227)</f>
        <v>416</v>
      </c>
      <c r="O228" s="29">
        <f t="shared" ref="O228:T228" si="243">SUM(O211:O227)</f>
        <v>296.10000000000014</v>
      </c>
      <c r="P228" s="29">
        <f t="shared" si="243"/>
        <v>357.99999999999966</v>
      </c>
      <c r="Q228" s="29">
        <f t="shared" si="243"/>
        <v>460.9</v>
      </c>
      <c r="R228" s="29">
        <f t="shared" si="243"/>
        <v>594.70000000000005</v>
      </c>
      <c r="S228" s="29">
        <f t="shared" si="243"/>
        <v>831</v>
      </c>
      <c r="T228" s="29">
        <f t="shared" si="243"/>
        <v>388</v>
      </c>
      <c r="U228" s="29">
        <f t="shared" ref="U228" si="244">SUM(U211:U227)</f>
        <v>569</v>
      </c>
      <c r="V228" s="29">
        <f>SUM(V211:V227)</f>
        <v>729</v>
      </c>
      <c r="W228" s="29">
        <f>SUM(W211:W227)</f>
        <v>562</v>
      </c>
      <c r="X228" s="29">
        <f>SUM(X211:X227)</f>
        <v>714</v>
      </c>
      <c r="Y228" s="29">
        <f>SUM(Y211:Y227)</f>
        <v>824.375</v>
      </c>
    </row>
    <row r="229" spans="2:25" x14ac:dyDescent="0.2">
      <c r="B229" s="5" t="s">
        <v>34</v>
      </c>
      <c r="C229" s="18">
        <v>-16</v>
      </c>
      <c r="D229" s="18"/>
      <c r="E229" s="18">
        <v>-19</v>
      </c>
      <c r="F229" s="18"/>
      <c r="G229" s="18"/>
      <c r="I229" s="18">
        <v>-27</v>
      </c>
      <c r="J229" s="18">
        <v>-27</v>
      </c>
      <c r="K229" s="18">
        <v>-35</v>
      </c>
      <c r="L229" s="38">
        <f>X229-K229</f>
        <v>-146</v>
      </c>
      <c r="M229" s="18">
        <v>-37</v>
      </c>
      <c r="O229" s="18">
        <v>-142.80000000000001</v>
      </c>
      <c r="P229" s="18">
        <v>-108.1</v>
      </c>
      <c r="Q229" s="18">
        <v>-68.400000000000006</v>
      </c>
      <c r="R229" s="18">
        <v>-72.099999999999994</v>
      </c>
      <c r="S229" s="18">
        <v>-128</v>
      </c>
      <c r="T229" s="18">
        <v>-42</v>
      </c>
      <c r="U229" s="18">
        <v>-82</v>
      </c>
      <c r="V229" s="18">
        <v>-59</v>
      </c>
      <c r="W229" s="18">
        <v>-80</v>
      </c>
      <c r="X229" s="18">
        <v>-181</v>
      </c>
      <c r="Y229" s="18">
        <v>-86</v>
      </c>
    </row>
    <row r="230" spans="2:25" x14ac:dyDescent="0.2">
      <c r="B230" s="5" t="s">
        <v>35</v>
      </c>
      <c r="I230" s="18">
        <v>-93</v>
      </c>
      <c r="J230" s="18">
        <v>-139</v>
      </c>
      <c r="K230" s="18">
        <v>-202</v>
      </c>
      <c r="L230" s="38">
        <f>X230-K230</f>
        <v>-257</v>
      </c>
      <c r="M230" s="18">
        <v>-177</v>
      </c>
      <c r="O230" s="18">
        <v>-129.9</v>
      </c>
      <c r="P230" s="18">
        <v>-159.4</v>
      </c>
      <c r="Q230" s="18">
        <v>-172</v>
      </c>
      <c r="R230" s="18">
        <v>-199.3</v>
      </c>
      <c r="S230" s="18">
        <v>-302</v>
      </c>
      <c r="T230" s="18">
        <v>-195</v>
      </c>
      <c r="U230" s="18">
        <v>-262</v>
      </c>
      <c r="V230" s="18">
        <v>-322</v>
      </c>
      <c r="W230" s="18">
        <v>-332</v>
      </c>
      <c r="X230" s="18">
        <v>-459</v>
      </c>
      <c r="Y230" s="18">
        <v>-429</v>
      </c>
    </row>
    <row r="231" spans="2:25" x14ac:dyDescent="0.2">
      <c r="B231" s="5" t="s">
        <v>111</v>
      </c>
      <c r="C231" s="18">
        <v>-74</v>
      </c>
      <c r="D231" s="18"/>
      <c r="E231" s="18">
        <v>-76</v>
      </c>
      <c r="F231" s="18"/>
      <c r="G231" s="18"/>
      <c r="I231" s="18">
        <v>-19</v>
      </c>
      <c r="J231" s="18">
        <v>-20</v>
      </c>
      <c r="K231" s="18">
        <v>-7</v>
      </c>
      <c r="L231" s="38">
        <f>X231-K231</f>
        <v>-16</v>
      </c>
      <c r="M231" s="18">
        <v>-16</v>
      </c>
      <c r="O231" s="18">
        <v>-49</v>
      </c>
      <c r="P231" s="18">
        <v>-99.6</v>
      </c>
      <c r="Q231" s="18">
        <v>-79.900000000000006</v>
      </c>
      <c r="R231" s="18">
        <v>-113.7</v>
      </c>
      <c r="S231" s="18">
        <v>-56</v>
      </c>
      <c r="T231" s="18">
        <v>-44</v>
      </c>
      <c r="U231" s="18">
        <v>-42</v>
      </c>
      <c r="V231" s="18">
        <v>-51</v>
      </c>
      <c r="W231" s="18">
        <v>-33</v>
      </c>
      <c r="X231" s="18">
        <v>-23</v>
      </c>
      <c r="Y231" s="18">
        <v>-25</v>
      </c>
    </row>
    <row r="232" spans="2:25" ht="14.25" x14ac:dyDescent="0.35">
      <c r="B232" s="5" t="s">
        <v>112</v>
      </c>
      <c r="C232" s="19">
        <v>-8</v>
      </c>
      <c r="D232" s="19"/>
      <c r="E232" s="19">
        <v>-36</v>
      </c>
      <c r="F232" s="19"/>
      <c r="G232" s="19"/>
      <c r="I232" s="19">
        <v>-24</v>
      </c>
      <c r="J232" s="19">
        <v>-21</v>
      </c>
      <c r="K232" s="19">
        <v>-34</v>
      </c>
      <c r="L232" s="39">
        <f>X232-K232</f>
        <v>1</v>
      </c>
      <c r="M232" s="19">
        <v>-36</v>
      </c>
      <c r="O232" s="19">
        <v>0</v>
      </c>
      <c r="P232" s="19">
        <v>0</v>
      </c>
      <c r="Q232" s="19">
        <v>-64.599999999999994</v>
      </c>
      <c r="R232" s="19">
        <v>-48.4</v>
      </c>
      <c r="S232" s="19">
        <v>-22</v>
      </c>
      <c r="T232" s="19">
        <v>-19</v>
      </c>
      <c r="U232" s="19">
        <v>-23</v>
      </c>
      <c r="V232" s="19">
        <v>-21</v>
      </c>
      <c r="W232" s="19">
        <v>-21</v>
      </c>
      <c r="X232" s="19">
        <v>-33</v>
      </c>
      <c r="Y232" s="19">
        <v>-37</v>
      </c>
    </row>
    <row r="233" spans="2:25" x14ac:dyDescent="0.2">
      <c r="B233" s="6" t="s">
        <v>113</v>
      </c>
      <c r="C233" s="23">
        <f>SUM(C229:C232)</f>
        <v>-98</v>
      </c>
      <c r="D233" s="23"/>
      <c r="E233" s="23">
        <f>SUM(E229:E232)</f>
        <v>-131</v>
      </c>
      <c r="F233" s="23"/>
      <c r="G233" s="23"/>
      <c r="I233" s="23">
        <f>SUM(I229:I232)</f>
        <v>-163</v>
      </c>
      <c r="J233" s="23">
        <f t="shared" ref="J233" si="245">SUM(J229:J232)</f>
        <v>-207</v>
      </c>
      <c r="K233" s="23">
        <f>SUM(K229:K232)</f>
        <v>-278</v>
      </c>
      <c r="L233" s="23">
        <f>SUM(L229:L232)</f>
        <v>-418</v>
      </c>
      <c r="M233" s="23">
        <f>SUM(M229:M232)</f>
        <v>-266</v>
      </c>
      <c r="O233" s="23">
        <f t="shared" ref="O233:T233" si="246">SUM(O229:O232)</f>
        <v>-321.70000000000005</v>
      </c>
      <c r="P233" s="23">
        <f t="shared" si="246"/>
        <v>-367.1</v>
      </c>
      <c r="Q233" s="23">
        <f t="shared" si="246"/>
        <v>-384.9</v>
      </c>
      <c r="R233" s="23">
        <f t="shared" si="246"/>
        <v>-433.49999999999994</v>
      </c>
      <c r="S233" s="23">
        <f t="shared" si="246"/>
        <v>-508</v>
      </c>
      <c r="T233" s="23">
        <f t="shared" si="246"/>
        <v>-300</v>
      </c>
      <c r="U233" s="23">
        <f t="shared" ref="U233" si="247">SUM(U229:U232)</f>
        <v>-409</v>
      </c>
      <c r="V233" s="23">
        <f>SUM(V229:V232)</f>
        <v>-453</v>
      </c>
      <c r="W233" s="23">
        <f>SUM(W229:W232)</f>
        <v>-466</v>
      </c>
      <c r="X233" s="23">
        <f>SUM(X229:X232)</f>
        <v>-696</v>
      </c>
      <c r="Y233" s="23">
        <f>SUM(Y229:Y232)</f>
        <v>-577</v>
      </c>
    </row>
    <row r="234" spans="2:25" ht="14.25" x14ac:dyDescent="0.35">
      <c r="B234" s="5" t="s">
        <v>114</v>
      </c>
      <c r="C234" s="19">
        <v>14</v>
      </c>
      <c r="D234" s="19"/>
      <c r="E234" s="19">
        <v>-7</v>
      </c>
      <c r="F234" s="19"/>
      <c r="G234" s="19"/>
      <c r="I234" s="30">
        <f>2+7</f>
        <v>9</v>
      </c>
      <c r="J234" s="30">
        <f>27+3</f>
        <v>30</v>
      </c>
      <c r="K234" s="30">
        <f>32+22</f>
        <v>54</v>
      </c>
      <c r="L234" s="39">
        <f>X234-K234</f>
        <v>39</v>
      </c>
      <c r="M234" s="30">
        <f>51+4</f>
        <v>55</v>
      </c>
      <c r="O234" s="30">
        <f>4.5+49.4</f>
        <v>53.9</v>
      </c>
      <c r="P234" s="30">
        <f>4.7+48.4</f>
        <v>53.1</v>
      </c>
      <c r="Q234" s="30">
        <f>5.5+38.6</f>
        <v>44.1</v>
      </c>
      <c r="R234" s="30">
        <f>14.9+82.5</f>
        <v>97.4</v>
      </c>
      <c r="S234" s="30">
        <f>3+32</f>
        <v>35</v>
      </c>
      <c r="T234" s="30">
        <f>41+13</f>
        <v>54</v>
      </c>
      <c r="U234" s="30">
        <f>21+32+10</f>
        <v>63</v>
      </c>
      <c r="V234" s="30">
        <f>16+14+23</f>
        <v>53</v>
      </c>
      <c r="W234" s="30">
        <f>30+16</f>
        <v>46</v>
      </c>
      <c r="X234" s="30">
        <f>58+35</f>
        <v>93</v>
      </c>
      <c r="Y234" s="30">
        <f>85+7</f>
        <v>92</v>
      </c>
    </row>
    <row r="235" spans="2:25" x14ac:dyDescent="0.2">
      <c r="B235" s="7" t="s">
        <v>124</v>
      </c>
      <c r="C235" s="20">
        <f>C233+C234</f>
        <v>-84</v>
      </c>
      <c r="D235" s="20"/>
      <c r="E235" s="20">
        <f>E233+E234</f>
        <v>-138</v>
      </c>
      <c r="F235" s="20"/>
      <c r="G235" s="20"/>
      <c r="I235" s="20">
        <f>I233+I234</f>
        <v>-154</v>
      </c>
      <c r="J235" s="20">
        <f t="shared" ref="J235" si="248">J233+J234</f>
        <v>-177</v>
      </c>
      <c r="K235" s="20">
        <f>K233+K234</f>
        <v>-224</v>
      </c>
      <c r="L235" s="20">
        <f>L233+L234</f>
        <v>-379</v>
      </c>
      <c r="M235" s="20">
        <f>M233+M234</f>
        <v>-211</v>
      </c>
      <c r="O235" s="20">
        <f t="shared" ref="O235:T235" si="249">O233+O234</f>
        <v>-267.80000000000007</v>
      </c>
      <c r="P235" s="20">
        <f t="shared" si="249"/>
        <v>-314</v>
      </c>
      <c r="Q235" s="20">
        <f t="shared" si="249"/>
        <v>-340.79999999999995</v>
      </c>
      <c r="R235" s="20">
        <f t="shared" si="249"/>
        <v>-336.09999999999991</v>
      </c>
      <c r="S235" s="20">
        <f t="shared" si="249"/>
        <v>-473</v>
      </c>
      <c r="T235" s="20">
        <f t="shared" si="249"/>
        <v>-246</v>
      </c>
      <c r="U235" s="20">
        <f t="shared" ref="U235" si="250">U233+U234</f>
        <v>-346</v>
      </c>
      <c r="V235" s="20">
        <f>V233+V234</f>
        <v>-400</v>
      </c>
      <c r="W235" s="20">
        <f>W233+W234</f>
        <v>-420</v>
      </c>
      <c r="X235" s="20">
        <f>X233+X234</f>
        <v>-603</v>
      </c>
      <c r="Y235" s="20">
        <f>Y233+Y234</f>
        <v>-485</v>
      </c>
    </row>
    <row r="236" spans="2:25" x14ac:dyDescent="0.2">
      <c r="B236" s="131" t="s">
        <v>360</v>
      </c>
      <c r="C236" s="132">
        <f>C228+C230</f>
        <v>119</v>
      </c>
      <c r="D236" s="132"/>
      <c r="E236" s="132">
        <f>E228+E230</f>
        <v>285</v>
      </c>
      <c r="F236" s="132"/>
      <c r="G236" s="132"/>
      <c r="H236" s="133"/>
      <c r="I236" s="132">
        <f>I228+I230</f>
        <v>227</v>
      </c>
      <c r="J236" s="132">
        <f t="shared" ref="J236" si="251">J228+J230</f>
        <v>168</v>
      </c>
      <c r="K236" s="132">
        <f>K228+K230</f>
        <v>148</v>
      </c>
      <c r="L236" s="132">
        <f>L228+L230</f>
        <v>107</v>
      </c>
      <c r="M236" s="132">
        <f>M228+M230</f>
        <v>239</v>
      </c>
      <c r="N236" s="133"/>
      <c r="O236" s="132">
        <f t="shared" ref="O236" si="252">O228+O230</f>
        <v>166.20000000000013</v>
      </c>
      <c r="P236" s="132">
        <f>P228+P230</f>
        <v>198.59999999999965</v>
      </c>
      <c r="Q236" s="132">
        <f>Q228+Q230</f>
        <v>288.89999999999998</v>
      </c>
      <c r="R236" s="132">
        <f>R228+R230</f>
        <v>395.40000000000003</v>
      </c>
      <c r="S236" s="132">
        <f>S228+S230</f>
        <v>529</v>
      </c>
      <c r="T236" s="132">
        <f>T228+T230</f>
        <v>193</v>
      </c>
      <c r="U236" s="132">
        <f t="shared" ref="U236" si="253">U228+U230</f>
        <v>307</v>
      </c>
      <c r="V236" s="132">
        <f>V228+V230</f>
        <v>407</v>
      </c>
      <c r="W236" s="132">
        <f>W228+W230</f>
        <v>230</v>
      </c>
      <c r="X236" s="132">
        <f>X228+X230</f>
        <v>255</v>
      </c>
      <c r="Y236" s="132">
        <f>Y228+Y230</f>
        <v>395.375</v>
      </c>
    </row>
    <row r="237" spans="2:25" x14ac:dyDescent="0.2">
      <c r="B237" s="9" t="s">
        <v>115</v>
      </c>
      <c r="C237" s="21">
        <f>C236/(C153+C213)</f>
        <v>0.4296028880866426</v>
      </c>
      <c r="D237" s="21"/>
      <c r="E237" s="21">
        <f>E236/(E153+E213)</f>
        <v>0.68345323741007191</v>
      </c>
      <c r="F237" s="21"/>
      <c r="G237" s="21"/>
      <c r="I237" s="21">
        <f>I236/(I153+I213)</f>
        <v>0.74671052631578949</v>
      </c>
      <c r="J237" s="21">
        <f>J236/(J153+J213)</f>
        <v>0.32621359223300972</v>
      </c>
      <c r="K237" s="21">
        <f>K236/(K153+K213)</f>
        <v>0.25919439579684761</v>
      </c>
      <c r="L237" s="21">
        <f>L236/(L153+L213)</f>
        <v>0.14657534246575343</v>
      </c>
      <c r="M237" s="21">
        <f>M236/(M153+M213)</f>
        <v>0.27066817667044168</v>
      </c>
      <c r="O237" s="21">
        <f t="shared" ref="O237:Y237" si="254">O236/(O153+O213)</f>
        <v>0.30289775833788962</v>
      </c>
      <c r="P237" s="21">
        <f t="shared" si="254"/>
        <v>0.31619168922146118</v>
      </c>
      <c r="Q237" s="21">
        <f t="shared" si="254"/>
        <v>0.43287383877734481</v>
      </c>
      <c r="R237" s="21">
        <f t="shared" si="254"/>
        <v>0.51237527536607497</v>
      </c>
      <c r="S237" s="21">
        <f t="shared" si="254"/>
        <v>0.58004385964912286</v>
      </c>
      <c r="T237" s="21">
        <f t="shared" si="254"/>
        <v>0.38911290322580644</v>
      </c>
      <c r="U237" s="21">
        <f t="shared" si="254"/>
        <v>0.49516129032258066</v>
      </c>
      <c r="V237" s="21">
        <f t="shared" si="254"/>
        <v>0.53835978835978837</v>
      </c>
      <c r="W237" s="21">
        <f t="shared" si="254"/>
        <v>1.9008264462809918</v>
      </c>
      <c r="X237" s="21">
        <f t="shared" si="254"/>
        <v>0.19600307455803229</v>
      </c>
      <c r="Y237" s="21">
        <f t="shared" si="254"/>
        <v>0.22955221714202773</v>
      </c>
    </row>
    <row r="238" spans="2:25" x14ac:dyDescent="0.2">
      <c r="B238" s="9" t="s">
        <v>116</v>
      </c>
      <c r="C238" s="21">
        <f>C236/C211</f>
        <v>0.9296875</v>
      </c>
      <c r="D238" s="31"/>
      <c r="E238" s="31">
        <f>E236/E211</f>
        <v>1.2666666666666666</v>
      </c>
      <c r="F238" s="31"/>
      <c r="G238" s="31"/>
      <c r="I238" s="31">
        <f>I236/I211</f>
        <v>1.9075630252100841</v>
      </c>
      <c r="J238" s="31">
        <f t="shared" ref="J238" si="255">J236/J211</f>
        <v>0.6588235294117647</v>
      </c>
      <c r="K238" s="31">
        <f>K236/K211</f>
        <v>0.51567944250871078</v>
      </c>
      <c r="L238" s="31">
        <f>L236/L211</f>
        <v>0.30140845070422534</v>
      </c>
      <c r="M238" s="21">
        <f>M236/M211</f>
        <v>0.466796875</v>
      </c>
      <c r="O238" s="31">
        <f t="shared" ref="O238" si="256">O236/O211</f>
        <v>0.76413793103448258</v>
      </c>
      <c r="P238" s="31">
        <f>P236/P211</f>
        <v>0.63531669865642959</v>
      </c>
      <c r="Q238" s="31">
        <f>Q236/Q211</f>
        <v>0.80540841929188722</v>
      </c>
      <c r="R238" s="31">
        <f>R236/R211</f>
        <v>0.872270019854401</v>
      </c>
      <c r="S238" s="31">
        <f>S236/S211</f>
        <v>1.084016393442623</v>
      </c>
      <c r="T238" s="31">
        <f>T236/T211</f>
        <v>1.3040540540540539</v>
      </c>
      <c r="U238" s="31">
        <f t="shared" ref="U238" si="257">U236/U211</f>
        <v>1.3232758620689655</v>
      </c>
      <c r="V238" s="31">
        <f>V236/V211</f>
        <v>1.2185628742514969</v>
      </c>
      <c r="W238" s="31">
        <f>W236/W211</f>
        <v>-0.73482428115015974</v>
      </c>
      <c r="X238" s="21">
        <f>X236/X211</f>
        <v>0.39719626168224298</v>
      </c>
      <c r="Y238" s="21">
        <f>Y236/Y211</f>
        <v>0.39404509779494207</v>
      </c>
    </row>
    <row r="239" spans="2:25" x14ac:dyDescent="0.2">
      <c r="B239" s="5" t="s">
        <v>118</v>
      </c>
      <c r="I239" s="18">
        <v>0</v>
      </c>
      <c r="J239" s="18">
        <v>0</v>
      </c>
      <c r="K239" s="18">
        <v>299</v>
      </c>
      <c r="L239" s="38">
        <f t="shared" ref="L239:L248" si="258">X239-K239</f>
        <v>742</v>
      </c>
      <c r="M239" s="18">
        <v>0</v>
      </c>
      <c r="O239" s="18">
        <v>0</v>
      </c>
      <c r="P239" s="18">
        <v>495.3</v>
      </c>
      <c r="Q239" s="18">
        <v>0</v>
      </c>
      <c r="R239" s="18">
        <v>0</v>
      </c>
      <c r="S239" s="18">
        <v>511</v>
      </c>
      <c r="T239" s="18">
        <v>594</v>
      </c>
      <c r="U239" s="18">
        <v>0</v>
      </c>
      <c r="V239" s="18">
        <v>0</v>
      </c>
      <c r="W239" s="18">
        <v>0</v>
      </c>
      <c r="X239" s="18">
        <v>1041</v>
      </c>
      <c r="Y239" s="18"/>
    </row>
    <row r="240" spans="2:25" x14ac:dyDescent="0.2">
      <c r="B240" s="5" t="s">
        <v>315</v>
      </c>
      <c r="I240" s="18">
        <v>0</v>
      </c>
      <c r="J240" s="18"/>
      <c r="K240" s="18">
        <v>0</v>
      </c>
      <c r="L240" s="38">
        <f t="shared" si="258"/>
        <v>0</v>
      </c>
      <c r="M240" s="18">
        <v>-500</v>
      </c>
      <c r="O240" s="18">
        <v>0</v>
      </c>
      <c r="P240" s="18">
        <v>0</v>
      </c>
      <c r="Q240" s="18">
        <v>0</v>
      </c>
      <c r="R240" s="18">
        <v>0</v>
      </c>
      <c r="S240" s="18">
        <v>-551</v>
      </c>
      <c r="T240" s="18">
        <v>0</v>
      </c>
      <c r="U240" s="18">
        <v>-100</v>
      </c>
      <c r="V240" s="18">
        <v>0</v>
      </c>
      <c r="W240" s="18">
        <v>0</v>
      </c>
      <c r="X240" s="18">
        <v>0</v>
      </c>
      <c r="Y240" s="18"/>
    </row>
    <row r="241" spans="2:25" x14ac:dyDescent="0.2">
      <c r="B241" s="5" t="s">
        <v>119</v>
      </c>
      <c r="I241" s="18">
        <v>-27</v>
      </c>
      <c r="J241" s="18">
        <v>-41</v>
      </c>
      <c r="K241" s="18">
        <v>-32</v>
      </c>
      <c r="L241" s="38">
        <f t="shared" si="258"/>
        <v>-37</v>
      </c>
      <c r="M241" s="18">
        <v>-60</v>
      </c>
      <c r="O241" s="18">
        <v>0</v>
      </c>
      <c r="P241" s="18">
        <v>0</v>
      </c>
      <c r="Q241" s="18">
        <v>0</v>
      </c>
      <c r="R241" s="18">
        <v>0</v>
      </c>
      <c r="S241" s="18">
        <v>-42</v>
      </c>
      <c r="T241" s="18">
        <v>-41</v>
      </c>
      <c r="U241" s="18">
        <v>-34</v>
      </c>
      <c r="V241" s="18">
        <v>-64</v>
      </c>
      <c r="W241" s="18">
        <v>-81</v>
      </c>
      <c r="X241" s="18">
        <v>-69</v>
      </c>
      <c r="Y241" s="18"/>
    </row>
    <row r="242" spans="2:25" x14ac:dyDescent="0.2">
      <c r="B242" s="5" t="s">
        <v>120</v>
      </c>
      <c r="I242" s="18">
        <v>-11</v>
      </c>
      <c r="J242" s="18">
        <v>-19</v>
      </c>
      <c r="K242" s="18">
        <v>-22</v>
      </c>
      <c r="L242" s="38">
        <f t="shared" si="258"/>
        <v>-19</v>
      </c>
      <c r="M242" s="18">
        <v>-15</v>
      </c>
      <c r="O242" s="18">
        <v>0</v>
      </c>
      <c r="P242" s="18">
        <v>0</v>
      </c>
      <c r="Q242" s="18">
        <v>0</v>
      </c>
      <c r="R242" s="18">
        <v>0</v>
      </c>
      <c r="S242" s="18">
        <v>-63</v>
      </c>
      <c r="T242" s="18">
        <v>-56</v>
      </c>
      <c r="U242" s="18">
        <v>-25</v>
      </c>
      <c r="V242" s="18">
        <v>-36</v>
      </c>
      <c r="W242" s="18">
        <v>-44</v>
      </c>
      <c r="X242" s="18">
        <v>-41</v>
      </c>
      <c r="Y242" s="18"/>
    </row>
    <row r="243" spans="2:25" x14ac:dyDescent="0.2">
      <c r="B243" s="5" t="s">
        <v>121</v>
      </c>
      <c r="I243" s="18">
        <v>4</v>
      </c>
      <c r="J243" s="18">
        <v>51</v>
      </c>
      <c r="K243" s="18">
        <v>78</v>
      </c>
      <c r="L243" s="38">
        <f t="shared" si="258"/>
        <v>-74</v>
      </c>
      <c r="M243" s="18">
        <v>85</v>
      </c>
      <c r="O243" s="18">
        <v>109.4</v>
      </c>
      <c r="P243" s="18">
        <v>0</v>
      </c>
      <c r="Q243" s="18">
        <v>78.099999999999994</v>
      </c>
      <c r="R243" s="18">
        <v>0</v>
      </c>
      <c r="S243" s="18">
        <v>-50</v>
      </c>
      <c r="T243" s="18">
        <v>-10</v>
      </c>
      <c r="U243" s="18">
        <v>-30</v>
      </c>
      <c r="V243" s="18">
        <v>0</v>
      </c>
      <c r="W243" s="18">
        <v>7</v>
      </c>
      <c r="X243" s="18">
        <v>4</v>
      </c>
      <c r="Y243" s="18"/>
    </row>
    <row r="244" spans="2:25" x14ac:dyDescent="0.2">
      <c r="B244" s="5" t="s">
        <v>122</v>
      </c>
      <c r="I244" s="18">
        <v>0</v>
      </c>
      <c r="J244" s="18">
        <v>0</v>
      </c>
      <c r="K244" s="18">
        <v>-82</v>
      </c>
      <c r="L244" s="38">
        <f t="shared" si="258"/>
        <v>0</v>
      </c>
      <c r="M244" s="18">
        <v>-42</v>
      </c>
      <c r="O244" s="18">
        <v>-1.3</v>
      </c>
      <c r="P244" s="18">
        <v>-120.4</v>
      </c>
      <c r="Q244" s="18">
        <f>-250-1.3</f>
        <v>-251.3</v>
      </c>
      <c r="R244" s="18">
        <v>-83</v>
      </c>
      <c r="S244" s="18">
        <v>0</v>
      </c>
      <c r="T244" s="18">
        <v>0</v>
      </c>
      <c r="U244" s="18">
        <v>0</v>
      </c>
      <c r="V244" s="18">
        <v>0</v>
      </c>
      <c r="W244" s="18">
        <v>0</v>
      </c>
      <c r="X244" s="18">
        <v>-82</v>
      </c>
      <c r="Y244" s="18"/>
    </row>
    <row r="245" spans="2:25" s="7" customFormat="1" x14ac:dyDescent="0.2">
      <c r="B245" s="7" t="s">
        <v>322</v>
      </c>
      <c r="I245" s="28">
        <v>-124</v>
      </c>
      <c r="J245" s="28">
        <v>-172</v>
      </c>
      <c r="K245" s="28">
        <v>-111</v>
      </c>
      <c r="L245" s="57">
        <f t="shared" si="258"/>
        <v>-6</v>
      </c>
      <c r="M245" s="28">
        <v>-125</v>
      </c>
      <c r="O245" s="28">
        <v>-74</v>
      </c>
      <c r="P245" s="28">
        <v>-86.9</v>
      </c>
      <c r="Q245" s="28">
        <v>-97.6</v>
      </c>
      <c r="R245" s="28">
        <v>-118.4</v>
      </c>
      <c r="S245" s="28">
        <v>-147</v>
      </c>
      <c r="T245" s="28">
        <v>-7</v>
      </c>
      <c r="U245" s="28">
        <v>-80</v>
      </c>
      <c r="V245" s="28">
        <v>-124</v>
      </c>
      <c r="W245" s="28">
        <v>-174</v>
      </c>
      <c r="X245" s="28">
        <v>-117</v>
      </c>
      <c r="Y245" s="28"/>
    </row>
    <row r="246" spans="2:25" x14ac:dyDescent="0.2">
      <c r="B246" s="5" t="s">
        <v>320</v>
      </c>
      <c r="I246" s="18"/>
      <c r="J246" s="18"/>
      <c r="K246" s="18"/>
      <c r="L246" s="38"/>
      <c r="M246" s="18"/>
      <c r="O246" s="18"/>
      <c r="P246" s="18"/>
      <c r="Q246" s="18">
        <v>14.3</v>
      </c>
      <c r="R246" s="18">
        <v>16.3</v>
      </c>
      <c r="S246" s="18"/>
      <c r="T246" s="18"/>
      <c r="U246" s="18"/>
      <c r="V246" s="18"/>
      <c r="W246" s="18"/>
      <c r="X246" s="18"/>
      <c r="Y246" s="18"/>
    </row>
    <row r="247" spans="2:25" x14ac:dyDescent="0.2">
      <c r="B247" s="5" t="s">
        <v>139</v>
      </c>
      <c r="C247" s="18">
        <v>-67</v>
      </c>
      <c r="D247" s="18"/>
      <c r="E247" s="18">
        <v>-46</v>
      </c>
      <c r="F247" s="18"/>
      <c r="G247" s="18"/>
      <c r="I247" s="18">
        <v>0</v>
      </c>
      <c r="J247" s="18">
        <v>0</v>
      </c>
      <c r="K247" s="18">
        <v>0</v>
      </c>
      <c r="L247" s="38">
        <f t="shared" si="258"/>
        <v>0</v>
      </c>
      <c r="M247" s="18"/>
      <c r="O247" s="18">
        <f>9.3-86.1</f>
        <v>-76.8</v>
      </c>
      <c r="P247" s="18">
        <f>14.5-79.2</f>
        <v>-64.7</v>
      </c>
      <c r="Q247" s="18">
        <v>-76.400000000000006</v>
      </c>
      <c r="R247" s="18">
        <v>-77.599999999999994</v>
      </c>
      <c r="S247" s="18">
        <v>19</v>
      </c>
      <c r="T247" s="18">
        <v>23</v>
      </c>
      <c r="U247" s="18">
        <f>23-31</f>
        <v>-8</v>
      </c>
      <c r="V247" s="18">
        <v>0</v>
      </c>
      <c r="W247" s="18"/>
      <c r="X247" s="18"/>
      <c r="Y247" s="18"/>
    </row>
    <row r="248" spans="2:25" ht="14.25" x14ac:dyDescent="0.35">
      <c r="B248" s="5" t="s">
        <v>123</v>
      </c>
      <c r="C248" s="19">
        <v>0</v>
      </c>
      <c r="D248" s="19"/>
      <c r="E248" s="19">
        <v>0</v>
      </c>
      <c r="F248" s="19"/>
      <c r="G248" s="19"/>
      <c r="I248" s="19">
        <v>0</v>
      </c>
      <c r="J248" s="19">
        <v>0</v>
      </c>
      <c r="K248" s="19">
        <v>0</v>
      </c>
      <c r="L248" s="39">
        <f t="shared" si="258"/>
        <v>0</v>
      </c>
      <c r="M248" s="19">
        <v>0</v>
      </c>
      <c r="O248" s="19">
        <v>0</v>
      </c>
      <c r="P248" s="19">
        <v>0</v>
      </c>
      <c r="Q248" s="19">
        <v>0</v>
      </c>
      <c r="R248" s="19">
        <v>0</v>
      </c>
      <c r="S248" s="19">
        <v>0</v>
      </c>
      <c r="T248" s="19">
        <v>0</v>
      </c>
      <c r="U248" s="19">
        <v>0</v>
      </c>
      <c r="V248" s="19">
        <v>0</v>
      </c>
      <c r="W248" s="19">
        <v>-1</v>
      </c>
      <c r="X248" s="19">
        <v>0</v>
      </c>
      <c r="Y248" s="19"/>
    </row>
    <row r="249" spans="2:25" x14ac:dyDescent="0.2">
      <c r="B249" s="7" t="s">
        <v>117</v>
      </c>
      <c r="C249" s="20">
        <f>SUM(C239:C248)</f>
        <v>-67</v>
      </c>
      <c r="D249" s="20"/>
      <c r="E249" s="20">
        <f>SUM(E239:E248)</f>
        <v>-46</v>
      </c>
      <c r="F249" s="20"/>
      <c r="G249" s="20"/>
      <c r="I249" s="20">
        <f>SUM(I239:I248)</f>
        <v>-158</v>
      </c>
      <c r="J249" s="20">
        <f t="shared" ref="J249" si="259">SUM(J239:J248)</f>
        <v>-181</v>
      </c>
      <c r="K249" s="20">
        <f>SUM(K239:K248)</f>
        <v>130</v>
      </c>
      <c r="L249" s="20">
        <f>SUM(L239:L248)</f>
        <v>606</v>
      </c>
      <c r="M249" s="20">
        <f>SUM(M239:M248)</f>
        <v>-657</v>
      </c>
      <c r="O249" s="20">
        <f t="shared" ref="O249:T249" si="260">SUM(O239:O248)</f>
        <v>-42.699999999999989</v>
      </c>
      <c r="P249" s="20">
        <f t="shared" si="260"/>
        <v>223.3</v>
      </c>
      <c r="Q249" s="20">
        <f t="shared" si="260"/>
        <v>-332.9</v>
      </c>
      <c r="R249" s="20">
        <f t="shared" si="260"/>
        <v>-262.7</v>
      </c>
      <c r="S249" s="20">
        <f t="shared" si="260"/>
        <v>-323</v>
      </c>
      <c r="T249" s="20">
        <f t="shared" si="260"/>
        <v>503</v>
      </c>
      <c r="U249" s="20">
        <f t="shared" ref="U249" si="261">SUM(U239:U248)</f>
        <v>-277</v>
      </c>
      <c r="V249" s="20">
        <f>SUM(V239:V248)</f>
        <v>-224</v>
      </c>
      <c r="W249" s="20">
        <f>SUM(W239:W248)</f>
        <v>-293</v>
      </c>
      <c r="X249" s="20">
        <f>SUM(X239:X248)</f>
        <v>736</v>
      </c>
      <c r="Y249" s="20"/>
    </row>
    <row r="250" spans="2:25" ht="3.75" customHeight="1" x14ac:dyDescent="0.2"/>
    <row r="251" spans="2:25" x14ac:dyDescent="0.2">
      <c r="B251" s="5" t="s">
        <v>125</v>
      </c>
      <c r="I251" s="22">
        <f>I228+I235+I249</f>
        <v>8</v>
      </c>
      <c r="J251" s="22">
        <f t="shared" ref="J251" si="262">J228+J235+J249</f>
        <v>-51</v>
      </c>
      <c r="K251" s="22">
        <f>K228+K235+K249</f>
        <v>256</v>
      </c>
      <c r="L251" s="22">
        <f>L228+L235+L249</f>
        <v>591</v>
      </c>
      <c r="M251" s="22">
        <f>M228+M235+M249</f>
        <v>-452</v>
      </c>
      <c r="O251" s="22">
        <f t="shared" ref="O251" si="263">O228+O235+O249</f>
        <v>-14.39999999999992</v>
      </c>
      <c r="P251" s="22">
        <f>P228+P235+P249</f>
        <v>267.29999999999967</v>
      </c>
      <c r="Q251" s="22">
        <f>Q228+Q235+Q249</f>
        <v>-212.79999999999995</v>
      </c>
      <c r="R251" s="22">
        <f>R228+R235+R249</f>
        <v>-4.0999999999998522</v>
      </c>
      <c r="S251" s="22">
        <f>S228+S235+S249</f>
        <v>35</v>
      </c>
      <c r="T251" s="22">
        <f>T228+T235+T249</f>
        <v>645</v>
      </c>
      <c r="U251" s="22">
        <f t="shared" ref="U251" si="264">U228+U235+U249</f>
        <v>-54</v>
      </c>
      <c r="V251" s="22">
        <f>V228+V235+V249</f>
        <v>105</v>
      </c>
      <c r="W251" s="22">
        <f>W228+W235+W249</f>
        <v>-151</v>
      </c>
      <c r="X251" s="22">
        <f>X228+X235+X249</f>
        <v>847</v>
      </c>
      <c r="Y251" s="22"/>
    </row>
    <row r="252" spans="2:25" x14ac:dyDescent="0.2">
      <c r="B252" s="5" t="s">
        <v>126</v>
      </c>
      <c r="I252" s="18">
        <v>6</v>
      </c>
      <c r="J252" s="18">
        <v>-1</v>
      </c>
      <c r="K252" s="18">
        <v>7</v>
      </c>
      <c r="L252" s="38">
        <f t="shared" ref="L252" si="265">X252-K252</f>
        <v>10</v>
      </c>
      <c r="M252" s="18">
        <v>-18</v>
      </c>
      <c r="O252" s="18">
        <v>2.8</v>
      </c>
      <c r="P252" s="18">
        <v>2</v>
      </c>
      <c r="Q252" s="18">
        <v>-3.5</v>
      </c>
      <c r="R252" s="18">
        <v>-3</v>
      </c>
      <c r="S252" s="18">
        <v>4</v>
      </c>
      <c r="T252" s="18">
        <v>-11</v>
      </c>
      <c r="U252" s="18">
        <v>3</v>
      </c>
      <c r="V252" s="18">
        <v>-3</v>
      </c>
      <c r="W252" s="18">
        <v>-3</v>
      </c>
      <c r="X252" s="18">
        <v>17</v>
      </c>
      <c r="Y252" s="18"/>
    </row>
    <row r="253" spans="2:25" x14ac:dyDescent="0.2">
      <c r="B253" s="7" t="s">
        <v>127</v>
      </c>
      <c r="I253" s="18">
        <v>722</v>
      </c>
      <c r="J253" s="18">
        <v>823</v>
      </c>
      <c r="K253" s="18">
        <v>883</v>
      </c>
      <c r="L253" s="38">
        <f>K254</f>
        <v>1146</v>
      </c>
      <c r="M253" s="18">
        <v>1747</v>
      </c>
      <c r="O253" s="18">
        <v>64.599999999999994</v>
      </c>
      <c r="P253" s="18">
        <v>53.1</v>
      </c>
      <c r="Q253" s="18">
        <v>322.39999999999998</v>
      </c>
      <c r="R253" s="18">
        <v>106.1</v>
      </c>
      <c r="S253" s="18">
        <v>99</v>
      </c>
      <c r="T253" s="18">
        <v>139</v>
      </c>
      <c r="U253" s="18">
        <v>773</v>
      </c>
      <c r="V253" s="18">
        <v>722</v>
      </c>
      <c r="W253" s="18">
        <v>823</v>
      </c>
      <c r="X253" s="18">
        <v>883</v>
      </c>
      <c r="Y253" s="18"/>
    </row>
    <row r="254" spans="2:25" x14ac:dyDescent="0.2">
      <c r="B254" s="7" t="s">
        <v>128</v>
      </c>
      <c r="C254" s="18">
        <v>854</v>
      </c>
      <c r="D254" s="18"/>
      <c r="E254" s="18">
        <v>1840</v>
      </c>
      <c r="F254" s="18"/>
      <c r="G254" s="18"/>
      <c r="I254" s="22">
        <f>I253+I252+I251</f>
        <v>736</v>
      </c>
      <c r="J254" s="22">
        <f t="shared" ref="J254" si="266">J253+J252+J251</f>
        <v>771</v>
      </c>
      <c r="K254" s="22">
        <f>K253+K252+K251</f>
        <v>1146</v>
      </c>
      <c r="L254" s="22">
        <f>L253+L252+L251</f>
        <v>1747</v>
      </c>
      <c r="M254" s="22">
        <f>M253+M252+M251</f>
        <v>1277</v>
      </c>
      <c r="O254" s="22">
        <f t="shared" ref="O254:T254" si="267">O253+O252+O251</f>
        <v>53.000000000000071</v>
      </c>
      <c r="P254" s="22">
        <f t="shared" si="267"/>
        <v>322.39999999999969</v>
      </c>
      <c r="Q254" s="22">
        <f t="shared" si="267"/>
        <v>106.10000000000002</v>
      </c>
      <c r="R254" s="22">
        <f t="shared" si="267"/>
        <v>99.000000000000142</v>
      </c>
      <c r="S254" s="22">
        <f t="shared" si="267"/>
        <v>138</v>
      </c>
      <c r="T254" s="22">
        <f t="shared" si="267"/>
        <v>773</v>
      </c>
      <c r="U254" s="22">
        <f t="shared" ref="U254" si="268">U253+U252+U251</f>
        <v>722</v>
      </c>
      <c r="V254" s="22">
        <f>V253+V252+V251</f>
        <v>824</v>
      </c>
      <c r="W254" s="22">
        <f>W253+W252+W251</f>
        <v>669</v>
      </c>
      <c r="X254" s="22">
        <f>X253+X252+X251</f>
        <v>1747</v>
      </c>
      <c r="Y254" s="22"/>
    </row>
    <row r="256" spans="2:25" x14ac:dyDescent="0.2">
      <c r="B256" s="157" t="s">
        <v>361</v>
      </c>
    </row>
    <row r="257" spans="2:25" x14ac:dyDescent="0.2">
      <c r="B257" s="158" t="s">
        <v>362</v>
      </c>
      <c r="X257" s="22">
        <f>X171</f>
        <v>685.03910614525137</v>
      </c>
      <c r="Y257" s="22">
        <f>Y171</f>
        <v>1016.1198398244139</v>
      </c>
    </row>
    <row r="258" spans="2:25" x14ac:dyDescent="0.2">
      <c r="B258" s="158" t="s">
        <v>372</v>
      </c>
      <c r="X258" s="22"/>
      <c r="Y258" s="22"/>
    </row>
    <row r="259" spans="2:25" x14ac:dyDescent="0.2">
      <c r="B259" s="159" t="s">
        <v>373</v>
      </c>
      <c r="X259" s="22"/>
      <c r="Y259" s="22">
        <f>-Y230</f>
        <v>429</v>
      </c>
    </row>
    <row r="260" spans="2:25" x14ac:dyDescent="0.2">
      <c r="B260" s="159" t="s">
        <v>374</v>
      </c>
      <c r="Y260" s="22">
        <f>-Y229</f>
        <v>86</v>
      </c>
    </row>
    <row r="261" spans="2:25" x14ac:dyDescent="0.2">
      <c r="B261" s="159" t="s">
        <v>375</v>
      </c>
      <c r="Y261" s="56">
        <v>158</v>
      </c>
    </row>
    <row r="262" spans="2:25" x14ac:dyDescent="0.2">
      <c r="B262" s="159" t="s">
        <v>378</v>
      </c>
      <c r="Y262" s="18">
        <v>38</v>
      </c>
    </row>
    <row r="263" spans="2:25" ht="14.25" x14ac:dyDescent="0.35">
      <c r="B263" s="159" t="s">
        <v>377</v>
      </c>
      <c r="Y263" s="24">
        <f>-Y234</f>
        <v>-92</v>
      </c>
    </row>
    <row r="264" spans="2:25" x14ac:dyDescent="0.2">
      <c r="B264" s="160" t="s">
        <v>376</v>
      </c>
      <c r="Y264" s="22">
        <f>+Y259+Y260+Y263+Y262</f>
        <v>461</v>
      </c>
    </row>
    <row r="265" spans="2:25" x14ac:dyDescent="0.2">
      <c r="B265" s="161" t="s">
        <v>363</v>
      </c>
    </row>
    <row r="266" spans="2:25" x14ac:dyDescent="0.2">
      <c r="B266" s="161" t="s">
        <v>364</v>
      </c>
      <c r="Y266" s="22">
        <f>-Y147-2</f>
        <v>109</v>
      </c>
    </row>
    <row r="267" spans="2:25" x14ac:dyDescent="0.2">
      <c r="B267" s="161" t="s">
        <v>365</v>
      </c>
    </row>
    <row r="268" spans="2:25" x14ac:dyDescent="0.2">
      <c r="B268" s="161" t="s">
        <v>366</v>
      </c>
    </row>
    <row r="269" spans="2:25" x14ac:dyDescent="0.2">
      <c r="B269" s="162" t="s">
        <v>367</v>
      </c>
      <c r="Y269" s="22">
        <f>Y264+Y266+Y267+Y268</f>
        <v>570</v>
      </c>
    </row>
    <row r="270" spans="2:25" x14ac:dyDescent="0.2">
      <c r="B270" s="8" t="s">
        <v>368</v>
      </c>
      <c r="Y270" s="22">
        <f>Y221</f>
        <v>-404</v>
      </c>
    </row>
    <row r="271" spans="2:25" x14ac:dyDescent="0.2">
      <c r="B271" s="163" t="s">
        <v>369</v>
      </c>
      <c r="C271" s="127"/>
      <c r="D271" s="127"/>
      <c r="E271" s="127"/>
      <c r="F271" s="127"/>
      <c r="G271" s="127"/>
      <c r="H271" s="127"/>
      <c r="I271" s="127"/>
      <c r="J271" s="127"/>
      <c r="K271" s="127"/>
      <c r="L271" s="127"/>
      <c r="M271" s="127"/>
      <c r="N271" s="127"/>
      <c r="O271" s="127"/>
      <c r="P271" s="127"/>
      <c r="Q271" s="127"/>
      <c r="R271" s="127"/>
      <c r="S271" s="127"/>
      <c r="T271" s="127"/>
      <c r="U271" s="127"/>
      <c r="V271" s="127"/>
      <c r="W271" s="127"/>
      <c r="X271" s="127"/>
      <c r="Y271" s="128">
        <f>Y264+Y269+Y270</f>
        <v>627</v>
      </c>
    </row>
    <row r="272" spans="2:25" x14ac:dyDescent="0.2">
      <c r="B272" s="5" t="s">
        <v>370</v>
      </c>
      <c r="Y272" s="126">
        <f>Y271/Y257</f>
        <v>0.61705320123298246</v>
      </c>
    </row>
    <row r="273" spans="2:25" ht="12.75" thickBot="1" x14ac:dyDescent="0.25">
      <c r="B273" s="164" t="s">
        <v>371</v>
      </c>
      <c r="C273" s="129"/>
      <c r="D273" s="129"/>
      <c r="E273" s="129"/>
      <c r="F273" s="129"/>
      <c r="G273" s="129"/>
      <c r="H273" s="129"/>
      <c r="I273" s="129"/>
      <c r="J273" s="129"/>
      <c r="K273" s="129"/>
      <c r="L273" s="129"/>
      <c r="M273" s="129"/>
      <c r="N273" s="129"/>
      <c r="O273" s="129"/>
      <c r="P273" s="129"/>
      <c r="Q273" s="129"/>
      <c r="R273" s="129"/>
      <c r="S273" s="129"/>
      <c r="T273" s="129"/>
      <c r="U273" s="129"/>
      <c r="V273" s="129"/>
      <c r="W273" s="129"/>
      <c r="X273" s="129"/>
      <c r="Y273" s="130">
        <f>Y257+Y271</f>
        <v>1643.1198398244139</v>
      </c>
    </row>
    <row r="274" spans="2:25" ht="12.75" thickTop="1" x14ac:dyDescent="0.2"/>
    <row r="275" spans="2:25" x14ac:dyDescent="0.2">
      <c r="B275" s="157" t="s">
        <v>408</v>
      </c>
    </row>
    <row r="276" spans="2:25" x14ac:dyDescent="0.2">
      <c r="B276" s="6" t="s">
        <v>409</v>
      </c>
      <c r="X276" s="22">
        <f>+X236</f>
        <v>255</v>
      </c>
      <c r="Y276" s="22">
        <f>+Y236</f>
        <v>395.375</v>
      </c>
    </row>
    <row r="277" spans="2:25" x14ac:dyDescent="0.2">
      <c r="B277" s="6" t="s">
        <v>410</v>
      </c>
      <c r="X277" s="114">
        <v>35</v>
      </c>
      <c r="Y277" s="114">
        <v>81</v>
      </c>
    </row>
    <row r="278" spans="2:25" x14ac:dyDescent="0.2">
      <c r="B278" s="6" t="s">
        <v>411</v>
      </c>
      <c r="X278" s="61">
        <f>+X170</f>
        <v>0.28268156424581004</v>
      </c>
      <c r="Y278" s="61">
        <f>+Y170</f>
        <v>0.2503035397403568</v>
      </c>
    </row>
    <row r="279" spans="2:25" x14ac:dyDescent="0.2">
      <c r="B279" s="5" t="s">
        <v>412</v>
      </c>
      <c r="X279" s="165">
        <f>+X276+X277*(1-X278)</f>
        <v>280.10614525139664</v>
      </c>
      <c r="Y279" s="165">
        <f>+Y276+Y277*(1-Y278)</f>
        <v>456.10041328103108</v>
      </c>
    </row>
    <row r="280" spans="2:25" x14ac:dyDescent="0.2">
      <c r="B280" s="5" t="s">
        <v>413</v>
      </c>
      <c r="X280" s="22">
        <f>X257-X279</f>
        <v>404.93296089385473</v>
      </c>
      <c r="Y280" s="22">
        <f>Y257-Y279</f>
        <v>560.01942654338291</v>
      </c>
    </row>
    <row r="281" spans="2:25" x14ac:dyDescent="0.2">
      <c r="B281" s="10" t="s">
        <v>414</v>
      </c>
      <c r="X281" s="126">
        <f>X280/X257</f>
        <v>0.59110926261192931</v>
      </c>
      <c r="Y281" s="126">
        <f>Y280/Y257</f>
        <v>0.55113521515351438</v>
      </c>
    </row>
  </sheetData>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623C60-8AFF-49B0-A3B5-681D9EFB3467}">
  <dimension ref="B2:H20"/>
  <sheetViews>
    <sheetView zoomScale="175" zoomScaleNormal="175" workbookViewId="0">
      <selection activeCell="G18" sqref="G18"/>
    </sheetView>
  </sheetViews>
  <sheetFormatPr defaultRowHeight="15" x14ac:dyDescent="0.25"/>
  <cols>
    <col min="2" max="2" width="57.42578125" bestFit="1" customWidth="1"/>
    <col min="5" max="5" width="4.5703125" customWidth="1"/>
  </cols>
  <sheetData>
    <row r="2" spans="2:8" x14ac:dyDescent="0.25">
      <c r="B2" t="s">
        <v>379</v>
      </c>
      <c r="C2" s="1">
        <v>2025</v>
      </c>
      <c r="D2" s="1">
        <v>2024</v>
      </c>
      <c r="E2" s="1"/>
      <c r="F2" t="s">
        <v>380</v>
      </c>
      <c r="G2" t="s">
        <v>379</v>
      </c>
      <c r="H2" t="s">
        <v>381</v>
      </c>
    </row>
    <row r="3" spans="2:8" x14ac:dyDescent="0.25">
      <c r="B3" s="2" t="s">
        <v>382</v>
      </c>
      <c r="C3" s="116">
        <v>256</v>
      </c>
      <c r="D3" s="116">
        <v>249</v>
      </c>
      <c r="E3" s="116"/>
      <c r="F3">
        <v>7</v>
      </c>
      <c r="G3">
        <v>7</v>
      </c>
      <c r="H3">
        <v>2.7</v>
      </c>
    </row>
    <row r="4" spans="2:8" x14ac:dyDescent="0.25">
      <c r="B4" s="2" t="s">
        <v>383</v>
      </c>
      <c r="C4" s="116">
        <v>115</v>
      </c>
      <c r="D4" s="116">
        <v>88</v>
      </c>
      <c r="E4" s="116"/>
      <c r="F4">
        <v>27</v>
      </c>
      <c r="G4">
        <v>27</v>
      </c>
      <c r="H4">
        <v>31</v>
      </c>
    </row>
    <row r="5" spans="2:8" x14ac:dyDescent="0.25">
      <c r="B5" s="2" t="s">
        <v>384</v>
      </c>
      <c r="C5" s="117">
        <v>5</v>
      </c>
      <c r="D5" s="117">
        <v>5</v>
      </c>
      <c r="E5" s="117"/>
      <c r="F5">
        <v>1</v>
      </c>
      <c r="G5">
        <v>1</v>
      </c>
      <c r="H5">
        <v>10.6</v>
      </c>
    </row>
    <row r="6" spans="2:8" x14ac:dyDescent="0.25">
      <c r="B6" s="1" t="s">
        <v>385</v>
      </c>
      <c r="C6" s="1">
        <f>C3+C4+C5</f>
        <v>376</v>
      </c>
      <c r="D6" s="1">
        <f>D3+D4+D5</f>
        <v>342</v>
      </c>
      <c r="E6" s="1"/>
      <c r="F6">
        <v>35</v>
      </c>
      <c r="G6">
        <v>35</v>
      </c>
      <c r="H6">
        <v>10.1</v>
      </c>
    </row>
    <row r="7" spans="2:8" ht="17.25" x14ac:dyDescent="0.4">
      <c r="B7" t="s">
        <v>386</v>
      </c>
      <c r="C7" s="119">
        <v>-138</v>
      </c>
      <c r="D7" s="119">
        <v>-112</v>
      </c>
      <c r="E7" s="116"/>
      <c r="F7" t="s">
        <v>387</v>
      </c>
      <c r="G7" t="s">
        <v>387</v>
      </c>
      <c r="H7" t="s">
        <v>388</v>
      </c>
    </row>
    <row r="8" spans="2:8" x14ac:dyDescent="0.25">
      <c r="B8" s="124" t="s">
        <v>389</v>
      </c>
      <c r="C8" s="125">
        <f>C6+C7</f>
        <v>238</v>
      </c>
      <c r="D8" s="124">
        <v>231</v>
      </c>
      <c r="F8">
        <v>9</v>
      </c>
      <c r="G8">
        <v>9</v>
      </c>
      <c r="H8">
        <v>3.7</v>
      </c>
    </row>
    <row r="9" spans="2:8" x14ac:dyDescent="0.25">
      <c r="B9" s="115" t="s">
        <v>390</v>
      </c>
    </row>
    <row r="10" spans="2:8" x14ac:dyDescent="0.25">
      <c r="B10" t="s">
        <v>391</v>
      </c>
      <c r="C10" s="116">
        <v>-93</v>
      </c>
      <c r="D10" s="116">
        <v>-93</v>
      </c>
      <c r="F10">
        <v>0</v>
      </c>
      <c r="G10">
        <v>0</v>
      </c>
      <c r="H10">
        <v>0</v>
      </c>
    </row>
    <row r="11" spans="2:8" x14ac:dyDescent="0.25">
      <c r="B11" t="s">
        <v>392</v>
      </c>
      <c r="C11" s="117">
        <v>36</v>
      </c>
      <c r="D11" s="117">
        <v>90</v>
      </c>
      <c r="F11" t="s">
        <v>393</v>
      </c>
      <c r="G11" t="s">
        <v>393</v>
      </c>
      <c r="H11" t="s">
        <v>394</v>
      </c>
    </row>
    <row r="12" spans="2:8" x14ac:dyDescent="0.25">
      <c r="B12" t="s">
        <v>395</v>
      </c>
      <c r="C12" s="118">
        <f>C8+C10+C11</f>
        <v>181</v>
      </c>
      <c r="D12" s="118">
        <f>D8+D10+D11</f>
        <v>228</v>
      </c>
      <c r="F12" t="s">
        <v>396</v>
      </c>
      <c r="G12" t="s">
        <v>396</v>
      </c>
      <c r="H12" t="s">
        <v>397</v>
      </c>
    </row>
    <row r="13" spans="2:8" x14ac:dyDescent="0.25">
      <c r="B13" t="s">
        <v>398</v>
      </c>
      <c r="C13">
        <v>71</v>
      </c>
      <c r="D13">
        <v>122</v>
      </c>
      <c r="F13" t="s">
        <v>399</v>
      </c>
      <c r="G13" t="s">
        <v>399</v>
      </c>
      <c r="H13" t="s">
        <v>400</v>
      </c>
    </row>
    <row r="14" spans="2:8" x14ac:dyDescent="0.25">
      <c r="B14" t="s">
        <v>401</v>
      </c>
      <c r="C14">
        <v>111</v>
      </c>
      <c r="D14">
        <v>106</v>
      </c>
      <c r="F14">
        <v>5</v>
      </c>
      <c r="G14">
        <v>5</v>
      </c>
      <c r="H14">
        <v>4.8</v>
      </c>
    </row>
    <row r="16" spans="2:8" x14ac:dyDescent="0.25">
      <c r="B16" t="s">
        <v>405</v>
      </c>
      <c r="C16" s="122">
        <v>8</v>
      </c>
    </row>
    <row r="18" spans="2:3" x14ac:dyDescent="0.25">
      <c r="B18" s="120" t="s">
        <v>402</v>
      </c>
    </row>
    <row r="19" spans="2:3" x14ac:dyDescent="0.25">
      <c r="B19" t="s">
        <v>403</v>
      </c>
      <c r="C19" s="118">
        <f>C12</f>
        <v>181</v>
      </c>
    </row>
    <row r="20" spans="2:3" x14ac:dyDescent="0.25">
      <c r="B20" t="s">
        <v>404</v>
      </c>
      <c r="C20" s="121">
        <f>-C19/C16</f>
        <v>-22.625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FE9145-4100-4D4A-969B-07C32D04CC1E}">
  <dimension ref="A1"/>
  <sheetViews>
    <sheetView workbookViewId="0"/>
  </sheetViews>
  <sheetFormatPr defaultRowHeight="15" x14ac:dyDescent="0.25"/>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675A7F-2503-4D0B-AF5B-556F3972C8C8}">
  <dimension ref="B2:T42"/>
  <sheetViews>
    <sheetView workbookViewId="0">
      <pane xSplit="2" ySplit="2" topLeftCell="D3" activePane="bottomRight" state="frozen"/>
      <selection pane="topRight" activeCell="C1" sqref="C1"/>
      <selection pane="bottomLeft" activeCell="A3" sqref="A3"/>
      <selection pane="bottomRight" activeCell="M19" sqref="M19"/>
    </sheetView>
  </sheetViews>
  <sheetFormatPr defaultRowHeight="12" x14ac:dyDescent="0.2"/>
  <cols>
    <col min="1" max="1" width="9.140625" style="5"/>
    <col min="2" max="2" width="36.28515625" style="5" bestFit="1" customWidth="1"/>
    <col min="3" max="16384" width="9.140625" style="5"/>
  </cols>
  <sheetData>
    <row r="2" spans="2:20" x14ac:dyDescent="0.2">
      <c r="C2" s="16" t="s">
        <v>308</v>
      </c>
      <c r="D2" s="5" t="s">
        <v>307</v>
      </c>
      <c r="F2" s="16" t="s">
        <v>304</v>
      </c>
      <c r="G2" s="5" t="s">
        <v>298</v>
      </c>
      <c r="H2" s="5" t="s">
        <v>309</v>
      </c>
      <c r="I2" s="5" t="s">
        <v>302</v>
      </c>
      <c r="J2" s="5" t="s">
        <v>305</v>
      </c>
      <c r="K2" s="5" t="s">
        <v>303</v>
      </c>
      <c r="L2" s="16" t="s">
        <v>173</v>
      </c>
      <c r="M2" s="5" t="s">
        <v>197</v>
      </c>
      <c r="N2" s="16" t="s">
        <v>132</v>
      </c>
      <c r="O2" s="16" t="s">
        <v>142</v>
      </c>
      <c r="P2" s="5" t="s">
        <v>174</v>
      </c>
      <c r="Q2" s="5" t="s">
        <v>203</v>
      </c>
      <c r="R2" s="5" t="s">
        <v>131</v>
      </c>
      <c r="S2" s="5" t="s">
        <v>143</v>
      </c>
      <c r="T2" s="10" t="s">
        <v>316</v>
      </c>
    </row>
    <row r="3" spans="2:20" x14ac:dyDescent="0.2">
      <c r="B3" s="5" t="s">
        <v>41</v>
      </c>
      <c r="C3" s="18">
        <v>1349</v>
      </c>
      <c r="D3" s="18">
        <v>1180</v>
      </c>
      <c r="E3" s="18">
        <v>0</v>
      </c>
      <c r="F3" s="18">
        <v>1180</v>
      </c>
      <c r="G3" s="18">
        <v>1289</v>
      </c>
      <c r="H3" s="18">
        <v>1004</v>
      </c>
      <c r="I3" s="18">
        <v>1513</v>
      </c>
      <c r="J3" s="18">
        <v>1544</v>
      </c>
      <c r="K3" s="18">
        <v>1549</v>
      </c>
      <c r="L3" s="18">
        <v>560</v>
      </c>
      <c r="M3" s="18">
        <v>2125</v>
      </c>
      <c r="N3" s="18">
        <v>1650</v>
      </c>
      <c r="O3" s="18">
        <v>1740</v>
      </c>
      <c r="P3" s="18">
        <v>1897</v>
      </c>
      <c r="Q3" s="18">
        <v>1711</v>
      </c>
      <c r="R3" s="18">
        <v>2111</v>
      </c>
      <c r="S3" s="18">
        <v>2087</v>
      </c>
    </row>
    <row r="4" spans="2:20" x14ac:dyDescent="0.2">
      <c r="B4" s="5" t="s">
        <v>17</v>
      </c>
      <c r="C4" s="18">
        <v>1349</v>
      </c>
      <c r="D4" s="18">
        <v>1180</v>
      </c>
      <c r="E4" s="18">
        <v>0</v>
      </c>
      <c r="F4" s="18">
        <v>1180</v>
      </c>
      <c r="G4" s="18">
        <v>1289</v>
      </c>
      <c r="H4" s="18">
        <v>1004</v>
      </c>
      <c r="I4" s="18">
        <v>1513</v>
      </c>
      <c r="J4" s="18">
        <v>1544</v>
      </c>
      <c r="K4" s="18">
        <v>1549</v>
      </c>
      <c r="L4" s="18">
        <v>1525</v>
      </c>
      <c r="M4" s="18">
        <v>2195</v>
      </c>
      <c r="N4" s="18">
        <v>1675</v>
      </c>
      <c r="O4" s="18">
        <v>1755</v>
      </c>
      <c r="P4" s="18">
        <v>1864</v>
      </c>
      <c r="Q4" s="18">
        <v>1678</v>
      </c>
      <c r="R4" s="18">
        <v>2092</v>
      </c>
      <c r="S4" s="18">
        <v>2048</v>
      </c>
      <c r="T4" s="36">
        <f>S4+R4+Q4+P4</f>
        <v>7682</v>
      </c>
    </row>
    <row r="5" spans="2:20" x14ac:dyDescent="0.2">
      <c r="B5" s="6" t="s">
        <v>310</v>
      </c>
      <c r="C5" s="18"/>
      <c r="D5" s="18"/>
      <c r="E5" s="18"/>
      <c r="F5" s="18"/>
      <c r="G5" s="18"/>
      <c r="H5" s="41">
        <f>H4/C4-1</f>
        <v>-0.25574499629355074</v>
      </c>
      <c r="I5" s="41">
        <f t="shared" ref="I5" si="0">I4/D4-1</f>
        <v>0.28220338983050852</v>
      </c>
      <c r="J5" s="41">
        <f>J4/F4-1</f>
        <v>0.30847457627118646</v>
      </c>
      <c r="K5" s="41">
        <f t="shared" ref="K5:S5" si="1">K4/G4-1</f>
        <v>0.2017067494181537</v>
      </c>
      <c r="L5" s="41">
        <f t="shared" si="1"/>
        <v>0.5189243027888446</v>
      </c>
      <c r="M5" s="41">
        <f t="shared" si="1"/>
        <v>0.45076007931262385</v>
      </c>
      <c r="N5" s="41">
        <f t="shared" si="1"/>
        <v>8.4844559585492307E-2</v>
      </c>
      <c r="O5" s="41">
        <f t="shared" si="1"/>
        <v>0.13298902517753386</v>
      </c>
      <c r="P5" s="41">
        <f t="shared" si="1"/>
        <v>0.22229508196721315</v>
      </c>
      <c r="Q5" s="41">
        <f t="shared" si="1"/>
        <v>-0.23553530751708429</v>
      </c>
      <c r="R5" s="41">
        <f t="shared" si="1"/>
        <v>0.24895522388059699</v>
      </c>
      <c r="S5" s="41">
        <f t="shared" si="1"/>
        <v>0.16695156695156688</v>
      </c>
    </row>
    <row r="6" spans="2:20" x14ac:dyDescent="0.2">
      <c r="B6" s="42" t="s">
        <v>199</v>
      </c>
    </row>
    <row r="7" spans="2:20" x14ac:dyDescent="0.2">
      <c r="B7" s="6" t="s">
        <v>170</v>
      </c>
      <c r="C7" s="18">
        <v>350</v>
      </c>
      <c r="D7" s="18">
        <v>300</v>
      </c>
      <c r="E7" s="18">
        <v>0</v>
      </c>
      <c r="F7" s="18">
        <v>278</v>
      </c>
      <c r="G7" s="18">
        <v>318</v>
      </c>
      <c r="H7" s="18">
        <v>251</v>
      </c>
      <c r="I7" s="18">
        <v>388</v>
      </c>
      <c r="J7" s="18">
        <v>446</v>
      </c>
      <c r="K7" s="18">
        <v>387</v>
      </c>
      <c r="L7" s="18">
        <v>393</v>
      </c>
      <c r="M7" s="18">
        <v>551</v>
      </c>
      <c r="N7" s="18">
        <v>433</v>
      </c>
      <c r="O7" s="18">
        <v>470</v>
      </c>
      <c r="P7" s="18">
        <v>465</v>
      </c>
      <c r="Q7" s="18">
        <v>419</v>
      </c>
      <c r="R7" s="18">
        <v>507</v>
      </c>
      <c r="S7" s="18">
        <v>645</v>
      </c>
      <c r="T7" s="22">
        <f>S7+R7+Q7+P7</f>
        <v>2036</v>
      </c>
    </row>
    <row r="8" spans="2:20" ht="14.25" x14ac:dyDescent="0.35">
      <c r="B8" s="6" t="s">
        <v>8</v>
      </c>
      <c r="C8" s="19">
        <v>95</v>
      </c>
      <c r="D8" s="19">
        <v>172</v>
      </c>
      <c r="E8" s="19">
        <v>0</v>
      </c>
      <c r="F8" s="19">
        <v>108</v>
      </c>
      <c r="G8" s="19">
        <v>106</v>
      </c>
      <c r="H8" s="19">
        <v>123</v>
      </c>
      <c r="I8" s="19">
        <v>187</v>
      </c>
      <c r="J8" s="19">
        <v>103</v>
      </c>
      <c r="K8" s="19">
        <v>126</v>
      </c>
      <c r="L8" s="19">
        <v>138</v>
      </c>
      <c r="M8" s="19">
        <v>186</v>
      </c>
      <c r="N8" s="19">
        <v>124</v>
      </c>
      <c r="O8" s="19">
        <v>148</v>
      </c>
      <c r="P8" s="19">
        <v>153</v>
      </c>
      <c r="Q8" s="19">
        <v>171</v>
      </c>
      <c r="R8" s="19">
        <v>113</v>
      </c>
      <c r="S8" s="19">
        <v>147</v>
      </c>
      <c r="T8" s="22">
        <f t="shared" ref="T8:T10" si="2">S8+R8+Q8+P8</f>
        <v>584</v>
      </c>
    </row>
    <row r="9" spans="2:20" x14ac:dyDescent="0.2">
      <c r="B9" s="5" t="s">
        <v>171</v>
      </c>
      <c r="C9" s="22">
        <f>C7+C8</f>
        <v>445</v>
      </c>
      <c r="D9" s="22">
        <f t="shared" ref="D9" si="3">D7+D8</f>
        <v>472</v>
      </c>
      <c r="E9" s="22">
        <f t="shared" ref="E9" si="4">E7+E8</f>
        <v>0</v>
      </c>
      <c r="F9" s="22">
        <f>F7+F8</f>
        <v>386</v>
      </c>
      <c r="G9" s="22">
        <f>G7+G8</f>
        <v>424</v>
      </c>
      <c r="H9" s="22">
        <f t="shared" ref="H9" si="5">H7+H8</f>
        <v>374</v>
      </c>
      <c r="I9" s="22">
        <f>I7+I8</f>
        <v>575</v>
      </c>
      <c r="J9" s="22">
        <f t="shared" ref="J9" si="6">J7+J8</f>
        <v>549</v>
      </c>
      <c r="K9" s="22">
        <f t="shared" ref="K9:S9" si="7">K7+K8</f>
        <v>513</v>
      </c>
      <c r="L9" s="22">
        <f t="shared" si="7"/>
        <v>531</v>
      </c>
      <c r="M9" s="22">
        <f t="shared" si="7"/>
        <v>737</v>
      </c>
      <c r="N9" s="22">
        <f t="shared" si="7"/>
        <v>557</v>
      </c>
      <c r="O9" s="22">
        <f t="shared" si="7"/>
        <v>618</v>
      </c>
      <c r="P9" s="22">
        <f t="shared" si="7"/>
        <v>618</v>
      </c>
      <c r="Q9" s="22">
        <f t="shared" si="7"/>
        <v>590</v>
      </c>
      <c r="R9" s="22">
        <f t="shared" si="7"/>
        <v>620</v>
      </c>
      <c r="S9" s="22">
        <f t="shared" si="7"/>
        <v>792</v>
      </c>
      <c r="T9" s="22">
        <f t="shared" si="2"/>
        <v>2620</v>
      </c>
    </row>
    <row r="10" spans="2:20" x14ac:dyDescent="0.2">
      <c r="B10" s="5" t="s">
        <v>172</v>
      </c>
      <c r="C10" s="18">
        <v>933</v>
      </c>
      <c r="D10" s="18">
        <v>731</v>
      </c>
      <c r="E10" s="18">
        <v>0</v>
      </c>
      <c r="F10" s="18">
        <v>819</v>
      </c>
      <c r="G10" s="18">
        <v>892</v>
      </c>
      <c r="H10" s="18">
        <v>658</v>
      </c>
      <c r="I10" s="18">
        <v>973</v>
      </c>
      <c r="J10" s="18">
        <v>1021</v>
      </c>
      <c r="K10" s="18">
        <v>1060</v>
      </c>
      <c r="L10" s="18">
        <v>1026</v>
      </c>
      <c r="M10" s="18">
        <v>1489</v>
      </c>
      <c r="N10" s="18">
        <v>1141</v>
      </c>
      <c r="O10" s="18">
        <v>1163</v>
      </c>
      <c r="P10" s="18">
        <v>1274</v>
      </c>
      <c r="Q10" s="18">
        <v>1117</v>
      </c>
      <c r="R10" s="18">
        <v>1521</v>
      </c>
      <c r="S10" s="18">
        <v>1278</v>
      </c>
      <c r="T10" s="22">
        <f t="shared" si="2"/>
        <v>5190</v>
      </c>
    </row>
    <row r="11" spans="2:20" x14ac:dyDescent="0.2">
      <c r="B11" s="42" t="s">
        <v>311</v>
      </c>
      <c r="C11" s="18"/>
      <c r="D11" s="18"/>
      <c r="E11" s="18"/>
      <c r="F11" s="18"/>
      <c r="G11" s="18"/>
      <c r="H11" s="18"/>
      <c r="I11" s="18"/>
      <c r="J11" s="18"/>
      <c r="K11" s="18"/>
      <c r="L11" s="18"/>
      <c r="M11" s="18"/>
      <c r="N11" s="18"/>
      <c r="O11" s="18"/>
      <c r="P11" s="18"/>
      <c r="Q11" s="18"/>
      <c r="R11" s="18"/>
      <c r="S11" s="18"/>
    </row>
    <row r="12" spans="2:20" x14ac:dyDescent="0.2">
      <c r="B12" s="6" t="s">
        <v>312</v>
      </c>
      <c r="C12" s="51">
        <f>C9/C$4</f>
        <v>0.32987398072646407</v>
      </c>
      <c r="D12" s="51">
        <f t="shared" ref="D12:S12" si="8">D9/D$4</f>
        <v>0.4</v>
      </c>
      <c r="E12" s="51" t="e">
        <f t="shared" si="8"/>
        <v>#DIV/0!</v>
      </c>
      <c r="F12" s="51">
        <f t="shared" si="8"/>
        <v>0.32711864406779662</v>
      </c>
      <c r="G12" s="51">
        <f t="shared" si="8"/>
        <v>0.32893716058960437</v>
      </c>
      <c r="H12" s="51">
        <f t="shared" si="8"/>
        <v>0.37250996015936255</v>
      </c>
      <c r="I12" s="51">
        <f t="shared" si="8"/>
        <v>0.38003965631196301</v>
      </c>
      <c r="J12" s="51">
        <f t="shared" si="8"/>
        <v>0.35556994818652848</v>
      </c>
      <c r="K12" s="51">
        <f t="shared" si="8"/>
        <v>0.33118140735958684</v>
      </c>
      <c r="L12" s="51">
        <f t="shared" si="8"/>
        <v>0.34819672131147539</v>
      </c>
      <c r="M12" s="51">
        <f t="shared" si="8"/>
        <v>0.33576309794988612</v>
      </c>
      <c r="N12" s="51">
        <f t="shared" si="8"/>
        <v>0.33253731343283582</v>
      </c>
      <c r="O12" s="51">
        <f t="shared" si="8"/>
        <v>0.35213675213675216</v>
      </c>
      <c r="P12" s="51">
        <f t="shared" si="8"/>
        <v>0.33154506437768239</v>
      </c>
      <c r="Q12" s="51">
        <f t="shared" si="8"/>
        <v>0.35160905840286055</v>
      </c>
      <c r="R12" s="51">
        <f t="shared" si="8"/>
        <v>0.29636711281070743</v>
      </c>
      <c r="S12" s="51">
        <f t="shared" si="8"/>
        <v>0.38671875</v>
      </c>
      <c r="T12" s="51">
        <f t="shared" ref="T12" si="9">T9/T$4</f>
        <v>0.34105701640197866</v>
      </c>
    </row>
    <row r="13" spans="2:20" x14ac:dyDescent="0.2">
      <c r="B13" s="6" t="s">
        <v>287</v>
      </c>
      <c r="C13" s="51">
        <f>C10/C$4</f>
        <v>0.69162342475908078</v>
      </c>
      <c r="D13" s="51">
        <f t="shared" ref="D13:S13" si="10">D10/D$4</f>
        <v>0.61949152542372876</v>
      </c>
      <c r="E13" s="51" t="e">
        <f t="shared" si="10"/>
        <v>#DIV/0!</v>
      </c>
      <c r="F13" s="51">
        <f t="shared" si="10"/>
        <v>0.69406779661016949</v>
      </c>
      <c r="G13" s="51">
        <f t="shared" si="10"/>
        <v>0.69200930954228079</v>
      </c>
      <c r="H13" s="51">
        <f t="shared" si="10"/>
        <v>0.65537848605577687</v>
      </c>
      <c r="I13" s="51">
        <f t="shared" si="10"/>
        <v>0.64309319233311302</v>
      </c>
      <c r="J13" s="51">
        <f t="shared" si="10"/>
        <v>0.66126943005181349</v>
      </c>
      <c r="K13" s="51">
        <f t="shared" si="10"/>
        <v>0.68431245965138798</v>
      </c>
      <c r="L13" s="51">
        <f t="shared" si="10"/>
        <v>0.67278688524590169</v>
      </c>
      <c r="M13" s="51">
        <f t="shared" si="10"/>
        <v>0.67835990888382691</v>
      </c>
      <c r="N13" s="51">
        <f t="shared" si="10"/>
        <v>0.68119402985074629</v>
      </c>
      <c r="O13" s="51">
        <f t="shared" si="10"/>
        <v>0.66267806267806273</v>
      </c>
      <c r="P13" s="51">
        <f t="shared" si="10"/>
        <v>0.6834763948497854</v>
      </c>
      <c r="Q13" s="51">
        <f t="shared" si="10"/>
        <v>0.66567342073897495</v>
      </c>
      <c r="R13" s="51">
        <f t="shared" si="10"/>
        <v>0.72705544933078392</v>
      </c>
      <c r="S13" s="51">
        <f t="shared" si="10"/>
        <v>0.6240234375</v>
      </c>
      <c r="T13" s="51">
        <f t="shared" ref="T13" si="11">T10/T$4</f>
        <v>0.67560531111689659</v>
      </c>
    </row>
    <row r="14" spans="2:20" x14ac:dyDescent="0.2">
      <c r="B14" s="5" t="s">
        <v>175</v>
      </c>
      <c r="G14" s="18">
        <v>159</v>
      </c>
      <c r="K14" s="18">
        <v>193</v>
      </c>
      <c r="M14" s="5">
        <v>233</v>
      </c>
      <c r="N14" s="18">
        <v>188</v>
      </c>
      <c r="O14" s="18">
        <v>232</v>
      </c>
      <c r="Q14" s="5">
        <v>249</v>
      </c>
      <c r="R14" s="18">
        <v>314</v>
      </c>
      <c r="S14" s="18">
        <v>390</v>
      </c>
      <c r="T14" s="22">
        <f>S14+R14+Q14+P14</f>
        <v>953</v>
      </c>
    </row>
    <row r="15" spans="2:20" x14ac:dyDescent="0.2">
      <c r="B15" s="6" t="s">
        <v>176</v>
      </c>
      <c r="C15" s="18">
        <v>86</v>
      </c>
      <c r="D15" s="18">
        <v>118</v>
      </c>
      <c r="E15" s="18">
        <v>0</v>
      </c>
      <c r="F15" s="18">
        <v>78</v>
      </c>
      <c r="G15" s="18">
        <v>87</v>
      </c>
      <c r="H15" s="18">
        <v>89</v>
      </c>
      <c r="I15" s="18">
        <v>136</v>
      </c>
      <c r="J15" s="18">
        <v>141</v>
      </c>
      <c r="K15" s="18">
        <v>121</v>
      </c>
      <c r="L15" s="18">
        <v>111</v>
      </c>
      <c r="M15" s="18">
        <v>168</v>
      </c>
      <c r="N15" s="18">
        <v>130</v>
      </c>
      <c r="O15" s="18">
        <v>157</v>
      </c>
      <c r="P15" s="18">
        <v>156</v>
      </c>
      <c r="Q15" s="18">
        <v>115</v>
      </c>
      <c r="R15" s="18">
        <v>176</v>
      </c>
      <c r="S15" s="18">
        <v>239</v>
      </c>
      <c r="T15" s="22">
        <f t="shared" ref="T15:T17" si="12">S15+R15+Q15+P15</f>
        <v>686</v>
      </c>
    </row>
    <row r="16" spans="2:20" ht="14.25" x14ac:dyDescent="0.35">
      <c r="B16" s="6" t="s">
        <v>177</v>
      </c>
      <c r="C16" s="19">
        <v>72</v>
      </c>
      <c r="D16" s="19">
        <v>44</v>
      </c>
      <c r="E16" s="19">
        <v>0</v>
      </c>
      <c r="F16" s="19">
        <v>53</v>
      </c>
      <c r="G16" s="19">
        <v>72</v>
      </c>
      <c r="H16" s="19">
        <v>28</v>
      </c>
      <c r="I16" s="19">
        <v>72</v>
      </c>
      <c r="J16" s="19">
        <v>70</v>
      </c>
      <c r="K16" s="19">
        <v>72</v>
      </c>
      <c r="L16" s="19">
        <v>81</v>
      </c>
      <c r="M16" s="19">
        <v>138</v>
      </c>
      <c r="N16" s="19">
        <v>88</v>
      </c>
      <c r="O16" s="19">
        <v>95</v>
      </c>
      <c r="P16" s="19">
        <v>118</v>
      </c>
      <c r="Q16" s="19">
        <v>106</v>
      </c>
      <c r="R16" s="19">
        <v>125</v>
      </c>
      <c r="S16" s="19">
        <v>116</v>
      </c>
      <c r="T16" s="22">
        <f t="shared" si="12"/>
        <v>465</v>
      </c>
    </row>
    <row r="17" spans="2:20" x14ac:dyDescent="0.2">
      <c r="B17" s="7" t="s">
        <v>178</v>
      </c>
      <c r="C17" s="22">
        <f>C15+C16</f>
        <v>158</v>
      </c>
      <c r="D17" s="22">
        <f>D15+D16</f>
        <v>162</v>
      </c>
      <c r="E17" s="22">
        <f t="shared" ref="E17" si="13">E15+E16</f>
        <v>0</v>
      </c>
      <c r="F17" s="22">
        <f>F15+F16</f>
        <v>131</v>
      </c>
      <c r="G17" s="22">
        <f>G15+G16</f>
        <v>159</v>
      </c>
      <c r="H17" s="22">
        <f t="shared" ref="H17" si="14">H15+H16</f>
        <v>117</v>
      </c>
      <c r="I17" s="22">
        <f t="shared" ref="I17:S17" si="15">I15+I16</f>
        <v>208</v>
      </c>
      <c r="J17" s="22">
        <f t="shared" si="15"/>
        <v>211</v>
      </c>
      <c r="K17" s="22">
        <f t="shared" si="15"/>
        <v>193</v>
      </c>
      <c r="L17" s="22">
        <f t="shared" si="15"/>
        <v>192</v>
      </c>
      <c r="M17" s="22">
        <f t="shared" si="15"/>
        <v>306</v>
      </c>
      <c r="N17" s="22">
        <f t="shared" si="15"/>
        <v>218</v>
      </c>
      <c r="O17" s="22">
        <f t="shared" si="15"/>
        <v>252</v>
      </c>
      <c r="P17" s="22">
        <f t="shared" si="15"/>
        <v>274</v>
      </c>
      <c r="Q17" s="22">
        <f t="shared" si="15"/>
        <v>221</v>
      </c>
      <c r="R17" s="22">
        <f t="shared" si="15"/>
        <v>301</v>
      </c>
      <c r="S17" s="22">
        <f t="shared" si="15"/>
        <v>355</v>
      </c>
      <c r="T17" s="22">
        <f t="shared" si="12"/>
        <v>1151</v>
      </c>
    </row>
    <row r="18" spans="2:20" x14ac:dyDescent="0.2">
      <c r="B18" s="6" t="s">
        <v>200</v>
      </c>
      <c r="C18" s="41">
        <f>C15/C9</f>
        <v>0.19325842696629214</v>
      </c>
      <c r="D18" s="41">
        <f>D15/D9</f>
        <v>0.25</v>
      </c>
      <c r="E18" s="41" t="e">
        <f t="shared" ref="E18" si="16">E15/E9</f>
        <v>#DIV/0!</v>
      </c>
      <c r="F18" s="41">
        <f t="shared" ref="F18:H19" si="17">F15/F9</f>
        <v>0.20207253886010362</v>
      </c>
      <c r="G18" s="41">
        <f t="shared" si="17"/>
        <v>0.20518867924528303</v>
      </c>
      <c r="H18" s="41">
        <f t="shared" si="17"/>
        <v>0.23796791443850268</v>
      </c>
      <c r="I18" s="41">
        <f t="shared" ref="I18:S18" si="18">I15/I9</f>
        <v>0.23652173913043478</v>
      </c>
      <c r="J18" s="41">
        <f t="shared" si="18"/>
        <v>0.25683060109289618</v>
      </c>
      <c r="K18" s="41">
        <f t="shared" si="18"/>
        <v>0.23586744639376217</v>
      </c>
      <c r="L18" s="41">
        <f t="shared" si="18"/>
        <v>0.20903954802259886</v>
      </c>
      <c r="M18" s="41">
        <f t="shared" si="18"/>
        <v>0.22795115332428764</v>
      </c>
      <c r="N18" s="41">
        <f t="shared" si="18"/>
        <v>0.23339317773788151</v>
      </c>
      <c r="O18" s="41">
        <f t="shared" si="18"/>
        <v>0.25404530744336568</v>
      </c>
      <c r="P18" s="41">
        <f t="shared" si="18"/>
        <v>0.25242718446601942</v>
      </c>
      <c r="Q18" s="41">
        <f t="shared" si="18"/>
        <v>0.19491525423728814</v>
      </c>
      <c r="R18" s="41">
        <f t="shared" si="18"/>
        <v>0.28387096774193549</v>
      </c>
      <c r="S18" s="41">
        <f t="shared" si="18"/>
        <v>0.30176767676767674</v>
      </c>
      <c r="T18" s="41">
        <f t="shared" ref="T18" si="19">T15/T9</f>
        <v>0.26183206106870227</v>
      </c>
    </row>
    <row r="19" spans="2:20" x14ac:dyDescent="0.2">
      <c r="B19" s="6" t="s">
        <v>201</v>
      </c>
      <c r="C19" s="41">
        <f>C16/C10</f>
        <v>7.7170418006430874E-2</v>
      </c>
      <c r="D19" s="41">
        <f>D16/D10</f>
        <v>6.0191518467852256E-2</v>
      </c>
      <c r="E19" s="41" t="e">
        <f t="shared" ref="E19" si="20">E16/E10</f>
        <v>#DIV/0!</v>
      </c>
      <c r="F19" s="41">
        <f t="shared" si="17"/>
        <v>6.4713064713064719E-2</v>
      </c>
      <c r="G19" s="41">
        <f t="shared" si="17"/>
        <v>8.0717488789237665E-2</v>
      </c>
      <c r="H19" s="41">
        <f t="shared" si="17"/>
        <v>4.2553191489361701E-2</v>
      </c>
      <c r="I19" s="41">
        <f t="shared" ref="I19:S19" si="21">I16/I10</f>
        <v>7.3997944501541624E-2</v>
      </c>
      <c r="J19" s="41">
        <f t="shared" si="21"/>
        <v>6.8560235063663072E-2</v>
      </c>
      <c r="K19" s="41">
        <f t="shared" si="21"/>
        <v>6.7924528301886791E-2</v>
      </c>
      <c r="L19" s="41">
        <f t="shared" si="21"/>
        <v>7.8947368421052627E-2</v>
      </c>
      <c r="M19" s="41">
        <f t="shared" si="21"/>
        <v>9.2679650772330424E-2</v>
      </c>
      <c r="N19" s="41">
        <f t="shared" si="21"/>
        <v>7.7125328659070985E-2</v>
      </c>
      <c r="O19" s="41">
        <f t="shared" si="21"/>
        <v>8.1685296646603608E-2</v>
      </c>
      <c r="P19" s="41">
        <f t="shared" si="21"/>
        <v>9.2621664050235475E-2</v>
      </c>
      <c r="Q19" s="41">
        <f t="shared" si="21"/>
        <v>9.4897045658012533E-2</v>
      </c>
      <c r="R19" s="41">
        <f t="shared" si="21"/>
        <v>8.2182774490466792E-2</v>
      </c>
      <c r="S19" s="41">
        <f t="shared" si="21"/>
        <v>9.0766823161189364E-2</v>
      </c>
      <c r="T19" s="41">
        <f t="shared" ref="T19" si="22">T16/T10</f>
        <v>8.9595375722543349E-2</v>
      </c>
    </row>
    <row r="20" spans="2:20" x14ac:dyDescent="0.2">
      <c r="B20" s="6" t="s">
        <v>202</v>
      </c>
      <c r="C20" s="41">
        <f>C17/C4</f>
        <v>0.11712379540400296</v>
      </c>
      <c r="D20" s="41">
        <f t="shared" ref="D20" si="23">D17/D4</f>
        <v>0.13728813559322034</v>
      </c>
      <c r="E20" s="41" t="e">
        <f t="shared" ref="E20" si="24">E17/E4</f>
        <v>#DIV/0!</v>
      </c>
      <c r="F20" s="41">
        <f>F17/F4</f>
        <v>0.11101694915254237</v>
      </c>
      <c r="G20" s="41">
        <f>G17/G4</f>
        <v>0.12335143522110163</v>
      </c>
      <c r="H20" s="41">
        <f t="shared" ref="H20" si="25">H17/H4</f>
        <v>0.11653386454183266</v>
      </c>
      <c r="I20" s="41">
        <f>I17/I4</f>
        <v>0.13747521480502314</v>
      </c>
      <c r="J20" s="41">
        <f>J17/J4</f>
        <v>0.13665803108808292</v>
      </c>
      <c r="K20" s="41">
        <f>K17/K4</f>
        <v>0.12459651387992253</v>
      </c>
      <c r="L20" s="41">
        <f t="shared" ref="L20" si="26">L17/L4</f>
        <v>0.12590163934426229</v>
      </c>
      <c r="M20" s="41">
        <f t="shared" ref="M20:S20" si="27">M17/M4</f>
        <v>0.13940774487471527</v>
      </c>
      <c r="N20" s="41">
        <f t="shared" si="27"/>
        <v>0.13014925373134328</v>
      </c>
      <c r="O20" s="41">
        <f t="shared" si="27"/>
        <v>0.14358974358974358</v>
      </c>
      <c r="P20" s="41">
        <f t="shared" si="27"/>
        <v>0.14699570815450644</v>
      </c>
      <c r="Q20" s="41">
        <f t="shared" si="27"/>
        <v>0.13170441001191896</v>
      </c>
      <c r="R20" s="41">
        <f t="shared" si="27"/>
        <v>0.14388145315487572</v>
      </c>
      <c r="S20" s="41">
        <f t="shared" si="27"/>
        <v>0.17333984375</v>
      </c>
      <c r="T20" s="54">
        <f t="shared" ref="T20" si="28">T17/T4</f>
        <v>0.14983077323613642</v>
      </c>
    </row>
    <row r="21" spans="2:20" x14ac:dyDescent="0.2">
      <c r="B21" s="5" t="s">
        <v>179</v>
      </c>
      <c r="C21" s="18">
        <v>113</v>
      </c>
      <c r="D21" s="18">
        <v>122</v>
      </c>
      <c r="E21" s="18">
        <v>0</v>
      </c>
      <c r="F21" s="18">
        <v>93</v>
      </c>
      <c r="G21" s="18">
        <v>114</v>
      </c>
      <c r="H21" s="18">
        <v>85</v>
      </c>
      <c r="I21" s="18">
        <v>156</v>
      </c>
      <c r="J21" s="18">
        <v>157</v>
      </c>
      <c r="K21" s="18">
        <v>143</v>
      </c>
      <c r="L21" s="18">
        <v>138</v>
      </c>
      <c r="M21" s="18">
        <v>223</v>
      </c>
      <c r="N21" s="18">
        <v>158</v>
      </c>
      <c r="O21" s="18">
        <v>185</v>
      </c>
      <c r="P21" s="18">
        <v>199</v>
      </c>
      <c r="Q21" s="18">
        <v>155</v>
      </c>
      <c r="R21" s="18">
        <v>221</v>
      </c>
      <c r="S21" s="18">
        <v>258</v>
      </c>
    </row>
    <row r="22" spans="2:20" x14ac:dyDescent="0.2">
      <c r="B22" s="6" t="s">
        <v>205</v>
      </c>
      <c r="C22" s="41">
        <f>C21/C4</f>
        <v>8.3765752409191999E-2</v>
      </c>
      <c r="D22" s="41">
        <f t="shared" ref="D22" si="29">D21/D4</f>
        <v>0.10338983050847457</v>
      </c>
      <c r="E22" s="41" t="e">
        <f t="shared" ref="E22" si="30">E21/E4</f>
        <v>#DIV/0!</v>
      </c>
      <c r="F22" s="41">
        <f t="shared" ref="F22" si="31">F21/F4</f>
        <v>7.8813559322033905E-2</v>
      </c>
      <c r="G22" s="41">
        <f t="shared" ref="G22" si="32">G21/G4</f>
        <v>8.8440651667959655E-2</v>
      </c>
      <c r="H22" s="41">
        <f t="shared" ref="H22" si="33">H21/H4</f>
        <v>8.4661354581673301E-2</v>
      </c>
      <c r="I22" s="41">
        <f t="shared" ref="I22" si="34">I21/I4</f>
        <v>0.10310641110376735</v>
      </c>
      <c r="J22" s="41">
        <f t="shared" ref="J22" si="35">J21/J4</f>
        <v>0.1016839378238342</v>
      </c>
      <c r="K22" s="41">
        <f t="shared" ref="K22" si="36">K21/K4</f>
        <v>9.2317624273724988E-2</v>
      </c>
      <c r="L22" s="41">
        <f t="shared" ref="L22" si="37">L21/L4</f>
        <v>9.0491803278688526E-2</v>
      </c>
      <c r="M22" s="41">
        <f t="shared" ref="M22" si="38">M21/M4</f>
        <v>0.10159453302961276</v>
      </c>
      <c r="N22" s="41">
        <f>N21/N4</f>
        <v>9.4328358208955229E-2</v>
      </c>
      <c r="O22" s="41">
        <f>O21/O4</f>
        <v>0.10541310541310542</v>
      </c>
      <c r="P22" s="41">
        <f>P21/P4</f>
        <v>0.10675965665236052</v>
      </c>
      <c r="Q22" s="41">
        <f t="shared" ref="Q22" si="39">Q21/Q4</f>
        <v>9.2371871275327769E-2</v>
      </c>
      <c r="R22" s="41">
        <f>R21/R4</f>
        <v>0.10564053537284895</v>
      </c>
      <c r="S22" s="41">
        <f>S21/S4</f>
        <v>0.1259765625</v>
      </c>
    </row>
    <row r="23" spans="2:20" x14ac:dyDescent="0.2">
      <c r="B23" s="5" t="s">
        <v>180</v>
      </c>
      <c r="C23" s="18">
        <v>92</v>
      </c>
      <c r="D23" s="18">
        <v>41</v>
      </c>
      <c r="E23" s="18">
        <v>0</v>
      </c>
      <c r="F23" s="18">
        <v>53</v>
      </c>
      <c r="G23" s="18">
        <v>66</v>
      </c>
      <c r="H23" s="18">
        <v>87</v>
      </c>
      <c r="I23" s="18">
        <v>121</v>
      </c>
      <c r="J23" s="18">
        <v>134</v>
      </c>
      <c r="K23" s="18">
        <v>122</v>
      </c>
      <c r="L23" s="18">
        <v>-568</v>
      </c>
      <c r="M23" s="18">
        <v>143</v>
      </c>
      <c r="N23" s="18">
        <v>126</v>
      </c>
      <c r="O23" s="18">
        <v>162</v>
      </c>
      <c r="P23" s="18">
        <v>211</v>
      </c>
      <c r="Q23" s="18">
        <v>215</v>
      </c>
      <c r="R23" s="18">
        <v>224</v>
      </c>
      <c r="S23" s="18">
        <v>289</v>
      </c>
    </row>
    <row r="24" spans="2:20" x14ac:dyDescent="0.2">
      <c r="B24" s="7" t="s">
        <v>181</v>
      </c>
      <c r="C24" s="26">
        <v>1.74</v>
      </c>
      <c r="D24" s="26">
        <v>0.67</v>
      </c>
      <c r="E24" s="26">
        <v>0</v>
      </c>
      <c r="F24" s="26">
        <v>0.99</v>
      </c>
      <c r="G24" s="26">
        <v>1.24</v>
      </c>
      <c r="H24" s="26">
        <v>1.62</v>
      </c>
      <c r="I24" s="26">
        <v>2.23</v>
      </c>
      <c r="J24" s="26">
        <v>2.4700000000000002</v>
      </c>
      <c r="K24" s="26">
        <v>2.2799999999999998</v>
      </c>
      <c r="L24" s="26">
        <v>-10.61</v>
      </c>
      <c r="M24" s="26">
        <v>2.56</v>
      </c>
      <c r="N24" s="26">
        <v>2.35</v>
      </c>
      <c r="O24" s="26">
        <v>2.96</v>
      </c>
      <c r="P24" s="26">
        <v>3.9</v>
      </c>
      <c r="Q24" s="26">
        <v>3.96</v>
      </c>
      <c r="R24" s="26">
        <v>4.03</v>
      </c>
      <c r="S24" s="26">
        <v>5.34</v>
      </c>
    </row>
    <row r="25" spans="2:20" ht="11.25" customHeight="1" x14ac:dyDescent="0.2">
      <c r="B25" s="7" t="s">
        <v>182</v>
      </c>
      <c r="C25" s="26">
        <v>1.74</v>
      </c>
      <c r="D25" s="26">
        <v>0</v>
      </c>
      <c r="E25" s="26">
        <v>0</v>
      </c>
      <c r="F25" s="26">
        <v>0</v>
      </c>
      <c r="G25" s="26">
        <v>1.24</v>
      </c>
      <c r="H25" s="26">
        <v>1.62</v>
      </c>
      <c r="I25" s="26">
        <v>0</v>
      </c>
      <c r="J25" s="26">
        <v>0</v>
      </c>
      <c r="K25" s="26">
        <v>2.2799999999999998</v>
      </c>
      <c r="L25" s="26">
        <v>2.56</v>
      </c>
      <c r="M25" s="26">
        <v>4.05</v>
      </c>
      <c r="N25" s="26">
        <v>2.93</v>
      </c>
      <c r="O25" s="26">
        <v>3.38</v>
      </c>
      <c r="P25" s="26">
        <v>3.68</v>
      </c>
      <c r="Q25" s="26">
        <v>2.8</v>
      </c>
      <c r="R25" s="26">
        <v>3.99</v>
      </c>
      <c r="S25" s="26">
        <v>4.7699999999999996</v>
      </c>
    </row>
    <row r="26" spans="2:20" ht="11.25" customHeight="1" x14ac:dyDescent="0.2">
      <c r="B26" s="42" t="s">
        <v>198</v>
      </c>
      <c r="C26" s="26"/>
      <c r="D26" s="26"/>
      <c r="E26" s="26"/>
      <c r="F26" s="26"/>
      <c r="G26" s="26"/>
      <c r="H26" s="26"/>
      <c r="I26" s="26"/>
      <c r="J26" s="26"/>
      <c r="K26" s="26"/>
      <c r="L26" s="26"/>
      <c r="M26" s="26"/>
      <c r="N26" s="26"/>
      <c r="O26" s="26"/>
      <c r="P26" s="26"/>
      <c r="Q26" s="26"/>
      <c r="R26" s="26"/>
      <c r="S26" s="26"/>
    </row>
    <row r="27" spans="2:20" x14ac:dyDescent="0.2">
      <c r="B27" s="5" t="s">
        <v>183</v>
      </c>
      <c r="C27" s="18">
        <v>220</v>
      </c>
      <c r="D27" s="18">
        <v>221</v>
      </c>
      <c r="E27" s="18">
        <v>0</v>
      </c>
      <c r="F27" s="18">
        <v>278</v>
      </c>
      <c r="G27" s="18">
        <v>216</v>
      </c>
      <c r="H27" s="18">
        <v>189</v>
      </c>
      <c r="I27" s="18">
        <v>255</v>
      </c>
      <c r="J27" s="18">
        <v>0</v>
      </c>
      <c r="K27" s="18">
        <v>259</v>
      </c>
      <c r="L27" s="18">
        <v>-711</v>
      </c>
      <c r="M27" s="18">
        <v>405</v>
      </c>
      <c r="N27" s="18">
        <v>275</v>
      </c>
      <c r="O27" s="18">
        <v>321</v>
      </c>
      <c r="P27" s="18">
        <v>422</v>
      </c>
      <c r="Q27" s="18">
        <v>344</v>
      </c>
      <c r="R27" s="18">
        <v>417</v>
      </c>
      <c r="S27" s="18">
        <v>491</v>
      </c>
      <c r="T27" s="22">
        <f>S27+R27+Q27+P27</f>
        <v>1674</v>
      </c>
    </row>
    <row r="28" spans="2:20" x14ac:dyDescent="0.2">
      <c r="B28" s="5" t="s">
        <v>184</v>
      </c>
      <c r="C28" s="18">
        <v>220</v>
      </c>
      <c r="D28" s="18">
        <v>221</v>
      </c>
      <c r="E28" s="18">
        <v>0</v>
      </c>
      <c r="F28" s="18">
        <v>278</v>
      </c>
      <c r="G28" s="18">
        <v>216</v>
      </c>
      <c r="H28" s="18">
        <v>189</v>
      </c>
      <c r="I28" s="18">
        <v>255</v>
      </c>
      <c r="J28" s="18">
        <v>0</v>
      </c>
      <c r="K28" s="18">
        <v>259</v>
      </c>
      <c r="L28" s="18">
        <v>264</v>
      </c>
      <c r="M28" s="18">
        <v>468</v>
      </c>
      <c r="N28" s="18">
        <v>294</v>
      </c>
      <c r="O28" s="18">
        <v>330</v>
      </c>
      <c r="P28" s="18">
        <v>383</v>
      </c>
      <c r="Q28" s="18">
        <v>305</v>
      </c>
      <c r="R28" s="18">
        <v>392</v>
      </c>
      <c r="S28" s="18">
        <v>446</v>
      </c>
      <c r="T28" s="22">
        <f t="shared" ref="T28:T31" si="40">S28+R28+Q28+P28</f>
        <v>1526</v>
      </c>
    </row>
    <row r="29" spans="2:20" s="7" customFormat="1" x14ac:dyDescent="0.2">
      <c r="B29" s="7" t="s">
        <v>185</v>
      </c>
      <c r="C29" s="28">
        <v>52</v>
      </c>
      <c r="D29" s="28">
        <v>35</v>
      </c>
      <c r="E29" s="28">
        <v>0</v>
      </c>
      <c r="F29" s="28">
        <v>93</v>
      </c>
      <c r="G29" s="28">
        <v>33</v>
      </c>
      <c r="H29" s="28">
        <v>18</v>
      </c>
      <c r="I29" s="28">
        <v>107</v>
      </c>
      <c r="J29" s="28">
        <v>0</v>
      </c>
      <c r="K29" s="28">
        <v>42</v>
      </c>
      <c r="L29" s="28">
        <v>122</v>
      </c>
      <c r="M29" s="28">
        <v>-30</v>
      </c>
      <c r="N29" s="28">
        <v>16</v>
      </c>
      <c r="O29" s="28">
        <v>90</v>
      </c>
      <c r="P29" s="28">
        <v>108</v>
      </c>
      <c r="Q29" s="28">
        <v>95</v>
      </c>
      <c r="R29" s="28">
        <v>150</v>
      </c>
      <c r="S29" s="28">
        <v>61</v>
      </c>
      <c r="T29" s="22">
        <f t="shared" si="40"/>
        <v>414</v>
      </c>
    </row>
    <row r="30" spans="2:20" x14ac:dyDescent="0.2">
      <c r="B30" s="6" t="s">
        <v>186</v>
      </c>
      <c r="C30" s="18">
        <v>46</v>
      </c>
      <c r="D30" s="18">
        <v>44</v>
      </c>
      <c r="E30" s="18">
        <v>0</v>
      </c>
      <c r="F30" s="18">
        <v>47</v>
      </c>
      <c r="G30" s="18">
        <v>54</v>
      </c>
      <c r="H30" s="18">
        <v>41</v>
      </c>
      <c r="I30" s="18">
        <v>54</v>
      </c>
      <c r="J30" s="18">
        <v>0</v>
      </c>
      <c r="K30" s="18">
        <v>72</v>
      </c>
      <c r="L30" s="18">
        <v>51</v>
      </c>
      <c r="M30" s="18">
        <v>58</v>
      </c>
      <c r="N30" s="18">
        <v>56</v>
      </c>
      <c r="O30" s="18">
        <v>72</v>
      </c>
      <c r="P30" s="18">
        <v>45</v>
      </c>
      <c r="Q30" s="18">
        <v>53</v>
      </c>
      <c r="R30" s="18">
        <v>78</v>
      </c>
      <c r="S30" s="18">
        <v>50</v>
      </c>
      <c r="T30" s="22">
        <f t="shared" si="40"/>
        <v>226</v>
      </c>
    </row>
    <row r="31" spans="2:20" ht="14.25" x14ac:dyDescent="0.35">
      <c r="B31" s="6" t="s">
        <v>187</v>
      </c>
      <c r="C31" s="19">
        <v>10</v>
      </c>
      <c r="D31" s="19">
        <v>24</v>
      </c>
      <c r="E31" s="19">
        <v>0</v>
      </c>
      <c r="F31" s="19">
        <v>21</v>
      </c>
      <c r="G31" s="19">
        <v>17</v>
      </c>
      <c r="H31" s="19">
        <v>19</v>
      </c>
      <c r="I31" s="19">
        <v>20</v>
      </c>
      <c r="J31" s="19">
        <v>0</v>
      </c>
      <c r="K31" s="19">
        <v>18</v>
      </c>
      <c r="L31" s="19">
        <v>15</v>
      </c>
      <c r="M31" s="19">
        <v>30</v>
      </c>
      <c r="N31" s="19">
        <v>24</v>
      </c>
      <c r="O31" s="19">
        <v>27</v>
      </c>
      <c r="P31" s="19">
        <v>30</v>
      </c>
      <c r="Q31" s="19">
        <v>28</v>
      </c>
      <c r="R31" s="19">
        <v>30</v>
      </c>
      <c r="S31" s="19">
        <v>33</v>
      </c>
      <c r="T31" s="55">
        <f t="shared" si="40"/>
        <v>121</v>
      </c>
    </row>
    <row r="32" spans="2:20" x14ac:dyDescent="0.2">
      <c r="B32" s="5" t="s">
        <v>188</v>
      </c>
      <c r="C32" s="22">
        <f>C31+C30</f>
        <v>56</v>
      </c>
      <c r="D32" s="22">
        <f t="shared" ref="D32" si="41">D31+D30</f>
        <v>68</v>
      </c>
      <c r="E32" s="22">
        <f t="shared" ref="E32" si="42">E31+E30</f>
        <v>0</v>
      </c>
      <c r="F32" s="22">
        <f>F31+F30</f>
        <v>68</v>
      </c>
      <c r="G32" s="22">
        <f>G31+G30</f>
        <v>71</v>
      </c>
      <c r="H32" s="22">
        <f t="shared" ref="H32" si="43">H31+H30</f>
        <v>60</v>
      </c>
      <c r="I32" s="22">
        <f>I31+I30</f>
        <v>74</v>
      </c>
      <c r="J32" s="22">
        <f t="shared" ref="J32" si="44">J31+J30</f>
        <v>0</v>
      </c>
      <c r="K32" s="22">
        <f t="shared" ref="K32:T32" si="45">K31+K30</f>
        <v>90</v>
      </c>
      <c r="L32" s="22">
        <f t="shared" si="45"/>
        <v>66</v>
      </c>
      <c r="M32" s="22">
        <f t="shared" si="45"/>
        <v>88</v>
      </c>
      <c r="N32" s="22">
        <f t="shared" si="45"/>
        <v>80</v>
      </c>
      <c r="O32" s="22">
        <f t="shared" si="45"/>
        <v>99</v>
      </c>
      <c r="P32" s="22">
        <f t="shared" si="45"/>
        <v>75</v>
      </c>
      <c r="Q32" s="22">
        <f t="shared" si="45"/>
        <v>81</v>
      </c>
      <c r="R32" s="22">
        <f t="shared" si="45"/>
        <v>108</v>
      </c>
      <c r="S32" s="22">
        <f t="shared" si="45"/>
        <v>83</v>
      </c>
      <c r="T32" s="22">
        <f t="shared" si="45"/>
        <v>347</v>
      </c>
    </row>
    <row r="33" spans="2:19" x14ac:dyDescent="0.2">
      <c r="B33" s="5" t="s">
        <v>189</v>
      </c>
      <c r="C33" s="18">
        <v>78</v>
      </c>
      <c r="D33" s="18">
        <v>125</v>
      </c>
      <c r="E33" s="18">
        <v>0</v>
      </c>
      <c r="F33" s="18">
        <v>62</v>
      </c>
      <c r="G33" s="18">
        <v>54</v>
      </c>
      <c r="H33" s="18">
        <v>54</v>
      </c>
      <c r="I33" s="18">
        <v>136</v>
      </c>
      <c r="J33" s="18">
        <v>0</v>
      </c>
      <c r="K33" s="18">
        <v>50</v>
      </c>
      <c r="L33" s="18">
        <v>78</v>
      </c>
      <c r="M33" s="18">
        <v>153</v>
      </c>
      <c r="N33" s="18">
        <v>74</v>
      </c>
      <c r="O33" s="18">
        <v>97</v>
      </c>
      <c r="P33" s="18">
        <v>77</v>
      </c>
      <c r="Q33" s="18">
        <v>112</v>
      </c>
      <c r="R33" s="18">
        <v>76</v>
      </c>
      <c r="S33" s="18">
        <v>51</v>
      </c>
    </row>
    <row r="34" spans="2:19" x14ac:dyDescent="0.2">
      <c r="B34" s="42" t="s">
        <v>190</v>
      </c>
    </row>
    <row r="35" spans="2:19" x14ac:dyDescent="0.2">
      <c r="B35" s="6" t="s">
        <v>191</v>
      </c>
      <c r="C35" s="18">
        <v>0</v>
      </c>
      <c r="D35" s="18">
        <v>1128</v>
      </c>
      <c r="E35" s="18">
        <v>0</v>
      </c>
      <c r="F35" s="18">
        <v>0</v>
      </c>
      <c r="G35" s="18">
        <v>0</v>
      </c>
      <c r="H35" s="18">
        <v>1136</v>
      </c>
      <c r="I35" s="18">
        <v>1151</v>
      </c>
      <c r="J35" s="18">
        <v>1151</v>
      </c>
      <c r="K35" s="18">
        <v>1154</v>
      </c>
      <c r="L35" s="18">
        <v>0</v>
      </c>
      <c r="M35" s="18">
        <v>1200</v>
      </c>
      <c r="N35" s="18">
        <v>0</v>
      </c>
      <c r="O35" s="18">
        <v>0</v>
      </c>
      <c r="P35" s="18">
        <v>1213</v>
      </c>
      <c r="Q35" s="18">
        <v>1313</v>
      </c>
      <c r="R35" s="18">
        <v>1310</v>
      </c>
      <c r="S35" s="18">
        <v>1429</v>
      </c>
    </row>
    <row r="36" spans="2:19" x14ac:dyDescent="0.2">
      <c r="B36" s="6" t="s">
        <v>77</v>
      </c>
      <c r="C36" s="18">
        <v>0</v>
      </c>
      <c r="D36" s="18">
        <v>722</v>
      </c>
      <c r="E36" s="18">
        <v>0</v>
      </c>
      <c r="F36" s="18">
        <v>0</v>
      </c>
      <c r="G36" s="18">
        <v>0</v>
      </c>
      <c r="H36" s="18">
        <v>775</v>
      </c>
      <c r="I36" s="18">
        <v>823</v>
      </c>
      <c r="J36" s="18">
        <v>892</v>
      </c>
      <c r="K36" s="18">
        <v>771</v>
      </c>
      <c r="L36" s="18">
        <v>0</v>
      </c>
      <c r="M36" s="18">
        <v>883</v>
      </c>
      <c r="N36" s="18">
        <v>0</v>
      </c>
      <c r="O36" s="18">
        <v>0</v>
      </c>
      <c r="P36" s="18">
        <v>1910</v>
      </c>
      <c r="Q36" s="18">
        <v>1747</v>
      </c>
      <c r="R36" s="18">
        <v>1840</v>
      </c>
      <c r="S36" s="18">
        <v>1273</v>
      </c>
    </row>
    <row r="37" spans="2:19" x14ac:dyDescent="0.2">
      <c r="B37" s="6" t="s">
        <v>192</v>
      </c>
      <c r="C37" s="18">
        <v>0</v>
      </c>
      <c r="D37" s="18">
        <v>948</v>
      </c>
      <c r="E37" s="18">
        <v>0</v>
      </c>
      <c r="F37" s="18">
        <v>0</v>
      </c>
      <c r="G37" s="18">
        <v>0</v>
      </c>
      <c r="H37" s="18">
        <v>746</v>
      </c>
      <c r="I37" s="18">
        <v>707</v>
      </c>
      <c r="J37" s="18">
        <v>710</v>
      </c>
      <c r="K37" s="18">
        <v>721</v>
      </c>
      <c r="L37" s="18">
        <v>0</v>
      </c>
      <c r="M37" s="18">
        <v>743</v>
      </c>
      <c r="N37" s="18">
        <v>0</v>
      </c>
      <c r="O37" s="18">
        <v>0</v>
      </c>
      <c r="P37" s="18">
        <v>727</v>
      </c>
      <c r="Q37" s="18">
        <v>724</v>
      </c>
      <c r="R37" s="18">
        <v>727</v>
      </c>
      <c r="S37" s="18">
        <v>713</v>
      </c>
    </row>
    <row r="38" spans="2:19" x14ac:dyDescent="0.2">
      <c r="B38" s="6" t="s">
        <v>193</v>
      </c>
      <c r="C38" s="18">
        <v>0</v>
      </c>
      <c r="D38" s="18">
        <v>2760</v>
      </c>
      <c r="E38" s="18">
        <v>0</v>
      </c>
      <c r="F38" s="18">
        <v>0</v>
      </c>
      <c r="G38" s="18">
        <v>0</v>
      </c>
      <c r="H38" s="18">
        <v>2871</v>
      </c>
      <c r="I38" s="18">
        <v>3107</v>
      </c>
      <c r="J38" s="18">
        <v>3273</v>
      </c>
      <c r="K38" s="18">
        <v>3268</v>
      </c>
      <c r="L38" s="18">
        <v>0</v>
      </c>
      <c r="M38" s="18">
        <v>2933</v>
      </c>
      <c r="N38" s="18">
        <v>0</v>
      </c>
      <c r="O38" s="18">
        <v>0</v>
      </c>
      <c r="P38" s="18">
        <v>3350</v>
      </c>
      <c r="Q38" s="18">
        <v>3438</v>
      </c>
      <c r="R38" s="18">
        <v>3694</v>
      </c>
      <c r="S38" s="18">
        <v>3909</v>
      </c>
    </row>
    <row r="39" spans="2:19" x14ac:dyDescent="0.2">
      <c r="B39" s="6" t="s">
        <v>194</v>
      </c>
      <c r="C39" s="18">
        <v>0</v>
      </c>
      <c r="D39" s="18">
        <v>673</v>
      </c>
      <c r="E39" s="18">
        <v>0</v>
      </c>
      <c r="F39" s="18">
        <v>0</v>
      </c>
      <c r="G39" s="18">
        <v>0</v>
      </c>
      <c r="H39" s="18">
        <v>604</v>
      </c>
      <c r="I39" s="18">
        <v>753</v>
      </c>
      <c r="J39" s="18">
        <v>646</v>
      </c>
      <c r="K39" s="18">
        <v>777</v>
      </c>
      <c r="L39" s="18">
        <v>0</v>
      </c>
      <c r="M39" s="18">
        <v>631</v>
      </c>
      <c r="N39" s="18">
        <v>0</v>
      </c>
      <c r="O39" s="18">
        <v>0</v>
      </c>
      <c r="P39" s="18">
        <v>631</v>
      </c>
      <c r="Q39" s="18">
        <v>1061</v>
      </c>
      <c r="R39" s="18">
        <v>972</v>
      </c>
      <c r="S39" s="18">
        <v>1147</v>
      </c>
    </row>
    <row r="40" spans="2:19" x14ac:dyDescent="0.2">
      <c r="B40" s="6" t="s">
        <v>195</v>
      </c>
      <c r="C40" s="18">
        <v>0</v>
      </c>
      <c r="D40" s="18">
        <v>8304</v>
      </c>
      <c r="E40" s="18">
        <v>0</v>
      </c>
      <c r="F40" s="18">
        <v>0</v>
      </c>
      <c r="G40" s="18">
        <v>0</v>
      </c>
      <c r="H40" s="18">
        <v>9064</v>
      </c>
      <c r="I40" s="18">
        <v>9230</v>
      </c>
      <c r="J40" s="18">
        <v>9261</v>
      </c>
      <c r="K40" s="18">
        <v>9280</v>
      </c>
      <c r="L40" s="18">
        <v>0</v>
      </c>
      <c r="M40" s="18">
        <v>10204</v>
      </c>
      <c r="N40" s="18">
        <v>0</v>
      </c>
      <c r="O40" s="18">
        <v>0</v>
      </c>
      <c r="P40" s="18">
        <v>11810</v>
      </c>
      <c r="Q40" s="18">
        <v>12484</v>
      </c>
      <c r="R40" s="18">
        <v>12185</v>
      </c>
      <c r="S40" s="18">
        <v>11781</v>
      </c>
    </row>
    <row r="41" spans="2:19" s="7" customFormat="1" x14ac:dyDescent="0.2">
      <c r="B41" s="7" t="s">
        <v>196</v>
      </c>
      <c r="C41" s="28">
        <v>0</v>
      </c>
      <c r="D41" s="28">
        <v>22237</v>
      </c>
      <c r="E41" s="28">
        <v>0</v>
      </c>
      <c r="F41" s="28">
        <v>0</v>
      </c>
      <c r="G41" s="28">
        <v>0</v>
      </c>
      <c r="H41" s="28">
        <v>25958</v>
      </c>
      <c r="I41" s="28">
        <v>22273</v>
      </c>
      <c r="J41" s="28">
        <v>22743</v>
      </c>
      <c r="K41" s="28">
        <v>21923</v>
      </c>
      <c r="L41" s="28">
        <v>0</v>
      </c>
      <c r="M41" s="28">
        <v>24393</v>
      </c>
      <c r="N41" s="28">
        <v>0</v>
      </c>
      <c r="O41" s="28">
        <v>0</v>
      </c>
      <c r="P41" s="28">
        <v>23359</v>
      </c>
      <c r="Q41" s="28">
        <v>28730</v>
      </c>
      <c r="R41" s="28">
        <v>27700</v>
      </c>
      <c r="S41" s="28">
        <v>25037</v>
      </c>
    </row>
    <row r="42" spans="2:19" x14ac:dyDescent="0.2">
      <c r="B42" s="6" t="s">
        <v>310</v>
      </c>
      <c r="C42" s="18"/>
      <c r="D42" s="18"/>
      <c r="E42" s="18"/>
      <c r="F42" s="18"/>
      <c r="G42" s="18"/>
      <c r="H42" s="41" t="e">
        <f>H41/C41-1</f>
        <v>#DIV/0!</v>
      </c>
      <c r="I42" s="41">
        <f t="shared" ref="I42" si="46">I41/D41-1</f>
        <v>1.6189234159285082E-3</v>
      </c>
      <c r="J42" s="41" t="e">
        <f>J41/F41-1</f>
        <v>#DIV/0!</v>
      </c>
      <c r="K42" s="41" t="e">
        <f t="shared" ref="K42" si="47">K41/G41-1</f>
        <v>#DIV/0!</v>
      </c>
      <c r="L42" s="41">
        <f t="shared" ref="L42" si="48">L41/H41-1</f>
        <v>-1</v>
      </c>
      <c r="M42" s="41">
        <f t="shared" ref="M42" si="49">M41/I41-1</f>
        <v>9.5182507969290064E-2</v>
      </c>
      <c r="N42" s="41">
        <f t="shared" ref="N42" si="50">N41/J41-1</f>
        <v>-1</v>
      </c>
      <c r="O42" s="41">
        <f>O41/K41-1</f>
        <v>-1</v>
      </c>
      <c r="P42" s="41" t="e">
        <f t="shared" ref="P42" si="51">P41/L41-1</f>
        <v>#DIV/0!</v>
      </c>
      <c r="Q42" s="41">
        <f t="shared" ref="Q42" si="52">Q41/M41-1</f>
        <v>0.17779690894928879</v>
      </c>
      <c r="R42" s="41" t="e">
        <f t="shared" ref="R42" si="53">R41/N41-1</f>
        <v>#DIV/0!</v>
      </c>
      <c r="S42" s="41" t="e">
        <f t="shared" ref="S42" si="54">S41/O41-1</f>
        <v>#DIV/0!</v>
      </c>
    </row>
  </sheetData>
  <phoneticPr fontId="20"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Tabelle1</vt:lpstr>
      <vt:lpstr>Model</vt:lpstr>
      <vt:lpstr>R&amp;D Capitalization</vt:lpstr>
      <vt:lpstr>x</vt:lpstr>
      <vt:lpstr>Alt Presentation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Joaquin Goquiolay</dc:creator>
  <cp:lastModifiedBy>Joaquin Goquiolay</cp:lastModifiedBy>
  <dcterms:created xsi:type="dcterms:W3CDTF">2015-06-05T18:19:34Z</dcterms:created>
  <dcterms:modified xsi:type="dcterms:W3CDTF">2026-06-15T11:51:27Z</dcterms:modified>
</cp:coreProperties>
</file>