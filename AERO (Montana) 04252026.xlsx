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dc8c86c708ee123/Documents/corporate financials/"/>
    </mc:Choice>
  </mc:AlternateContent>
  <xr:revisionPtr revIDLastSave="7453" documentId="8_{D85DD989-B3CD-4986-B8A3-BF948EAF613B}" xr6:coauthVersionLast="47" xr6:coauthVersionMax="47" xr10:uidLastSave="{C797A5A1-FAD4-4FF1-9371-4498792E237F}"/>
  <bookViews>
    <workbookView minimized="1" xWindow="-24120" yWindow="13905" windowWidth="12210" windowHeight="765" activeTab="4" xr2:uid="{5A5F029F-CD3B-4706-9B12-DF427DE63E27}"/>
  </bookViews>
  <sheets>
    <sheet name="Main" sheetId="2" r:id="rId1"/>
    <sheet name="Model" sheetId="1" r:id="rId2"/>
    <sheet name="Comps" sheetId="4" r:id="rId3"/>
    <sheet name="Figure 1" sheetId="13" r:id="rId4"/>
    <sheet name="DCF Base" sheetId="8" r:id="rId5"/>
    <sheet name="DCF Current" sheetId="17" r:id="rId6"/>
    <sheet name="DCF MKT" sheetId="10" r:id="rId7"/>
    <sheet name="DCF 3-bear" sheetId="9" r:id="rId8"/>
    <sheet name="DCF- Bull" sheetId="12" r:id="rId9"/>
    <sheet name="SOTP" sheetId="11" r:id="rId10"/>
    <sheet name="WACC " sheetId="14" r:id="rId11"/>
    <sheet name="Analysts" sheetId="6" r:id="rId12"/>
    <sheet name="Fixed assets and subs" sheetId="3" r:id="rId13"/>
    <sheet name="Capex" sheetId="15" r:id="rId14"/>
    <sheet name="Labor costs" sheetId="16" r:id="rId15"/>
  </sheets>
  <externalReferences>
    <externalReference r:id="rId16"/>
    <externalReference r:id="rId17"/>
    <externalReference r:id="rId18"/>
    <externalReference r:id="rId19"/>
    <externalReference r:id="rId20"/>
  </externalReferences>
  <definedNames>
    <definedName name="_xlnm._FilterDatabase" localSheetId="1">Model!$B$86:$P$135</definedName>
    <definedName name="_xlnm.Print_Area" localSheetId="3">'Figure 1'!$B$1:$R$66</definedName>
  </definedNames>
  <calcPr calcId="191029"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21" i="1" l="1"/>
  <c r="AJ221" i="1" s="1"/>
  <c r="AD221" i="1"/>
  <c r="AC221" i="1"/>
  <c r="AB221" i="1"/>
  <c r="AA221" i="1"/>
  <c r="Z221" i="1"/>
  <c r="Y221" i="1"/>
  <c r="X221" i="1"/>
  <c r="AH221" i="1" l="1"/>
  <c r="H8" i="4" l="1"/>
  <c r="G32" i="13"/>
  <c r="D63" i="13"/>
  <c r="AH214" i="4" l="1"/>
  <c r="AH60" i="4"/>
  <c r="AI60" i="4"/>
  <c r="AH61" i="4"/>
  <c r="AI61" i="4"/>
  <c r="AH62" i="4"/>
  <c r="AI62" i="4"/>
  <c r="AH63" i="4"/>
  <c r="AI63" i="4"/>
  <c r="AH64" i="4"/>
  <c r="AI64" i="4"/>
  <c r="AH65" i="4"/>
  <c r="AI65" i="4"/>
  <c r="AH66" i="4"/>
  <c r="AI66" i="4"/>
  <c r="AH67" i="4"/>
  <c r="AI67" i="4"/>
  <c r="AH68" i="4"/>
  <c r="AI68" i="4"/>
  <c r="AH69" i="4"/>
  <c r="AI69" i="4"/>
  <c r="AH70" i="4"/>
  <c r="AI70" i="4"/>
  <c r="AH71" i="4"/>
  <c r="AI71" i="4"/>
  <c r="AH72" i="4"/>
  <c r="AI72" i="4"/>
  <c r="AH73" i="4"/>
  <c r="AI73" i="4"/>
  <c r="AH74" i="4"/>
  <c r="AI74" i="4"/>
  <c r="AH75" i="4"/>
  <c r="AI75" i="4"/>
  <c r="AH76" i="4"/>
  <c r="AI76" i="4"/>
  <c r="AH77" i="4"/>
  <c r="AI77" i="4"/>
  <c r="AH78" i="4"/>
  <c r="AI78" i="4"/>
  <c r="AH79" i="4"/>
  <c r="AI79" i="4"/>
  <c r="AH80" i="4"/>
  <c r="AI80" i="4"/>
  <c r="AH81" i="4"/>
  <c r="AI81" i="4"/>
  <c r="AH82" i="4"/>
  <c r="AI82" i="4"/>
  <c r="AH83" i="4"/>
  <c r="AI83" i="4"/>
  <c r="AH84" i="4"/>
  <c r="AI84" i="4"/>
  <c r="AH85" i="4"/>
  <c r="AI85" i="4"/>
  <c r="AH86" i="4"/>
  <c r="AI86" i="4"/>
  <c r="AH87" i="4"/>
  <c r="AI87" i="4"/>
  <c r="AH88" i="4"/>
  <c r="AI88" i="4"/>
  <c r="AH89" i="4"/>
  <c r="AI89" i="4"/>
  <c r="AH90" i="4"/>
  <c r="AI90" i="4"/>
  <c r="AH91" i="4"/>
  <c r="AI91" i="4"/>
  <c r="AH92" i="4"/>
  <c r="AI92" i="4"/>
  <c r="AH93" i="4"/>
  <c r="AI93" i="4"/>
  <c r="AH94" i="4"/>
  <c r="AI94" i="4"/>
  <c r="AH95" i="4"/>
  <c r="AI95" i="4"/>
  <c r="AH96" i="4"/>
  <c r="AI96" i="4"/>
  <c r="AH97" i="4"/>
  <c r="AI97" i="4"/>
  <c r="AH98" i="4"/>
  <c r="AI98" i="4"/>
  <c r="AH99" i="4"/>
  <c r="AI99" i="4"/>
  <c r="AH100" i="4"/>
  <c r="AI100" i="4"/>
  <c r="AH101" i="4"/>
  <c r="AI101" i="4"/>
  <c r="AH102" i="4"/>
  <c r="AI102" i="4"/>
  <c r="AH103" i="4"/>
  <c r="AI103" i="4"/>
  <c r="AH104" i="4"/>
  <c r="AI104" i="4"/>
  <c r="AH105" i="4"/>
  <c r="AI105" i="4"/>
  <c r="AH106" i="4"/>
  <c r="AI106" i="4"/>
  <c r="AH107" i="4"/>
  <c r="AI107" i="4"/>
  <c r="AH108" i="4"/>
  <c r="AI108" i="4"/>
  <c r="AH109" i="4"/>
  <c r="AI109" i="4"/>
  <c r="AH110" i="4"/>
  <c r="AI110" i="4"/>
  <c r="AH111" i="4"/>
  <c r="AI111" i="4"/>
  <c r="AH112" i="4"/>
  <c r="AI112" i="4"/>
  <c r="AH113" i="4"/>
  <c r="AI113" i="4"/>
  <c r="AH114" i="4"/>
  <c r="AI114" i="4"/>
  <c r="AH115" i="4"/>
  <c r="AI115" i="4"/>
  <c r="AH116" i="4"/>
  <c r="AI116" i="4"/>
  <c r="AH117" i="4"/>
  <c r="AI117" i="4"/>
  <c r="AH118" i="4"/>
  <c r="AI118" i="4"/>
  <c r="AH119" i="4"/>
  <c r="AI119" i="4"/>
  <c r="AH120" i="4"/>
  <c r="AI120" i="4"/>
  <c r="AH121" i="4"/>
  <c r="AI121" i="4"/>
  <c r="AH122" i="4"/>
  <c r="AI122" i="4"/>
  <c r="AH123" i="4"/>
  <c r="AI123" i="4"/>
  <c r="AH124" i="4"/>
  <c r="AI124" i="4"/>
  <c r="AH125" i="4"/>
  <c r="AI125" i="4"/>
  <c r="AH126" i="4"/>
  <c r="AI126" i="4"/>
  <c r="AH127" i="4"/>
  <c r="AI127" i="4"/>
  <c r="AH128" i="4"/>
  <c r="AI128" i="4"/>
  <c r="AH129" i="4"/>
  <c r="AI129" i="4"/>
  <c r="AH130" i="4"/>
  <c r="AI130" i="4"/>
  <c r="AH131" i="4"/>
  <c r="AI131" i="4"/>
  <c r="AH132" i="4"/>
  <c r="AI132" i="4"/>
  <c r="AH133" i="4"/>
  <c r="AI133" i="4"/>
  <c r="AH134" i="4"/>
  <c r="AI134" i="4"/>
  <c r="AH135" i="4"/>
  <c r="AI135" i="4"/>
  <c r="AH136" i="4"/>
  <c r="AI136" i="4"/>
  <c r="AH137" i="4"/>
  <c r="AI137" i="4"/>
  <c r="AH138" i="4"/>
  <c r="AI138" i="4"/>
  <c r="AH139" i="4"/>
  <c r="AI139" i="4"/>
  <c r="AH140" i="4"/>
  <c r="AI140" i="4"/>
  <c r="AH141" i="4"/>
  <c r="AI141" i="4"/>
  <c r="AH142" i="4"/>
  <c r="AI142" i="4"/>
  <c r="AH143" i="4"/>
  <c r="AI143" i="4"/>
  <c r="AH144" i="4"/>
  <c r="AI144" i="4"/>
  <c r="AH145" i="4"/>
  <c r="AI145" i="4"/>
  <c r="AH146" i="4"/>
  <c r="AI146" i="4"/>
  <c r="AH147" i="4"/>
  <c r="AI147" i="4"/>
  <c r="AH148" i="4"/>
  <c r="AI148" i="4"/>
  <c r="AH149" i="4"/>
  <c r="AI149" i="4"/>
  <c r="AH150" i="4"/>
  <c r="AI150" i="4"/>
  <c r="AH151" i="4"/>
  <c r="AI151" i="4"/>
  <c r="AH152" i="4"/>
  <c r="AI152" i="4"/>
  <c r="AH153" i="4"/>
  <c r="AI153" i="4"/>
  <c r="AH154" i="4"/>
  <c r="AI154" i="4"/>
  <c r="AH155" i="4"/>
  <c r="AI155" i="4"/>
  <c r="AH156" i="4"/>
  <c r="AI156" i="4"/>
  <c r="AH157" i="4"/>
  <c r="AI157" i="4"/>
  <c r="AH158" i="4"/>
  <c r="AI158" i="4"/>
  <c r="AH159" i="4"/>
  <c r="AI159" i="4"/>
  <c r="AH160" i="4"/>
  <c r="AI160" i="4"/>
  <c r="AH161" i="4"/>
  <c r="AI161" i="4"/>
  <c r="AH162" i="4"/>
  <c r="AI162" i="4"/>
  <c r="AH163" i="4"/>
  <c r="AI163" i="4"/>
  <c r="AH164" i="4"/>
  <c r="AI164" i="4"/>
  <c r="AH165" i="4"/>
  <c r="AI165" i="4"/>
  <c r="AH166" i="4"/>
  <c r="AI166" i="4"/>
  <c r="AH167" i="4"/>
  <c r="AI167" i="4"/>
  <c r="AH168" i="4"/>
  <c r="AI168" i="4"/>
  <c r="AH169" i="4"/>
  <c r="AI169" i="4"/>
  <c r="AH170" i="4"/>
  <c r="AI170" i="4"/>
  <c r="AH171" i="4"/>
  <c r="AI171" i="4"/>
  <c r="AH172" i="4"/>
  <c r="AI172" i="4"/>
  <c r="AH173" i="4"/>
  <c r="AI173" i="4"/>
  <c r="AH174" i="4"/>
  <c r="AI174" i="4"/>
  <c r="AH175" i="4"/>
  <c r="AI175" i="4"/>
  <c r="AH176" i="4"/>
  <c r="AI176" i="4"/>
  <c r="AH177" i="4"/>
  <c r="AI177" i="4"/>
  <c r="AH178" i="4"/>
  <c r="AI178" i="4"/>
  <c r="AH179" i="4"/>
  <c r="AI179" i="4"/>
  <c r="AH180" i="4"/>
  <c r="AI180" i="4"/>
  <c r="AH181" i="4"/>
  <c r="AI181" i="4"/>
  <c r="AH182" i="4"/>
  <c r="AI182" i="4"/>
  <c r="AH183" i="4"/>
  <c r="AI183" i="4"/>
  <c r="AH184" i="4"/>
  <c r="AI184" i="4"/>
  <c r="AH185" i="4"/>
  <c r="AI185" i="4"/>
  <c r="AH186" i="4"/>
  <c r="AI186" i="4"/>
  <c r="AH187" i="4"/>
  <c r="AI187" i="4"/>
  <c r="AH188" i="4"/>
  <c r="AI188" i="4"/>
  <c r="AH189" i="4"/>
  <c r="AI189" i="4"/>
  <c r="AH190" i="4"/>
  <c r="AI190" i="4"/>
  <c r="AH191" i="4"/>
  <c r="AI191" i="4"/>
  <c r="AH192" i="4"/>
  <c r="AI192" i="4"/>
  <c r="AH193" i="4"/>
  <c r="AI193" i="4"/>
  <c r="AH194" i="4"/>
  <c r="AI194" i="4"/>
  <c r="AH195" i="4"/>
  <c r="AI195" i="4"/>
  <c r="AH196" i="4"/>
  <c r="AI196" i="4"/>
  <c r="AH197" i="4"/>
  <c r="AI197" i="4"/>
  <c r="AH198" i="4"/>
  <c r="AI198" i="4"/>
  <c r="AH199" i="4"/>
  <c r="AI199" i="4"/>
  <c r="AH200" i="4"/>
  <c r="AI200" i="4"/>
  <c r="AH201" i="4"/>
  <c r="AI201" i="4"/>
  <c r="AH202" i="4"/>
  <c r="AI202" i="4"/>
  <c r="AH203" i="4"/>
  <c r="AI203" i="4"/>
  <c r="AH204" i="4"/>
  <c r="AI204" i="4"/>
  <c r="AH205" i="4"/>
  <c r="AI205" i="4"/>
  <c r="AH206" i="4"/>
  <c r="AI206" i="4"/>
  <c r="AH207" i="4"/>
  <c r="AI207" i="4"/>
  <c r="AH208" i="4"/>
  <c r="AI208" i="4"/>
  <c r="AH209" i="4"/>
  <c r="AI209" i="4"/>
  <c r="AH210" i="4"/>
  <c r="AI210" i="4"/>
  <c r="AH211" i="4"/>
  <c r="AI211" i="4"/>
  <c r="AH212" i="4"/>
  <c r="AI212" i="4"/>
  <c r="AH213" i="4"/>
  <c r="AI213" i="4"/>
  <c r="AI214" i="4"/>
  <c r="AI59" i="4"/>
  <c r="AH59"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6" i="4"/>
  <c r="J5" i="4"/>
  <c r="F5" i="4"/>
  <c r="H6" i="4" l="1"/>
  <c r="H7" i="4"/>
  <c r="H5" i="4"/>
  <c r="AF241" i="1" l="1"/>
  <c r="AD241" i="1"/>
  <c r="AC241" i="1"/>
  <c r="AB241" i="1"/>
  <c r="AA241" i="1"/>
  <c r="Z241" i="1"/>
  <c r="Y241" i="1"/>
  <c r="X241" i="1"/>
  <c r="C63" i="17"/>
  <c r="E62" i="17"/>
  <c r="G61" i="17"/>
  <c r="E61" i="17"/>
  <c r="D61" i="17"/>
  <c r="C61" i="17"/>
  <c r="G59" i="17"/>
  <c r="D55" i="17"/>
  <c r="M26" i="17"/>
  <c r="D26" i="17"/>
  <c r="O25" i="17"/>
  <c r="C35" i="17" s="1"/>
  <c r="F25" i="17"/>
  <c r="F26" i="17" s="1"/>
  <c r="E25" i="17"/>
  <c r="E26" i="17" s="1"/>
  <c r="O15" i="17"/>
  <c r="D77" i="17" s="1"/>
  <c r="O13" i="17"/>
  <c r="C12" i="17"/>
  <c r="E11" i="17"/>
  <c r="F11" i="17" s="1"/>
  <c r="G11" i="17" s="1"/>
  <c r="H11" i="17" s="1"/>
  <c r="I11" i="17" s="1"/>
  <c r="J11" i="17" s="1"/>
  <c r="K11" i="17" s="1"/>
  <c r="L11" i="17" s="1"/>
  <c r="M11" i="17" s="1"/>
  <c r="AJ241" i="1" l="1"/>
  <c r="C59" i="17"/>
  <c r="AH241" i="1"/>
  <c r="G25" i="17"/>
  <c r="G64" i="17"/>
  <c r="G60" i="17"/>
  <c r="G26" i="17" l="1"/>
  <c r="H25" i="17"/>
  <c r="D64" i="17"/>
  <c r="I25" i="17" l="1"/>
  <c r="H26" i="17"/>
  <c r="J25" i="17" l="1"/>
  <c r="I26" i="17"/>
  <c r="K25" i="17" l="1"/>
  <c r="J26" i="17"/>
  <c r="K26" i="17" l="1"/>
  <c r="L25" i="17"/>
  <c r="L26" i="17" l="1"/>
  <c r="E64" i="17"/>
  <c r="E7" i="16" l="1"/>
  <c r="E6" i="16"/>
  <c r="E5" i="16"/>
  <c r="AF39" i="1" l="1"/>
  <c r="U204" i="1"/>
  <c r="AH86" i="1"/>
  <c r="H3" i="4"/>
  <c r="Y93" i="1"/>
  <c r="Z93" i="1"/>
  <c r="AA93" i="1"/>
  <c r="AB93" i="1"/>
  <c r="AC93" i="1"/>
  <c r="AD93" i="1"/>
  <c r="AE93" i="1"/>
  <c r="AF93" i="1"/>
  <c r="X93" i="1"/>
  <c r="Y90" i="1"/>
  <c r="Z90" i="1"/>
  <c r="AA90" i="1"/>
  <c r="AB90" i="1"/>
  <c r="AC90" i="1"/>
  <c r="AD90" i="1"/>
  <c r="AE90" i="1"/>
  <c r="AF90" i="1"/>
  <c r="X90" i="1"/>
  <c r="Y215" i="1"/>
  <c r="Z215" i="1"/>
  <c r="AA215" i="1"/>
  <c r="AB215" i="1"/>
  <c r="AC215" i="1"/>
  <c r="AD215" i="1"/>
  <c r="AE215" i="1"/>
  <c r="AF215" i="1"/>
  <c r="X215" i="1"/>
  <c r="Y212" i="1"/>
  <c r="Z212" i="1"/>
  <c r="AA212" i="1"/>
  <c r="AB212" i="1"/>
  <c r="AC212" i="1"/>
  <c r="AD212" i="1"/>
  <c r="AE212" i="1"/>
  <c r="AF212" i="1"/>
  <c r="X212" i="1"/>
  <c r="AF213" i="1"/>
  <c r="Y213" i="1"/>
  <c r="Z213" i="1"/>
  <c r="AA213" i="1"/>
  <c r="AB213" i="1"/>
  <c r="AC213" i="1"/>
  <c r="AD213" i="1"/>
  <c r="X213" i="1"/>
  <c r="X211" i="1"/>
  <c r="Y211" i="1"/>
  <c r="Z211" i="1"/>
  <c r="AA211" i="1"/>
  <c r="AB211" i="1"/>
  <c r="AC211" i="1"/>
  <c r="AD211" i="1"/>
  <c r="AF211" i="1"/>
  <c r="X99" i="1"/>
  <c r="X115" i="1" s="1"/>
  <c r="Y99" i="1"/>
  <c r="Y115" i="1" s="1"/>
  <c r="Z99" i="1"/>
  <c r="Z115" i="1" s="1"/>
  <c r="AA99" i="1"/>
  <c r="AA115" i="1" s="1"/>
  <c r="AB99" i="1"/>
  <c r="AB115" i="1" s="1"/>
  <c r="AC99" i="1"/>
  <c r="AC115" i="1" s="1"/>
  <c r="AD99" i="1"/>
  <c r="AD115" i="1" s="1"/>
  <c r="AE99" i="1"/>
  <c r="AE115" i="1" s="1"/>
  <c r="AF99" i="1"/>
  <c r="AF115" i="1" s="1"/>
  <c r="AB214" i="1" l="1"/>
  <c r="AA214" i="1"/>
  <c r="Z214" i="1"/>
  <c r="Y214" i="1"/>
  <c r="X214" i="1"/>
  <c r="AF214" i="1"/>
  <c r="AD214" i="1"/>
  <c r="AC214" i="1"/>
  <c r="AF152" i="1" l="1"/>
  <c r="AD152" i="1"/>
  <c r="AC152" i="1"/>
  <c r="AB152" i="1"/>
  <c r="AA152" i="1"/>
  <c r="Z152" i="1"/>
  <c r="Y152" i="1"/>
  <c r="X152" i="1"/>
  <c r="Y161" i="1"/>
  <c r="Z161" i="1"/>
  <c r="AA161" i="1"/>
  <c r="AB161" i="1"/>
  <c r="AC161" i="1"/>
  <c r="AD161" i="1"/>
  <c r="AF161" i="1"/>
  <c r="X161" i="1"/>
  <c r="AG210" i="1"/>
  <c r="Y209" i="1"/>
  <c r="Y210" i="1" s="1"/>
  <c r="Z209" i="1"/>
  <c r="Z210" i="1" s="1"/>
  <c r="AA209" i="1"/>
  <c r="AA210" i="1" s="1"/>
  <c r="AB209" i="1"/>
  <c r="AB210" i="1" s="1"/>
  <c r="AC209" i="1"/>
  <c r="AC210" i="1" s="1"/>
  <c r="AD209" i="1"/>
  <c r="AD210" i="1" s="1"/>
  <c r="AF209" i="1"/>
  <c r="AF210" i="1" s="1"/>
  <c r="X209" i="1"/>
  <c r="X210" i="1" s="1"/>
  <c r="AJ209" i="1" l="1"/>
  <c r="AH209" i="1"/>
  <c r="Z258" i="1"/>
  <c r="Z262" i="1" s="1"/>
  <c r="Y258" i="1"/>
  <c r="Y262" i="1" s="1"/>
  <c r="X258" i="1"/>
  <c r="X262" i="1" s="1"/>
  <c r="N8" i="4" l="1"/>
  <c r="E18" i="11" l="1"/>
  <c r="AE96" i="1" l="1"/>
  <c r="AF96" i="1"/>
  <c r="AE98" i="1"/>
  <c r="AF98" i="1"/>
  <c r="AL49" i="1"/>
  <c r="AC49" i="1"/>
  <c r="AB49" i="1"/>
  <c r="AH49" i="1" s="1"/>
  <c r="V49" i="1"/>
  <c r="U49" i="1"/>
  <c r="AF60" i="1"/>
  <c r="AH60" i="1" s="1"/>
  <c r="AD60" i="1"/>
  <c r="AC60" i="1"/>
  <c r="AB60" i="1"/>
  <c r="U60" i="1"/>
  <c r="AM25" i="1"/>
  <c r="AF27" i="1"/>
  <c r="AC27" i="1"/>
  <c r="AD27" i="1"/>
  <c r="AB27" i="1"/>
  <c r="C94" i="3"/>
  <c r="C66" i="3"/>
  <c r="C15" i="11" l="1" a="1"/>
  <c r="C15" i="11" s="1"/>
  <c r="C16" i="11" a="1"/>
  <c r="C16" i="11" s="1"/>
  <c r="C18" i="11" a="1"/>
  <c r="C18" i="11" s="1"/>
  <c r="C17" i="11" a="1"/>
  <c r="C17" i="11" s="1"/>
  <c r="C24" i="11" a="1"/>
  <c r="C24" i="11" s="1"/>
  <c r="C19" i="11" l="1"/>
  <c r="C12" i="8" l="1"/>
  <c r="C59" i="8" s="1"/>
  <c r="AF367" i="1"/>
  <c r="AF368" i="1"/>
  <c r="AF365" i="1"/>
  <c r="C18" i="8" l="1"/>
  <c r="C18" i="17"/>
  <c r="C17" i="8"/>
  <c r="C17" i="17"/>
  <c r="AF369" i="1"/>
  <c r="C19" i="8"/>
  <c r="C4" i="14"/>
  <c r="G5" i="14"/>
  <c r="G6" i="14"/>
  <c r="C8" i="14"/>
  <c r="C9" i="14"/>
  <c r="G9" i="14"/>
  <c r="C10" i="14"/>
  <c r="C11" i="14"/>
  <c r="G11" i="14"/>
  <c r="C27" i="14" s="1"/>
  <c r="C28" i="14" s="1"/>
  <c r="C13" i="14"/>
  <c r="F3" i="17" l="1"/>
  <c r="C19" i="17"/>
  <c r="F4" i="17"/>
  <c r="C14" i="14"/>
  <c r="D11" i="14" s="1"/>
  <c r="C15" i="14"/>
  <c r="C21" i="14" l="1"/>
  <c r="C23" i="14" s="1"/>
  <c r="C25" i="14" s="1"/>
  <c r="D13" i="14"/>
  <c r="D14" i="14" s="1"/>
  <c r="F19" i="11"/>
  <c r="G19" i="11"/>
  <c r="C30" i="14" l="1"/>
  <c r="S18" i="1"/>
  <c r="U18" i="1"/>
  <c r="S262" i="1"/>
  <c r="S247" i="1"/>
  <c r="S233" i="1"/>
  <c r="S228" i="1"/>
  <c r="U262" i="1"/>
  <c r="U247" i="1"/>
  <c r="U233" i="1"/>
  <c r="Q233" i="1"/>
  <c r="U228" i="1"/>
  <c r="U207" i="1"/>
  <c r="U203" i="1"/>
  <c r="U159" i="1"/>
  <c r="U197" i="1"/>
  <c r="U186" i="1"/>
  <c r="U176" i="1"/>
  <c r="U178" i="1" s="1"/>
  <c r="U170" i="1"/>
  <c r="S129" i="1"/>
  <c r="S119" i="1"/>
  <c r="S109" i="1"/>
  <c r="U138" i="1"/>
  <c r="S138" i="1"/>
  <c r="U119" i="1"/>
  <c r="U114" i="1"/>
  <c r="U109" i="1"/>
  <c r="S99" i="1"/>
  <c r="S100" i="1" s="1"/>
  <c r="S98" i="1"/>
  <c r="U99" i="1"/>
  <c r="U110" i="1" s="1"/>
  <c r="U111" i="1" s="1"/>
  <c r="U98" i="1"/>
  <c r="U87" i="1"/>
  <c r="S33" i="1"/>
  <c r="S42" i="1" s="1"/>
  <c r="S12" i="1"/>
  <c r="S17" i="1" s="1"/>
  <c r="O33" i="1"/>
  <c r="O42" i="1" s="1"/>
  <c r="U33" i="1"/>
  <c r="U12" i="1"/>
  <c r="U21" i="1" s="1"/>
  <c r="D37" i="13"/>
  <c r="E37" i="13"/>
  <c r="E38" i="13" s="1"/>
  <c r="F37" i="13"/>
  <c r="F38" i="13" s="1"/>
  <c r="G37" i="13"/>
  <c r="G38" i="13" s="1"/>
  <c r="F36" i="13"/>
  <c r="D35" i="13"/>
  <c r="E35" i="13"/>
  <c r="F35" i="13"/>
  <c r="G35" i="13"/>
  <c r="D36" i="13"/>
  <c r="E36" i="13"/>
  <c r="G36" i="13"/>
  <c r="E34" i="13"/>
  <c r="F34" i="13"/>
  <c r="G34" i="13"/>
  <c r="D34" i="13"/>
  <c r="D38" i="13" s="1"/>
  <c r="O25" i="8"/>
  <c r="U19" i="1" l="1"/>
  <c r="U236" i="1"/>
  <c r="S19" i="1"/>
  <c r="U15" i="1"/>
  <c r="S236" i="1"/>
  <c r="S248" i="1" s="1"/>
  <c r="S250" i="1" s="1"/>
  <c r="U198" i="1"/>
  <c r="U121" i="1"/>
  <c r="U130" i="1" s="1"/>
  <c r="U133" i="1" s="1"/>
  <c r="U34" i="1"/>
  <c r="S110" i="1"/>
  <c r="U205" i="1"/>
  <c r="U171" i="1"/>
  <c r="U13" i="1"/>
  <c r="U100" i="1"/>
  <c r="U106" i="1"/>
  <c r="U105" i="1"/>
  <c r="S21" i="1"/>
  <c r="S36" i="1"/>
  <c r="S15" i="1"/>
  <c r="S38" i="1"/>
  <c r="U38" i="1"/>
  <c r="U42" i="1"/>
  <c r="O36" i="1"/>
  <c r="U17" i="1"/>
  <c r="U36" i="1"/>
  <c r="O38" i="1"/>
  <c r="D27" i="13"/>
  <c r="E27" i="13" s="1"/>
  <c r="F27" i="13" s="1"/>
  <c r="G27" i="13" s="1"/>
  <c r="B45" i="13"/>
  <c r="B46" i="13"/>
  <c r="B47" i="13"/>
  <c r="B44" i="13"/>
  <c r="D45" i="13"/>
  <c r="E45" i="13"/>
  <c r="F45" i="13"/>
  <c r="G45" i="13"/>
  <c r="D46" i="13"/>
  <c r="E46" i="13"/>
  <c r="F46" i="13"/>
  <c r="G46" i="13"/>
  <c r="D47" i="13"/>
  <c r="E47" i="13"/>
  <c r="F47" i="13"/>
  <c r="G47" i="13"/>
  <c r="D48" i="13"/>
  <c r="E48" i="13"/>
  <c r="F48" i="13"/>
  <c r="G48" i="13"/>
  <c r="E44" i="13"/>
  <c r="F44" i="13"/>
  <c r="G44" i="13"/>
  <c r="D44" i="13"/>
  <c r="C21" i="13"/>
  <c r="D21" i="13"/>
  <c r="E21" i="13"/>
  <c r="F21" i="13"/>
  <c r="G21" i="13"/>
  <c r="AD24" i="1"/>
  <c r="AD25" i="1" s="1"/>
  <c r="AC24" i="1"/>
  <c r="AC25" i="1" s="1"/>
  <c r="AB24" i="1"/>
  <c r="AB25" i="1" s="1"/>
  <c r="AA24" i="1"/>
  <c r="AA25" i="1" s="1"/>
  <c r="D20" i="1"/>
  <c r="E20" i="1" s="1"/>
  <c r="F20" i="1" s="1"/>
  <c r="AF24" i="1"/>
  <c r="AF25" i="1" s="1"/>
  <c r="C11" i="11"/>
  <c r="O15" i="8"/>
  <c r="S251" i="1" l="1"/>
  <c r="S263" i="1"/>
  <c r="S266" i="1" s="1"/>
  <c r="U129" i="1"/>
  <c r="U122" i="1"/>
  <c r="U248" i="1"/>
  <c r="U251" i="1"/>
  <c r="U199" i="1"/>
  <c r="U263" i="1"/>
  <c r="U266" i="1" s="1"/>
  <c r="S121" i="1"/>
  <c r="S111" i="1"/>
  <c r="U131" i="1"/>
  <c r="U135" i="1"/>
  <c r="AF18" i="1"/>
  <c r="AB18" i="1"/>
  <c r="AC18" i="1"/>
  <c r="AD18" i="1"/>
  <c r="AA18" i="1"/>
  <c r="AL41" i="1"/>
  <c r="AL37" i="1"/>
  <c r="AJ216" i="1"/>
  <c r="AJ217" i="1"/>
  <c r="AJ218" i="1"/>
  <c r="AJ219" i="1"/>
  <c r="AJ220" i="1"/>
  <c r="AJ224" i="1"/>
  <c r="AJ225" i="1"/>
  <c r="AJ227" i="1"/>
  <c r="AJ229" i="1"/>
  <c r="AJ230" i="1"/>
  <c r="AJ231" i="1"/>
  <c r="AJ232" i="1"/>
  <c r="AJ235" i="1"/>
  <c r="AJ237" i="1"/>
  <c r="AJ238" i="1"/>
  <c r="AJ239" i="1"/>
  <c r="AJ240" i="1"/>
  <c r="AJ242" i="1"/>
  <c r="AJ245" i="1"/>
  <c r="AJ246" i="1"/>
  <c r="AJ253" i="1"/>
  <c r="AJ254" i="1"/>
  <c r="AJ255" i="1"/>
  <c r="AJ256" i="1"/>
  <c r="AJ257" i="1"/>
  <c r="AJ259" i="1"/>
  <c r="AJ260" i="1"/>
  <c r="AJ261" i="1"/>
  <c r="AJ264" i="1"/>
  <c r="AJ265" i="1"/>
  <c r="AJ267" i="1"/>
  <c r="AJ268" i="1"/>
  <c r="AJ286" i="1"/>
  <c r="AJ291" i="1"/>
  <c r="AJ292" i="1"/>
  <c r="AJ293" i="1"/>
  <c r="AJ294" i="1"/>
  <c r="AJ295" i="1"/>
  <c r="AJ296" i="1"/>
  <c r="AJ297" i="1"/>
  <c r="AJ298" i="1"/>
  <c r="AJ299" i="1"/>
  <c r="AJ300" i="1"/>
  <c r="AJ301" i="1"/>
  <c r="AJ302" i="1"/>
  <c r="AJ303" i="1"/>
  <c r="AJ304" i="1"/>
  <c r="AJ305" i="1"/>
  <c r="AJ306" i="1"/>
  <c r="AJ307" i="1"/>
  <c r="AJ309" i="1"/>
  <c r="AJ310" i="1"/>
  <c r="AJ311" i="1"/>
  <c r="AJ312" i="1"/>
  <c r="AJ313" i="1"/>
  <c r="AJ314" i="1"/>
  <c r="AJ315" i="1"/>
  <c r="AJ316" i="1"/>
  <c r="AJ317" i="1"/>
  <c r="AJ318" i="1"/>
  <c r="AJ320" i="1"/>
  <c r="AJ322" i="1"/>
  <c r="AJ323" i="1"/>
  <c r="AJ324" i="1"/>
  <c r="AJ325" i="1"/>
  <c r="AJ326" i="1"/>
  <c r="AJ327" i="1"/>
  <c r="AJ328" i="1"/>
  <c r="AJ329" i="1"/>
  <c r="AJ330" i="1"/>
  <c r="AJ331" i="1"/>
  <c r="AJ332" i="1"/>
  <c r="AJ333" i="1"/>
  <c r="AJ334" i="1"/>
  <c r="AJ335" i="1"/>
  <c r="AJ336" i="1"/>
  <c r="AJ337" i="1"/>
  <c r="AJ338" i="1"/>
  <c r="AJ339" i="1"/>
  <c r="AJ340" i="1"/>
  <c r="AJ343" i="1"/>
  <c r="AJ344" i="1"/>
  <c r="AJ351" i="1"/>
  <c r="AJ151" i="1"/>
  <c r="AJ153" i="1"/>
  <c r="AJ154" i="1"/>
  <c r="AJ155" i="1"/>
  <c r="AJ156" i="1"/>
  <c r="AJ157" i="1"/>
  <c r="AJ158" i="1"/>
  <c r="AJ160" i="1"/>
  <c r="AJ162" i="1"/>
  <c r="AJ163" i="1"/>
  <c r="AJ164" i="1"/>
  <c r="AJ165" i="1"/>
  <c r="AJ166" i="1"/>
  <c r="AJ167" i="1"/>
  <c r="AJ168" i="1"/>
  <c r="AJ169" i="1"/>
  <c r="AJ172" i="1"/>
  <c r="AJ173" i="1"/>
  <c r="AJ174" i="1"/>
  <c r="AJ175" i="1"/>
  <c r="AJ177" i="1"/>
  <c r="AJ180" i="1"/>
  <c r="AJ181" i="1"/>
  <c r="AJ182" i="1"/>
  <c r="AJ183" i="1"/>
  <c r="AJ184" i="1"/>
  <c r="AJ185" i="1"/>
  <c r="AJ188" i="1"/>
  <c r="AJ189" i="1"/>
  <c r="AJ190" i="1"/>
  <c r="AJ191" i="1"/>
  <c r="AJ192" i="1"/>
  <c r="AJ193" i="1"/>
  <c r="AJ194" i="1"/>
  <c r="AJ195" i="1"/>
  <c r="AJ196" i="1"/>
  <c r="AJ150" i="1"/>
  <c r="AJ136" i="1"/>
  <c r="AJ137" i="1"/>
  <c r="AJ139" i="1"/>
  <c r="AJ141" i="1"/>
  <c r="AJ142" i="1"/>
  <c r="AJ88" i="1"/>
  <c r="AJ89" i="1"/>
  <c r="AJ91" i="1"/>
  <c r="AJ92" i="1"/>
  <c r="AJ94" i="1"/>
  <c r="AJ97" i="1"/>
  <c r="AJ102" i="1"/>
  <c r="AJ107" i="1"/>
  <c r="AJ108" i="1"/>
  <c r="AJ112" i="1"/>
  <c r="AJ113" i="1"/>
  <c r="AJ117" i="1"/>
  <c r="AJ118" i="1"/>
  <c r="AJ120" i="1"/>
  <c r="AJ123" i="1"/>
  <c r="AJ124" i="1"/>
  <c r="AJ125" i="1"/>
  <c r="AJ126" i="1"/>
  <c r="AJ128" i="1"/>
  <c r="AJ132" i="1"/>
  <c r="AJ134" i="1"/>
  <c r="AJ86" i="1"/>
  <c r="AJ8" i="1"/>
  <c r="AJ3" i="1"/>
  <c r="X244" i="1"/>
  <c r="AJ244" i="1" s="1"/>
  <c r="Y244" i="1"/>
  <c r="Z244" i="1"/>
  <c r="X243" i="1"/>
  <c r="AJ243" i="1" s="1"/>
  <c r="Y243" i="1"/>
  <c r="Z243" i="1"/>
  <c r="Z233" i="1"/>
  <c r="Z234" i="1" s="1"/>
  <c r="Y233" i="1"/>
  <c r="Y234" i="1" s="1"/>
  <c r="X233" i="1"/>
  <c r="X234" i="1" s="1"/>
  <c r="X226" i="1"/>
  <c r="X228" i="1" s="1"/>
  <c r="Y226" i="1"/>
  <c r="Y228" i="1" s="1"/>
  <c r="Z226" i="1"/>
  <c r="Z228" i="1" s="1"/>
  <c r="AA106" i="1"/>
  <c r="X101" i="1"/>
  <c r="AJ101" i="1" s="1"/>
  <c r="Y101" i="1"/>
  <c r="Z101" i="1"/>
  <c r="Z353" i="1"/>
  <c r="Y353" i="1"/>
  <c r="X353" i="1"/>
  <c r="Z354" i="1"/>
  <c r="Y354" i="1"/>
  <c r="X354" i="1"/>
  <c r="Z355" i="1"/>
  <c r="Y355" i="1"/>
  <c r="X355" i="1"/>
  <c r="Z347" i="1"/>
  <c r="Y347" i="1"/>
  <c r="X347" i="1"/>
  <c r="Y109" i="1"/>
  <c r="Z119" i="1"/>
  <c r="Y119" i="1"/>
  <c r="X119" i="1"/>
  <c r="Z114" i="1"/>
  <c r="Y114" i="1"/>
  <c r="AA114" i="1"/>
  <c r="Z109" i="1"/>
  <c r="X109" i="1"/>
  <c r="X100" i="1"/>
  <c r="Z98" i="1"/>
  <c r="Y98" i="1"/>
  <c r="X98" i="1"/>
  <c r="Z87" i="1"/>
  <c r="Y87" i="1"/>
  <c r="AA87" i="1"/>
  <c r="Z207" i="1"/>
  <c r="Y207" i="1"/>
  <c r="X207" i="1"/>
  <c r="AJ207" i="1" s="1"/>
  <c r="X187" i="1"/>
  <c r="AJ187" i="1" s="1"/>
  <c r="Y187" i="1"/>
  <c r="Z187" i="1"/>
  <c r="X179" i="1"/>
  <c r="AJ179" i="1" s="1"/>
  <c r="Y179" i="1"/>
  <c r="Z179" i="1"/>
  <c r="Z178" i="1"/>
  <c r="Z345" i="1" s="1"/>
  <c r="Y178" i="1"/>
  <c r="Y345" i="1" s="1"/>
  <c r="X178" i="1"/>
  <c r="X345" i="1" s="1"/>
  <c r="Z170" i="1"/>
  <c r="Y170" i="1"/>
  <c r="X170" i="1"/>
  <c r="Z159" i="1"/>
  <c r="Y159" i="1"/>
  <c r="X159" i="1"/>
  <c r="AM2" i="1"/>
  <c r="AN2" i="1" s="1"/>
  <c r="AO2" i="1" s="1"/>
  <c r="AP2" i="1" s="1"/>
  <c r="AQ2" i="1" s="1"/>
  <c r="AR2" i="1" s="1"/>
  <c r="AS2" i="1" s="1"/>
  <c r="AT2" i="1" s="1"/>
  <c r="AU2" i="1" s="1"/>
  <c r="AF347" i="1"/>
  <c r="C3" i="12"/>
  <c r="E60" i="12"/>
  <c r="G59" i="12"/>
  <c r="E59" i="12"/>
  <c r="D59" i="12"/>
  <c r="C59" i="12"/>
  <c r="G57" i="12"/>
  <c r="O24" i="12"/>
  <c r="M24" i="12"/>
  <c r="D24" i="12"/>
  <c r="O23" i="12"/>
  <c r="C33" i="12" s="1"/>
  <c r="E23" i="12"/>
  <c r="F23" i="12" s="1"/>
  <c r="D75" i="12"/>
  <c r="D69" i="12"/>
  <c r="C15" i="12"/>
  <c r="D15" i="12" s="1"/>
  <c r="D20" i="12" s="1"/>
  <c r="G65" i="12" s="1"/>
  <c r="O14" i="12"/>
  <c r="E13" i="12"/>
  <c r="F13" i="12" s="1"/>
  <c r="G13" i="12" s="1"/>
  <c r="H13" i="12" s="1"/>
  <c r="I13" i="12" s="1"/>
  <c r="J13" i="12" s="1"/>
  <c r="K13" i="12" s="1"/>
  <c r="L13" i="12" s="1"/>
  <c r="M13" i="12" s="1"/>
  <c r="O13" i="8"/>
  <c r="G61" i="8"/>
  <c r="D61" i="8"/>
  <c r="E61" i="8"/>
  <c r="C61" i="8"/>
  <c r="G59" i="8"/>
  <c r="M26" i="8"/>
  <c r="D26" i="8"/>
  <c r="C35" i="8"/>
  <c r="E25" i="8"/>
  <c r="E26" i="8" s="1"/>
  <c r="D5" i="11"/>
  <c r="AL35" i="1"/>
  <c r="D4" i="11"/>
  <c r="AD26" i="1" l="1"/>
  <c r="AD28" i="1" s="1"/>
  <c r="AM26" i="1"/>
  <c r="AL26" i="1"/>
  <c r="AH18" i="1"/>
  <c r="AC26" i="1"/>
  <c r="AC28" i="1" s="1"/>
  <c r="AB26" i="1"/>
  <c r="AF26" i="1"/>
  <c r="AF28" i="1" s="1"/>
  <c r="AJ347" i="1"/>
  <c r="Z236" i="1"/>
  <c r="Z248" i="1" s="1"/>
  <c r="Z249" i="1" s="1"/>
  <c r="S130" i="1"/>
  <c r="S122" i="1"/>
  <c r="Y236" i="1"/>
  <c r="Y248" i="1" s="1"/>
  <c r="Y249" i="1" s="1"/>
  <c r="Z203" i="1"/>
  <c r="Z346" i="1" s="1"/>
  <c r="Z348" i="1" s="1"/>
  <c r="Y203" i="1"/>
  <c r="Y346" i="1" s="1"/>
  <c r="Y348" i="1" s="1"/>
  <c r="Z204" i="1"/>
  <c r="Z205" i="1" s="1"/>
  <c r="AJ226" i="1"/>
  <c r="X110" i="1"/>
  <c r="X116" i="1" s="1"/>
  <c r="X203" i="1"/>
  <c r="X346" i="1" s="1"/>
  <c r="X348" i="1" s="1"/>
  <c r="X350" i="1" s="1"/>
  <c r="Z247" i="1"/>
  <c r="Z171" i="1"/>
  <c r="Y247" i="1"/>
  <c r="X247" i="1"/>
  <c r="Y204" i="1"/>
  <c r="Y206" i="1" s="1"/>
  <c r="X204" i="1"/>
  <c r="X205" i="1" s="1"/>
  <c r="X236" i="1"/>
  <c r="X171" i="1"/>
  <c r="Y197" i="1"/>
  <c r="Y171" i="1"/>
  <c r="Z197" i="1"/>
  <c r="Z100" i="1"/>
  <c r="Z110" i="1"/>
  <c r="Z116" i="1" s="1"/>
  <c r="Z104" i="1"/>
  <c r="Z106" i="1" s="1"/>
  <c r="Y100" i="1"/>
  <c r="Y110" i="1"/>
  <c r="Y116" i="1" s="1"/>
  <c r="X197" i="1"/>
  <c r="X104" i="1"/>
  <c r="X106" i="1" s="1"/>
  <c r="Y104" i="1"/>
  <c r="Y106" i="1" s="1"/>
  <c r="X186" i="1"/>
  <c r="Y186" i="1"/>
  <c r="Z186" i="1"/>
  <c r="C65" i="12"/>
  <c r="E15" i="12"/>
  <c r="F24" i="12"/>
  <c r="G23" i="12"/>
  <c r="G62" i="12"/>
  <c r="G58" i="12"/>
  <c r="E24" i="12"/>
  <c r="C57" i="12"/>
  <c r="G64" i="8"/>
  <c r="F25" i="8"/>
  <c r="Z350" i="1" l="1"/>
  <c r="Z146" i="1"/>
  <c r="Z144" i="1"/>
  <c r="Z321" i="1" s="1"/>
  <c r="Z352" i="1" s="1"/>
  <c r="Z356" i="1" s="1"/>
  <c r="Z145" i="1"/>
  <c r="Y144" i="1"/>
  <c r="Y321" i="1" s="1"/>
  <c r="Y352" i="1" s="1"/>
  <c r="Y356" i="1" s="1"/>
  <c r="Y145" i="1"/>
  <c r="Y350" i="1"/>
  <c r="Y146" i="1"/>
  <c r="Z251" i="1"/>
  <c r="AB28" i="1"/>
  <c r="S135" i="1"/>
  <c r="S133" i="1"/>
  <c r="Z206" i="1"/>
  <c r="Y251" i="1"/>
  <c r="X121" i="1"/>
  <c r="X144" i="1"/>
  <c r="X321" i="1" s="1"/>
  <c r="X352" i="1" s="1"/>
  <c r="X356" i="1" s="1"/>
  <c r="X111" i="1"/>
  <c r="Y198" i="1"/>
  <c r="X206" i="1"/>
  <c r="Z198" i="1"/>
  <c r="Y205" i="1"/>
  <c r="X248" i="1"/>
  <c r="X251" i="1"/>
  <c r="AJ251" i="1" s="1"/>
  <c r="Y111" i="1"/>
  <c r="Y121" i="1"/>
  <c r="X198" i="1"/>
  <c r="Z121" i="1"/>
  <c r="Z111" i="1"/>
  <c r="G24" i="12"/>
  <c r="H23" i="12"/>
  <c r="F15" i="12"/>
  <c r="C66" i="12"/>
  <c r="F26" i="8"/>
  <c r="G25" i="8"/>
  <c r="X349" i="1" l="1"/>
  <c r="Z147" i="1"/>
  <c r="Y147" i="1"/>
  <c r="X122" i="1"/>
  <c r="X130" i="1"/>
  <c r="X129" i="1"/>
  <c r="X143" i="1" s="1"/>
  <c r="X208" i="1" s="1"/>
  <c r="X249" i="1"/>
  <c r="Y349" i="1"/>
  <c r="Z129" i="1"/>
  <c r="Z143" i="1" s="1"/>
  <c r="Z122" i="1"/>
  <c r="Z130" i="1"/>
  <c r="Y129" i="1"/>
  <c r="Y143" i="1" s="1"/>
  <c r="Y208" i="1" s="1"/>
  <c r="Y122" i="1"/>
  <c r="Y130" i="1"/>
  <c r="E26" i="12"/>
  <c r="G66" i="12"/>
  <c r="C67" i="12"/>
  <c r="G15" i="12"/>
  <c r="F20" i="12"/>
  <c r="H24" i="12"/>
  <c r="I23" i="12"/>
  <c r="D62" i="12"/>
  <c r="H25" i="8"/>
  <c r="D64" i="8" s="1"/>
  <c r="G26" i="8"/>
  <c r="X135" i="1" l="1"/>
  <c r="AJ135" i="1" s="1"/>
  <c r="X131" i="1"/>
  <c r="X133" i="1"/>
  <c r="X250" i="1" s="1"/>
  <c r="Z131" i="1"/>
  <c r="Z135" i="1"/>
  <c r="Z133" i="1"/>
  <c r="Z250" i="1" s="1"/>
  <c r="Y135" i="1"/>
  <c r="Y133" i="1"/>
  <c r="Y250" i="1" s="1"/>
  <c r="Y131" i="1"/>
  <c r="G67" i="12"/>
  <c r="F26" i="12"/>
  <c r="I24" i="12"/>
  <c r="J23" i="12"/>
  <c r="C68" i="12"/>
  <c r="H15" i="12"/>
  <c r="G20" i="12"/>
  <c r="H26" i="8"/>
  <c r="I25" i="8"/>
  <c r="G26" i="12" l="1"/>
  <c r="G68" i="12"/>
  <c r="K23" i="12"/>
  <c r="J24" i="12"/>
  <c r="C69" i="12"/>
  <c r="H17" i="12"/>
  <c r="H20" i="12"/>
  <c r="D57" i="12"/>
  <c r="J25" i="8"/>
  <c r="I26" i="8"/>
  <c r="L23" i="12" l="1"/>
  <c r="L24" i="12" s="1"/>
  <c r="K24" i="12"/>
  <c r="E62" i="12"/>
  <c r="G69" i="12"/>
  <c r="H26" i="12"/>
  <c r="E69" i="12"/>
  <c r="H18" i="12"/>
  <c r="H19" i="12" s="1"/>
  <c r="K25" i="8"/>
  <c r="J26" i="8"/>
  <c r="F69" i="12" l="1"/>
  <c r="H69" i="12" s="1"/>
  <c r="H21" i="12"/>
  <c r="L25" i="8"/>
  <c r="L26" i="8" s="1"/>
  <c r="K26" i="8"/>
  <c r="H25" i="12" l="1"/>
  <c r="E64" i="8"/>
  <c r="C31" i="10" l="1"/>
  <c r="M23" i="10"/>
  <c r="L23" i="10"/>
  <c r="K23" i="10"/>
  <c r="J23" i="10"/>
  <c r="I23" i="10"/>
  <c r="H23" i="10"/>
  <c r="G23" i="10"/>
  <c r="F23" i="10"/>
  <c r="E23" i="10"/>
  <c r="D23" i="10"/>
  <c r="C15" i="10"/>
  <c r="D15" i="10" s="1"/>
  <c r="E13" i="10"/>
  <c r="F13" i="10" s="1"/>
  <c r="G13" i="10" s="1"/>
  <c r="H13" i="10" s="1"/>
  <c r="I13" i="10" s="1"/>
  <c r="J13" i="10" s="1"/>
  <c r="K13" i="10" s="1"/>
  <c r="L13" i="10" s="1"/>
  <c r="M13" i="10" s="1"/>
  <c r="C9" i="10"/>
  <c r="C31" i="9"/>
  <c r="M23" i="9"/>
  <c r="L23" i="9"/>
  <c r="K23" i="9"/>
  <c r="J23" i="9"/>
  <c r="I23" i="9"/>
  <c r="H23" i="9"/>
  <c r="G23" i="9"/>
  <c r="F23" i="9"/>
  <c r="E23" i="9"/>
  <c r="D23" i="9"/>
  <c r="C15" i="9"/>
  <c r="D15" i="9" s="1"/>
  <c r="E13" i="9"/>
  <c r="F13" i="9" s="1"/>
  <c r="G13" i="9" s="1"/>
  <c r="H13" i="9" s="1"/>
  <c r="I13" i="9" s="1"/>
  <c r="J13" i="9" s="1"/>
  <c r="K13" i="9" s="1"/>
  <c r="L13" i="9" s="1"/>
  <c r="M13" i="9" s="1"/>
  <c r="C9" i="9"/>
  <c r="E15" i="10" l="1"/>
  <c r="E15" i="9"/>
  <c r="E17" i="10" l="1"/>
  <c r="E18" i="10" s="1"/>
  <c r="F15" i="10"/>
  <c r="E17" i="9"/>
  <c r="E18" i="9" s="1"/>
  <c r="F15" i="9"/>
  <c r="G15" i="10" l="1"/>
  <c r="F17" i="10"/>
  <c r="F18" i="10" s="1"/>
  <c r="F20" i="10"/>
  <c r="F17" i="9"/>
  <c r="F18" i="9" s="1"/>
  <c r="G15" i="9"/>
  <c r="F20" i="9"/>
  <c r="F25" i="10" l="1"/>
  <c r="F19" i="10"/>
  <c r="G20" i="10"/>
  <c r="G17" i="10"/>
  <c r="G18" i="10" s="1"/>
  <c r="H15" i="10"/>
  <c r="F21" i="10"/>
  <c r="F21" i="9"/>
  <c r="F25" i="9"/>
  <c r="F19" i="9"/>
  <c r="G17" i="9"/>
  <c r="G18" i="9" s="1"/>
  <c r="H15" i="9"/>
  <c r="G20" i="9"/>
  <c r="F24" i="10" l="1"/>
  <c r="H17" i="10"/>
  <c r="H18" i="10" s="1"/>
  <c r="I15" i="10"/>
  <c r="H20" i="10"/>
  <c r="G21" i="10"/>
  <c r="G19" i="10"/>
  <c r="G25" i="10"/>
  <c r="G21" i="9"/>
  <c r="F24" i="9"/>
  <c r="G25" i="9"/>
  <c r="G19" i="9"/>
  <c r="I15" i="9"/>
  <c r="H20" i="9"/>
  <c r="H17" i="9"/>
  <c r="H18" i="9" s="1"/>
  <c r="H19" i="10" l="1"/>
  <c r="H25" i="10"/>
  <c r="I20" i="10"/>
  <c r="I17" i="10"/>
  <c r="I18" i="10" s="1"/>
  <c r="J15" i="10"/>
  <c r="G22" i="10"/>
  <c r="G24" i="10"/>
  <c r="H21" i="10"/>
  <c r="H21" i="9"/>
  <c r="I20" i="9"/>
  <c r="I17" i="9"/>
  <c r="I18" i="9" s="1"/>
  <c r="J15" i="9"/>
  <c r="H25" i="9"/>
  <c r="H19" i="9"/>
  <c r="G22" i="9"/>
  <c r="G24" i="9"/>
  <c r="I25" i="10" l="1"/>
  <c r="I19" i="10"/>
  <c r="I21" i="10"/>
  <c r="H22" i="10"/>
  <c r="H24" i="10"/>
  <c r="J17" i="10"/>
  <c r="J18" i="10" s="1"/>
  <c r="J20" i="10"/>
  <c r="J17" i="9"/>
  <c r="J18" i="9" s="1"/>
  <c r="J20" i="9"/>
  <c r="H24" i="9"/>
  <c r="H22" i="9"/>
  <c r="I21" i="9"/>
  <c r="I19" i="9"/>
  <c r="I25" i="9"/>
  <c r="J21" i="10" l="1"/>
  <c r="I22" i="10"/>
  <c r="I24" i="10"/>
  <c r="J25" i="10"/>
  <c r="J19" i="10"/>
  <c r="I22" i="9"/>
  <c r="I24" i="9"/>
  <c r="J25" i="9"/>
  <c r="J19" i="9"/>
  <c r="J21" i="9"/>
  <c r="J24" i="10" l="1"/>
  <c r="J22" i="10"/>
  <c r="J22" i="9"/>
  <c r="J24" i="9"/>
  <c r="E11" i="8" l="1"/>
  <c r="F11" i="8" s="1"/>
  <c r="G11" i="8" s="1"/>
  <c r="H11" i="8" s="1"/>
  <c r="I11" i="8" s="1"/>
  <c r="J11" i="8" s="1"/>
  <c r="K11" i="8" s="1"/>
  <c r="L11" i="8" s="1"/>
  <c r="M11" i="8" s="1"/>
  <c r="C10" i="2" l="1"/>
  <c r="AD204" i="1"/>
  <c r="AF204" i="1"/>
  <c r="AA204" i="1"/>
  <c r="AB204" i="1"/>
  <c r="AC204" i="1"/>
  <c r="AH8" i="1"/>
  <c r="AH10" i="1"/>
  <c r="AH11" i="1"/>
  <c r="AH14" i="1"/>
  <c r="AH16" i="1"/>
  <c r="AH20" i="1"/>
  <c r="AH22" i="1"/>
  <c r="AH31" i="1"/>
  <c r="AH32" i="1"/>
  <c r="AH34" i="1"/>
  <c r="AH35" i="1"/>
  <c r="AH37" i="1"/>
  <c r="AH41" i="1"/>
  <c r="AH43" i="1"/>
  <c r="AH46" i="1"/>
  <c r="AH47" i="1"/>
  <c r="AH50" i="1"/>
  <c r="AH52" i="1"/>
  <c r="AH54" i="1"/>
  <c r="AH57" i="1"/>
  <c r="AH58" i="1"/>
  <c r="AH61" i="1"/>
  <c r="AH63" i="1"/>
  <c r="AH65" i="1"/>
  <c r="AH67" i="1"/>
  <c r="AH68" i="1"/>
  <c r="AH70" i="1"/>
  <c r="AH76" i="1"/>
  <c r="AH88" i="1"/>
  <c r="AH89" i="1"/>
  <c r="AH91" i="1"/>
  <c r="AH92" i="1"/>
  <c r="AH94" i="1"/>
  <c r="AH97" i="1"/>
  <c r="AH101" i="1"/>
  <c r="AH102" i="1"/>
  <c r="AH108" i="1"/>
  <c r="AH112" i="1"/>
  <c r="AH113" i="1"/>
  <c r="AH117" i="1"/>
  <c r="AH118" i="1"/>
  <c r="AH120" i="1"/>
  <c r="AH123" i="1"/>
  <c r="AH124" i="1"/>
  <c r="AH125" i="1"/>
  <c r="AH126" i="1"/>
  <c r="AH128" i="1"/>
  <c r="AH132" i="1"/>
  <c r="AH134" i="1"/>
  <c r="AH136" i="1"/>
  <c r="AH137" i="1"/>
  <c r="AH139" i="1"/>
  <c r="AH141" i="1"/>
  <c r="AH142" i="1"/>
  <c r="AH150" i="1"/>
  <c r="AH151" i="1"/>
  <c r="AH153" i="1"/>
  <c r="AH154" i="1"/>
  <c r="AH155" i="1"/>
  <c r="AH156" i="1"/>
  <c r="AH157" i="1"/>
  <c r="AH158" i="1"/>
  <c r="AH160" i="1"/>
  <c r="AH162" i="1"/>
  <c r="AH163" i="1"/>
  <c r="AH164" i="1"/>
  <c r="AH165" i="1"/>
  <c r="AH166" i="1"/>
  <c r="AH167" i="1"/>
  <c r="AH168" i="1"/>
  <c r="AH169" i="1"/>
  <c r="AH172" i="1"/>
  <c r="AH173" i="1"/>
  <c r="AH174" i="1"/>
  <c r="AH175" i="1"/>
  <c r="AH177" i="1"/>
  <c r="AH179" i="1"/>
  <c r="AH180" i="1"/>
  <c r="AH181" i="1"/>
  <c r="AH182" i="1"/>
  <c r="AH183" i="1"/>
  <c r="AH184" i="1"/>
  <c r="AH185" i="1"/>
  <c r="AH187" i="1"/>
  <c r="AH188" i="1"/>
  <c r="AH189" i="1"/>
  <c r="AH190" i="1"/>
  <c r="AH191" i="1"/>
  <c r="AH192" i="1"/>
  <c r="AH193" i="1"/>
  <c r="AH194" i="1"/>
  <c r="AH195" i="1"/>
  <c r="AH196" i="1"/>
  <c r="AH200" i="1"/>
  <c r="AH216" i="1"/>
  <c r="AH217" i="1"/>
  <c r="AH218" i="1"/>
  <c r="AH219" i="1"/>
  <c r="AH220" i="1"/>
  <c r="AH224" i="1"/>
  <c r="AH225" i="1"/>
  <c r="AH226" i="1"/>
  <c r="AH229" i="1"/>
  <c r="AH230" i="1"/>
  <c r="AH231" i="1"/>
  <c r="AH232" i="1"/>
  <c r="AH235" i="1"/>
  <c r="AH237" i="1"/>
  <c r="AH238" i="1"/>
  <c r="AH239" i="1"/>
  <c r="AH240" i="1"/>
  <c r="AH242" i="1"/>
  <c r="AH243" i="1"/>
  <c r="AH245" i="1"/>
  <c r="AH246" i="1"/>
  <c r="AH253" i="1"/>
  <c r="AH254" i="1"/>
  <c r="AH255" i="1"/>
  <c r="AH256" i="1"/>
  <c r="AH257" i="1"/>
  <c r="AH259" i="1"/>
  <c r="AH261" i="1"/>
  <c r="AH264" i="1"/>
  <c r="AH265" i="1"/>
  <c r="AH267" i="1"/>
  <c r="AH268" i="1"/>
  <c r="AH286" i="1"/>
  <c r="AH291" i="1"/>
  <c r="AH292" i="1"/>
  <c r="AH293" i="1"/>
  <c r="AH294" i="1"/>
  <c r="AH295" i="1"/>
  <c r="AH296" i="1"/>
  <c r="AH297" i="1"/>
  <c r="AH298" i="1"/>
  <c r="AH299" i="1"/>
  <c r="AH300" i="1"/>
  <c r="AH301" i="1"/>
  <c r="AH302" i="1"/>
  <c r="AH303" i="1"/>
  <c r="AH304" i="1"/>
  <c r="AH305" i="1"/>
  <c r="AH306" i="1"/>
  <c r="AH307" i="1"/>
  <c r="AH309" i="1"/>
  <c r="AH310" i="1"/>
  <c r="AH311" i="1"/>
  <c r="AH312" i="1"/>
  <c r="AH313" i="1"/>
  <c r="AH314" i="1"/>
  <c r="AH315" i="1"/>
  <c r="AH316" i="1"/>
  <c r="AH317" i="1"/>
  <c r="AH318" i="1"/>
  <c r="AH3" i="1"/>
  <c r="AI3" i="1"/>
  <c r="AJ204" i="1" l="1"/>
  <c r="V204" i="1"/>
  <c r="AH204" i="1"/>
  <c r="AF4" i="1" l="1"/>
  <c r="AJ4" i="1" s="1"/>
  <c r="AB4" i="1"/>
  <c r="AC4" i="1"/>
  <c r="AD4" i="1"/>
  <c r="AA4" i="1"/>
  <c r="AH4" i="1" l="1"/>
  <c r="F4" i="8" l="1"/>
  <c r="F3" i="8"/>
  <c r="J8" i="4" l="1"/>
  <c r="AA355" i="1" l="1"/>
  <c r="AA354" i="1"/>
  <c r="AA353" i="1"/>
  <c r="AB355" i="1"/>
  <c r="AB354" i="1"/>
  <c r="AB353" i="1"/>
  <c r="AC355" i="1"/>
  <c r="AC354" i="1"/>
  <c r="AC353" i="1"/>
  <c r="AD355" i="1"/>
  <c r="AD354" i="1"/>
  <c r="AD353" i="1"/>
  <c r="AF355" i="1"/>
  <c r="AJ355" i="1" s="1"/>
  <c r="AF354" i="1"/>
  <c r="AJ354" i="1" s="1"/>
  <c r="AF353" i="1"/>
  <c r="AJ353" i="1" s="1"/>
  <c r="AA347" i="1"/>
  <c r="AB347" i="1"/>
  <c r="AC347" i="1"/>
  <c r="AD347" i="1"/>
  <c r="AA357" i="1" l="1"/>
  <c r="AC357" i="1"/>
  <c r="AB357" i="1"/>
  <c r="AF357" i="1"/>
  <c r="AD357" i="1"/>
  <c r="AJ357" i="1" l="1"/>
  <c r="C20" i="12"/>
  <c r="C20" i="10"/>
  <c r="C20" i="9"/>
  <c r="F8" i="4" l="1"/>
  <c r="F6" i="4" l="1"/>
  <c r="AF361" i="1" l="1"/>
  <c r="AJ361" i="1" s="1"/>
  <c r="J6" i="4" l="1"/>
  <c r="AF341" i="1"/>
  <c r="C28" i="17" s="1"/>
  <c r="C341" i="1"/>
  <c r="AI11" i="1"/>
  <c r="AI14" i="1"/>
  <c r="AI16" i="1"/>
  <c r="AI20" i="1"/>
  <c r="AI10" i="1"/>
  <c r="AI86" i="1"/>
  <c r="AL193" i="1"/>
  <c r="AI183" i="1"/>
  <c r="D50" i="17" l="1"/>
  <c r="AJ341" i="1"/>
  <c r="C28" i="8"/>
  <c r="D50" i="8" s="1"/>
  <c r="C28" i="12"/>
  <c r="C27" i="10"/>
  <c r="C27" i="9"/>
  <c r="D48" i="12" l="1"/>
  <c r="C27" i="12"/>
  <c r="D28" i="12"/>
  <c r="E28" i="12" s="1"/>
  <c r="F28" i="12" s="1"/>
  <c r="G28" i="12" s="1"/>
  <c r="H28" i="12" s="1"/>
  <c r="H29" i="12" s="1"/>
  <c r="L3" i="4" l="1"/>
  <c r="AF87" i="1"/>
  <c r="AJ87" i="1" l="1"/>
  <c r="C13" i="17"/>
  <c r="C14" i="12"/>
  <c r="C14" i="9"/>
  <c r="C14" i="10"/>
  <c r="C13" i="8"/>
  <c r="J7" i="4"/>
  <c r="J4" i="4"/>
  <c r="J3" i="4"/>
  <c r="AA207" i="1" l="1"/>
  <c r="Z208" i="1" s="1"/>
  <c r="AB207" i="1"/>
  <c r="AH207" i="1" s="1"/>
  <c r="AC207" i="1"/>
  <c r="AD207" i="1"/>
  <c r="D3" i="4"/>
  <c r="AB203" i="1" l="1"/>
  <c r="AB346" i="1" s="1"/>
  <c r="AC203" i="1"/>
  <c r="AC346" i="1" s="1"/>
  <c r="AD203" i="1"/>
  <c r="AD346" i="1" s="1"/>
  <c r="AF203" i="1"/>
  <c r="AJ203" i="1" s="1"/>
  <c r="AA203" i="1"/>
  <c r="AA346" i="1" s="1"/>
  <c r="AF80" i="1"/>
  <c r="AF79" i="1"/>
  <c r="C32" i="2"/>
  <c r="AF346" i="1" l="1"/>
  <c r="AJ346" i="1" s="1"/>
  <c r="AH203" i="1"/>
  <c r="AI203" i="1"/>
  <c r="AI196" i="1"/>
  <c r="AI195" i="1"/>
  <c r="AI194" i="1"/>
  <c r="AI193" i="1"/>
  <c r="AI192" i="1"/>
  <c r="AI191" i="1"/>
  <c r="AI190" i="1"/>
  <c r="AI189" i="1"/>
  <c r="AI188" i="1"/>
  <c r="AI187" i="1"/>
  <c r="AI185" i="1"/>
  <c r="AI184" i="1"/>
  <c r="AI182" i="1"/>
  <c r="AI181" i="1"/>
  <c r="AI180" i="1"/>
  <c r="AI179" i="1"/>
  <c r="AI177" i="1"/>
  <c r="AI175" i="1"/>
  <c r="AI174" i="1"/>
  <c r="AI173" i="1"/>
  <c r="AI172" i="1"/>
  <c r="AI169" i="1"/>
  <c r="AI168" i="1"/>
  <c r="AI167" i="1"/>
  <c r="AI166" i="1"/>
  <c r="AI165" i="1"/>
  <c r="AI164" i="1"/>
  <c r="AI163" i="1"/>
  <c r="AI162" i="1"/>
  <c r="AI160" i="1"/>
  <c r="AI158" i="1"/>
  <c r="AI157" i="1"/>
  <c r="AI156" i="1"/>
  <c r="AI155" i="1"/>
  <c r="AI154" i="1"/>
  <c r="AI153" i="1"/>
  <c r="AI151" i="1"/>
  <c r="AI150" i="1"/>
  <c r="AI88" i="1"/>
  <c r="AI89" i="1"/>
  <c r="AI91" i="1"/>
  <c r="AI92" i="1"/>
  <c r="AI94" i="1"/>
  <c r="AI97" i="1"/>
  <c r="AQ141" i="1"/>
  <c r="AV2" i="1"/>
  <c r="AW2" i="1" s="1"/>
  <c r="AX2" i="1" s="1"/>
  <c r="AY2" i="1" s="1"/>
  <c r="AZ2" i="1" s="1"/>
  <c r="BA2" i="1" s="1"/>
  <c r="BB2" i="1" s="1"/>
  <c r="BC2" i="1" s="1"/>
  <c r="BD2" i="1" s="1"/>
  <c r="BE2" i="1" s="1"/>
  <c r="BF2" i="1" s="1"/>
  <c r="BG2" i="1" s="1"/>
  <c r="BH2" i="1" s="1"/>
  <c r="BI2" i="1" s="1"/>
  <c r="BJ2" i="1" s="1"/>
  <c r="BK2" i="1" s="1"/>
  <c r="BL2" i="1" s="1"/>
  <c r="BM2" i="1" s="1"/>
  <c r="BM141" i="1" s="1"/>
  <c r="AL137" i="1"/>
  <c r="AM137" i="1" s="1"/>
  <c r="AN137" i="1" s="1"/>
  <c r="AO137" i="1" s="1"/>
  <c r="AP137" i="1" s="1"/>
  <c r="AQ137" i="1" s="1"/>
  <c r="AR137" i="1" s="1"/>
  <c r="AV141" i="1" l="1"/>
  <c r="AW141" i="1"/>
  <c r="AU141" i="1"/>
  <c r="AX141" i="1"/>
  <c r="AT141" i="1"/>
  <c r="BJ141" i="1"/>
  <c r="BI141" i="1"/>
  <c r="BH141" i="1"/>
  <c r="BG141" i="1"/>
  <c r="BF141" i="1"/>
  <c r="AS141" i="1"/>
  <c r="BA141" i="1"/>
  <c r="BD141" i="1"/>
  <c r="AR141" i="1"/>
  <c r="BC141" i="1"/>
  <c r="BE141" i="1"/>
  <c r="BB141" i="1"/>
  <c r="BL141" i="1"/>
  <c r="AZ141" i="1"/>
  <c r="BK141" i="1"/>
  <c r="AY141" i="1"/>
  <c r="AS137" i="1"/>
  <c r="AF103" i="1"/>
  <c r="AE103" i="1"/>
  <c r="AC103" i="1"/>
  <c r="AB103" i="1"/>
  <c r="AM33" i="1"/>
  <c r="AA5" i="1"/>
  <c r="AA6" i="1" s="1"/>
  <c r="AB5" i="1"/>
  <c r="AB6" i="1" s="1"/>
  <c r="AC5" i="1"/>
  <c r="AC6" i="1" s="1"/>
  <c r="AD5" i="1"/>
  <c r="AD6" i="1" s="1"/>
  <c r="AF5" i="1"/>
  <c r="AJ5" i="1" s="1"/>
  <c r="AM41" i="1" l="1"/>
  <c r="AM37" i="1"/>
  <c r="AH103" i="1"/>
  <c r="AJ103" i="1"/>
  <c r="AN33" i="1"/>
  <c r="AM35" i="1"/>
  <c r="AF6" i="1"/>
  <c r="AH5" i="1"/>
  <c r="AI204" i="1"/>
  <c r="AT137" i="1"/>
  <c r="AE269" i="1"/>
  <c r="AE271" i="1"/>
  <c r="AE274" i="1"/>
  <c r="AE275" i="1"/>
  <c r="AE278" i="1"/>
  <c r="AE279" i="1"/>
  <c r="AE280" i="1"/>
  <c r="AE283" i="1"/>
  <c r="AF283" i="1"/>
  <c r="AJ283" i="1" s="1"/>
  <c r="AF280" i="1"/>
  <c r="AJ280" i="1" s="1"/>
  <c r="AF279" i="1"/>
  <c r="AJ279" i="1" s="1"/>
  <c r="AF278" i="1"/>
  <c r="AJ278" i="1" s="1"/>
  <c r="AF275" i="1"/>
  <c r="AJ275" i="1" s="1"/>
  <c r="AF274" i="1"/>
  <c r="AJ274" i="1" s="1"/>
  <c r="AF271" i="1"/>
  <c r="AJ271" i="1" s="1"/>
  <c r="AF269" i="1"/>
  <c r="AJ269" i="1" s="1"/>
  <c r="AF308" i="1"/>
  <c r="AJ308" i="1" s="1"/>
  <c r="AE308" i="1"/>
  <c r="AE270" i="1" s="1"/>
  <c r="AF262" i="1"/>
  <c r="AJ262" i="1" s="1"/>
  <c r="AI137" i="1"/>
  <c r="AF247" i="1"/>
  <c r="AJ247" i="1" s="1"/>
  <c r="AF233" i="1"/>
  <c r="AD233" i="1"/>
  <c r="AD234" i="1" s="1"/>
  <c r="AF228" i="1"/>
  <c r="AJ228" i="1" s="1"/>
  <c r="AF370" i="1" l="1"/>
  <c r="AF234" i="1"/>
  <c r="AJ234" i="1" s="1"/>
  <c r="AE276" i="1"/>
  <c r="AJ233" i="1"/>
  <c r="AF371" i="1"/>
  <c r="AN41" i="1"/>
  <c r="AN37" i="1"/>
  <c r="AH6" i="1"/>
  <c r="AJ6" i="1"/>
  <c r="E5" i="11"/>
  <c r="G5" i="11" s="1"/>
  <c r="H5" i="11" s="1"/>
  <c r="I5" i="11" s="1"/>
  <c r="AO33" i="1"/>
  <c r="AN35" i="1"/>
  <c r="AF319" i="1"/>
  <c r="AJ319" i="1" s="1"/>
  <c r="AH308" i="1"/>
  <c r="AF290" i="1"/>
  <c r="AJ290" i="1" s="1"/>
  <c r="AF276" i="1"/>
  <c r="AJ276" i="1" s="1"/>
  <c r="AF236" i="1"/>
  <c r="AU137" i="1"/>
  <c r="AF270" i="1"/>
  <c r="AJ270" i="1" s="1"/>
  <c r="AE319" i="1"/>
  <c r="AF281" i="1"/>
  <c r="AJ281" i="1" s="1"/>
  <c r="AE272" i="1"/>
  <c r="AE281" i="1"/>
  <c r="AM31" i="1"/>
  <c r="C20" i="8" l="1"/>
  <c r="C20" i="17"/>
  <c r="AO37" i="1"/>
  <c r="AO41" i="1"/>
  <c r="AF263" i="1"/>
  <c r="AJ263" i="1" s="1"/>
  <c r="AJ236" i="1"/>
  <c r="AP33" i="1"/>
  <c r="AO35" i="1"/>
  <c r="AF272" i="1"/>
  <c r="AF288" i="1"/>
  <c r="AJ288" i="1" s="1"/>
  <c r="AF266" i="1"/>
  <c r="AJ266" i="1" s="1"/>
  <c r="AF248" i="1"/>
  <c r="AJ248" i="1" s="1"/>
  <c r="AF289" i="1"/>
  <c r="AJ289" i="1" s="1"/>
  <c r="AE285" i="1"/>
  <c r="AE284" i="1" s="1"/>
  <c r="AV137" i="1"/>
  <c r="AN31" i="1"/>
  <c r="F5" i="17" l="1"/>
  <c r="C21" i="17"/>
  <c r="C21" i="8"/>
  <c r="F5" i="8"/>
  <c r="AP37" i="1"/>
  <c r="AP41" i="1"/>
  <c r="AF285" i="1"/>
  <c r="AJ285" i="1" s="1"/>
  <c r="AJ272" i="1"/>
  <c r="AE282" i="1"/>
  <c r="AE277" i="1"/>
  <c r="AE273" i="1"/>
  <c r="AP35" i="1"/>
  <c r="AQ33" i="1"/>
  <c r="AF360" i="1"/>
  <c r="AJ360" i="1" s="1"/>
  <c r="C21" i="2"/>
  <c r="AF287" i="1"/>
  <c r="AJ287" i="1" s="1"/>
  <c r="AW137" i="1"/>
  <c r="AO31" i="1"/>
  <c r="AF284" i="1" l="1"/>
  <c r="AJ284" i="1" s="1"/>
  <c r="AF277" i="1"/>
  <c r="AJ277" i="1" s="1"/>
  <c r="AF282" i="1"/>
  <c r="AJ282" i="1" s="1"/>
  <c r="AQ37" i="1"/>
  <c r="AQ41" i="1"/>
  <c r="AF273" i="1"/>
  <c r="AJ273" i="1" s="1"/>
  <c r="AR33" i="1"/>
  <c r="AQ35" i="1"/>
  <c r="AX137" i="1"/>
  <c r="AP31" i="1"/>
  <c r="AQ31" i="1" s="1"/>
  <c r="AR31" i="1" s="1"/>
  <c r="AS31" i="1" s="1"/>
  <c r="AT31" i="1" s="1"/>
  <c r="AU31" i="1" s="1"/>
  <c r="AR41" i="1" l="1"/>
  <c r="AR37" i="1"/>
  <c r="AS33" i="1"/>
  <c r="AR35" i="1"/>
  <c r="AY137" i="1"/>
  <c r="AF138" i="1"/>
  <c r="G25" i="13" s="1"/>
  <c r="AF119" i="1"/>
  <c r="AJ119" i="1" s="1"/>
  <c r="AF114" i="1"/>
  <c r="AJ114" i="1" s="1"/>
  <c r="AE119" i="1"/>
  <c r="AE109" i="1"/>
  <c r="AF109" i="1"/>
  <c r="AJ98" i="1"/>
  <c r="AD82" i="1"/>
  <c r="AF44" i="1"/>
  <c r="AH44" i="1" s="1"/>
  <c r="AF23" i="1"/>
  <c r="AH23" i="1" s="1"/>
  <c r="C9" i="2"/>
  <c r="C7" i="2"/>
  <c r="C8" i="2"/>
  <c r="C5" i="2"/>
  <c r="AF197" i="1"/>
  <c r="AJ197" i="1" s="1"/>
  <c r="AF186" i="1"/>
  <c r="AJ186" i="1" s="1"/>
  <c r="AF176" i="1"/>
  <c r="AJ176" i="1" s="1"/>
  <c r="AF170" i="1"/>
  <c r="AJ170" i="1" s="1"/>
  <c r="AF159" i="1"/>
  <c r="AJ159" i="1" s="1"/>
  <c r="AF33" i="1"/>
  <c r="AF40" i="1" s="1"/>
  <c r="AD34" i="1"/>
  <c r="AD33" i="1"/>
  <c r="AF59" i="1"/>
  <c r="AL60" i="1" s="1"/>
  <c r="AC13" i="1"/>
  <c r="AD13" i="1"/>
  <c r="AF13" i="1"/>
  <c r="AB13" i="1"/>
  <c r="AF12" i="1"/>
  <c r="AF19" i="1" s="1"/>
  <c r="AL12" i="1"/>
  <c r="H28" i="13" l="1"/>
  <c r="H17" i="13"/>
  <c r="C62" i="13" s="1"/>
  <c r="C46" i="8"/>
  <c r="C46" i="17"/>
  <c r="D18" i="2"/>
  <c r="AL14" i="1"/>
  <c r="H18" i="13" s="1"/>
  <c r="H19" i="13" s="1"/>
  <c r="D62" i="13" s="1"/>
  <c r="AL16" i="1"/>
  <c r="AL108" i="1" s="1"/>
  <c r="AL20" i="1"/>
  <c r="H32" i="13" s="1"/>
  <c r="H52" i="13" s="1"/>
  <c r="F62" i="13" s="1"/>
  <c r="AD36" i="1"/>
  <c r="AD38" i="1"/>
  <c r="AS41" i="1"/>
  <c r="AS37" i="1"/>
  <c r="AL34" i="1"/>
  <c r="AF38" i="1"/>
  <c r="AH38" i="1" s="1"/>
  <c r="AJ138" i="1"/>
  <c r="C44" i="12"/>
  <c r="C42" i="10"/>
  <c r="C42" i="9"/>
  <c r="AT33" i="1"/>
  <c r="AS35" i="1"/>
  <c r="C11" i="2"/>
  <c r="AH33" i="1"/>
  <c r="AH13" i="1"/>
  <c r="AE104" i="1"/>
  <c r="AE106" i="1" s="1"/>
  <c r="AE100" i="1"/>
  <c r="AF69" i="1"/>
  <c r="AH69" i="1" s="1"/>
  <c r="AF66" i="1"/>
  <c r="AF77" i="1"/>
  <c r="AI87" i="1"/>
  <c r="AZ137" i="1"/>
  <c r="AF36" i="1"/>
  <c r="AE110" i="1"/>
  <c r="AE116" i="1" s="1"/>
  <c r="AL85" i="1"/>
  <c r="AL13" i="1"/>
  <c r="AF178" i="1"/>
  <c r="C40" i="17" s="1"/>
  <c r="AF82" i="1"/>
  <c r="AH82" i="1" s="1"/>
  <c r="AF198" i="1"/>
  <c r="AJ198" i="1" s="1"/>
  <c r="AF85" i="1"/>
  <c r="AF42" i="1"/>
  <c r="AH42" i="1" s="1"/>
  <c r="AF171" i="1"/>
  <c r="AJ171" i="1" s="1"/>
  <c r="AF17" i="1"/>
  <c r="AF21" i="1"/>
  <c r="AF15" i="1"/>
  <c r="C4" i="11" s="1"/>
  <c r="AF62" i="1"/>
  <c r="AF64" i="1"/>
  <c r="C6" i="8" l="1"/>
  <c r="C42" i="8" s="1"/>
  <c r="C6" i="17"/>
  <c r="C42" i="17" s="1"/>
  <c r="AJ178" i="1"/>
  <c r="C40" i="8"/>
  <c r="AJ99" i="1"/>
  <c r="G22" i="13"/>
  <c r="AE144" i="1"/>
  <c r="AE321" i="1" s="1"/>
  <c r="AL99" i="1"/>
  <c r="AL18" i="1"/>
  <c r="AL19" i="1" s="1"/>
  <c r="E62" i="13" s="1"/>
  <c r="AT41" i="1"/>
  <c r="AT37" i="1"/>
  <c r="AH36" i="1"/>
  <c r="C5" i="11"/>
  <c r="C40" i="12"/>
  <c r="H7" i="11"/>
  <c r="I7" i="11" s="1"/>
  <c r="C7" i="12"/>
  <c r="C38" i="10"/>
  <c r="C7" i="10"/>
  <c r="C38" i="9"/>
  <c r="C7" i="9"/>
  <c r="C38" i="12"/>
  <c r="C36" i="10"/>
  <c r="C36" i="9"/>
  <c r="AT35" i="1"/>
  <c r="AU33" i="1"/>
  <c r="AF206" i="1"/>
  <c r="AF205" i="1"/>
  <c r="AJ205" i="1" s="1"/>
  <c r="AF81" i="1"/>
  <c r="AF110" i="1"/>
  <c r="AF116" i="1" s="1"/>
  <c r="AF7" i="1"/>
  <c r="AJ7" i="1" s="1"/>
  <c r="AF345" i="1"/>
  <c r="AE121" i="1"/>
  <c r="AE130" i="1" s="1"/>
  <c r="AE133" i="1" s="1"/>
  <c r="D7" i="4"/>
  <c r="AF100" i="1"/>
  <c r="AJ100" i="1" s="1"/>
  <c r="AF249" i="1"/>
  <c r="AJ249" i="1" s="1"/>
  <c r="E41" i="2"/>
  <c r="C17" i="2"/>
  <c r="BA137" i="1"/>
  <c r="C34" i="2"/>
  <c r="AF104" i="1"/>
  <c r="AF199" i="1"/>
  <c r="AE111" i="1"/>
  <c r="AL248" i="1" l="1"/>
  <c r="H22" i="13"/>
  <c r="AF145" i="1"/>
  <c r="C14" i="17"/>
  <c r="C16" i="17" s="1"/>
  <c r="AF144" i="1"/>
  <c r="C14" i="8"/>
  <c r="C16" i="8" s="1"/>
  <c r="C23" i="8" s="1"/>
  <c r="G23" i="13"/>
  <c r="AU41" i="1"/>
  <c r="AU37" i="1"/>
  <c r="AH104" i="1"/>
  <c r="AJ104" i="1"/>
  <c r="AF348" i="1"/>
  <c r="AJ345" i="1"/>
  <c r="AF111" i="1"/>
  <c r="D5" i="4" s="1"/>
  <c r="AJ110" i="1"/>
  <c r="D8" i="4"/>
  <c r="AJ206" i="1"/>
  <c r="C17" i="12"/>
  <c r="C18" i="12" s="1"/>
  <c r="C17" i="10"/>
  <c r="C18" i="10" s="1"/>
  <c r="C17" i="9"/>
  <c r="C18" i="9" s="1"/>
  <c r="AJ144" i="1"/>
  <c r="AU35" i="1"/>
  <c r="AF121" i="1"/>
  <c r="AE129" i="1"/>
  <c r="AE143" i="1" s="1"/>
  <c r="AI104" i="1"/>
  <c r="C13" i="2"/>
  <c r="E14" i="2" s="1"/>
  <c r="E15" i="2" s="1"/>
  <c r="E16" i="2" s="1"/>
  <c r="AE122" i="1"/>
  <c r="AE131" i="1"/>
  <c r="D4" i="4"/>
  <c r="C35" i="2"/>
  <c r="BB137" i="1"/>
  <c r="C39" i="2"/>
  <c r="AF106" i="1"/>
  <c r="AJ106" i="1" s="1"/>
  <c r="AF105" i="1"/>
  <c r="AJ105" i="1" s="1"/>
  <c r="AJ111" i="1" l="1"/>
  <c r="C15" i="17"/>
  <c r="C60" i="17" s="1"/>
  <c r="C23" i="17"/>
  <c r="C22" i="17"/>
  <c r="AF374" i="1"/>
  <c r="AF376" i="1" s="1"/>
  <c r="AF146" i="1"/>
  <c r="AF147" i="1" s="1"/>
  <c r="C16" i="9"/>
  <c r="C15" i="8"/>
  <c r="C60" i="8" s="1"/>
  <c r="C16" i="10"/>
  <c r="AF321" i="1"/>
  <c r="AF366" i="1" s="1"/>
  <c r="AF373" i="1" s="1"/>
  <c r="C16" i="12"/>
  <c r="C58" i="12" s="1"/>
  <c r="AF350" i="1"/>
  <c r="AJ348" i="1"/>
  <c r="AF140" i="1"/>
  <c r="AJ121" i="1"/>
  <c r="AF130" i="1"/>
  <c r="AF133" i="1" s="1"/>
  <c r="G24" i="13" s="1"/>
  <c r="AF129" i="1"/>
  <c r="AJ129" i="1" s="1"/>
  <c r="AF127" i="1"/>
  <c r="AF122" i="1"/>
  <c r="AJ122" i="1" s="1"/>
  <c r="C21" i="12"/>
  <c r="C29" i="12"/>
  <c r="C61" i="12" s="1"/>
  <c r="C19" i="12"/>
  <c r="C21" i="10"/>
  <c r="C19" i="10"/>
  <c r="C21" i="9"/>
  <c r="C19" i="9"/>
  <c r="C63" i="8"/>
  <c r="C22" i="8"/>
  <c r="BC137" i="1"/>
  <c r="AF375" i="1" l="1"/>
  <c r="AF372" i="1"/>
  <c r="AJ133" i="1"/>
  <c r="AF131" i="1"/>
  <c r="AJ131" i="1" s="1"/>
  <c r="AJ130" i="1"/>
  <c r="AJ350" i="1"/>
  <c r="D27" i="10"/>
  <c r="AF362" i="1"/>
  <c r="AF352" i="1"/>
  <c r="AJ321" i="1"/>
  <c r="AH127" i="1"/>
  <c r="AJ127" i="1"/>
  <c r="AH140" i="1"/>
  <c r="AJ140" i="1"/>
  <c r="AF143" i="1"/>
  <c r="AJ143" i="1" s="1"/>
  <c r="AF250" i="1"/>
  <c r="AJ250" i="1" s="1"/>
  <c r="AF208" i="1"/>
  <c r="AJ208" i="1" s="1"/>
  <c r="AF342" i="1"/>
  <c r="AJ342" i="1" s="1"/>
  <c r="BD137" i="1"/>
  <c r="AD114" i="1"/>
  <c r="AC114" i="1"/>
  <c r="AB114" i="1"/>
  <c r="AH114" i="1" s="1"/>
  <c r="Q114" i="1"/>
  <c r="P114" i="1"/>
  <c r="O114" i="1"/>
  <c r="M114" i="1"/>
  <c r="L114" i="1"/>
  <c r="K114" i="1"/>
  <c r="AB119" i="1"/>
  <c r="AH119" i="1" s="1"/>
  <c r="AC119" i="1"/>
  <c r="AD119" i="1"/>
  <c r="AA119" i="1"/>
  <c r="AB109" i="1"/>
  <c r="AC109" i="1"/>
  <c r="AD109" i="1"/>
  <c r="AA109" i="1"/>
  <c r="AF363" i="1" l="1"/>
  <c r="AJ363" i="1" s="1"/>
  <c r="AJ362" i="1"/>
  <c r="AJ352" i="1"/>
  <c r="AF356" i="1"/>
  <c r="AF358" i="1"/>
  <c r="AJ358" i="1" s="1"/>
  <c r="BE137" i="1"/>
  <c r="AJ356" i="1" l="1"/>
  <c r="D6" i="4"/>
  <c r="AF359" i="1"/>
  <c r="AJ359" i="1" s="1"/>
  <c r="BF137" i="1"/>
  <c r="BG137" i="1" l="1"/>
  <c r="BH137" i="1" l="1"/>
  <c r="AM12" i="1"/>
  <c r="AL86" i="1"/>
  <c r="H21" i="13" s="1"/>
  <c r="H23" i="13" s="1"/>
  <c r="I28" i="13" l="1"/>
  <c r="I17" i="13"/>
  <c r="C63" i="13" s="1"/>
  <c r="AL102" i="1"/>
  <c r="AL109" i="1"/>
  <c r="AM14" i="1"/>
  <c r="AM16" i="1"/>
  <c r="AM108" i="1" s="1"/>
  <c r="AM20" i="1"/>
  <c r="I32" i="13" s="1"/>
  <c r="I52" i="13" s="1"/>
  <c r="F63" i="13" s="1"/>
  <c r="D32" i="2"/>
  <c r="AL87" i="1"/>
  <c r="D13" i="17" s="1"/>
  <c r="D12" i="17" s="1"/>
  <c r="AL130" i="1"/>
  <c r="BI137" i="1"/>
  <c r="AN12" i="1"/>
  <c r="AM85" i="1"/>
  <c r="AM86" i="1" s="1"/>
  <c r="AL100" i="1"/>
  <c r="I18" i="13" l="1"/>
  <c r="I19" i="13" s="1"/>
  <c r="E4" i="11"/>
  <c r="E6" i="11" s="1"/>
  <c r="AL140" i="1"/>
  <c r="H24" i="13"/>
  <c r="AM102" i="1"/>
  <c r="I21" i="13"/>
  <c r="C67" i="17"/>
  <c r="AM18" i="1"/>
  <c r="AM19" i="1" s="1"/>
  <c r="E63" i="13" s="1"/>
  <c r="AM99" i="1"/>
  <c r="I22" i="13" s="1"/>
  <c r="I23" i="13" s="1"/>
  <c r="G4" i="11"/>
  <c r="AN16" i="1"/>
  <c r="AN108" i="1" s="1"/>
  <c r="AN20" i="1"/>
  <c r="AM109" i="1"/>
  <c r="AN85" i="1"/>
  <c r="AN86" i="1" s="1"/>
  <c r="AN87" i="1" s="1"/>
  <c r="F13" i="17" s="1"/>
  <c r="AN14" i="1"/>
  <c r="D13" i="8"/>
  <c r="D12" i="8" s="1"/>
  <c r="C67" i="8" s="1"/>
  <c r="E32" i="2"/>
  <c r="D33" i="2"/>
  <c r="AL138" i="1"/>
  <c r="H25" i="13" s="1"/>
  <c r="AM130" i="1"/>
  <c r="I24" i="13" s="1"/>
  <c r="BJ137" i="1"/>
  <c r="AO12" i="1"/>
  <c r="AL105" i="1"/>
  <c r="AL104" i="1"/>
  <c r="AL106" i="1" s="1"/>
  <c r="AM87" i="1"/>
  <c r="E13" i="17" s="1"/>
  <c r="E12" i="17" s="1"/>
  <c r="F12" i="17" l="1"/>
  <c r="C68" i="17"/>
  <c r="AM100" i="1"/>
  <c r="AM248" i="1"/>
  <c r="G6" i="11"/>
  <c r="G8" i="11" s="1"/>
  <c r="H4" i="11"/>
  <c r="I4" i="11" s="1"/>
  <c r="I6" i="11" s="1"/>
  <c r="I8" i="11" s="1"/>
  <c r="AN99" i="1"/>
  <c r="AN18" i="1"/>
  <c r="AN19" i="1" s="1"/>
  <c r="AO20" i="1"/>
  <c r="AO16" i="1"/>
  <c r="AO108" i="1" s="1"/>
  <c r="AN102" i="1"/>
  <c r="AN109" i="1"/>
  <c r="AN130" i="1"/>
  <c r="AN140" i="1" s="1"/>
  <c r="AO85" i="1"/>
  <c r="AO86" i="1" s="1"/>
  <c r="AO102" i="1" s="1"/>
  <c r="AO14" i="1"/>
  <c r="F13" i="8"/>
  <c r="E13" i="8"/>
  <c r="E12" i="8" s="1"/>
  <c r="C68" i="8" s="1"/>
  <c r="AL110" i="1"/>
  <c r="D34" i="2"/>
  <c r="AM138" i="1"/>
  <c r="I25" i="13" s="1"/>
  <c r="AM140" i="1"/>
  <c r="E33" i="2"/>
  <c r="AM104" i="1"/>
  <c r="AM106" i="1" s="1"/>
  <c r="BK137" i="1"/>
  <c r="AP12" i="1"/>
  <c r="AM105" i="1"/>
  <c r="AN100" i="1" l="1"/>
  <c r="AN248" i="1"/>
  <c r="C69" i="17"/>
  <c r="AN104" i="1"/>
  <c r="AN105" i="1"/>
  <c r="AL111" i="1"/>
  <c r="AL144" i="1"/>
  <c r="AO130" i="1"/>
  <c r="AO140" i="1" s="1"/>
  <c r="H6" i="11"/>
  <c r="H8" i="11" s="1"/>
  <c r="AO99" i="1"/>
  <c r="AO18" i="1"/>
  <c r="AO19" i="1" s="1"/>
  <c r="AN138" i="1"/>
  <c r="AO109" i="1"/>
  <c r="AQ12" i="1"/>
  <c r="AR12" i="1" s="1"/>
  <c r="AP20" i="1"/>
  <c r="AP16" i="1"/>
  <c r="AP108" i="1" s="1"/>
  <c r="AO87" i="1"/>
  <c r="F12" i="8"/>
  <c r="C69" i="8" s="1"/>
  <c r="AN110" i="1"/>
  <c r="AN106" i="1"/>
  <c r="AP85" i="1"/>
  <c r="AP86" i="1" s="1"/>
  <c r="AP14" i="1"/>
  <c r="D39" i="2"/>
  <c r="D36" i="2"/>
  <c r="D35" i="2"/>
  <c r="AM110" i="1"/>
  <c r="E34" i="2"/>
  <c r="BL137" i="1"/>
  <c r="V137" i="1"/>
  <c r="E6" i="2" a="1"/>
  <c r="E6" i="2" s="1"/>
  <c r="E3" i="2" a="1"/>
  <c r="E3" i="2" s="1"/>
  <c r="Q262" i="1"/>
  <c r="Q247" i="1"/>
  <c r="Q227" i="1"/>
  <c r="Q228" i="1" s="1"/>
  <c r="Q236" i="1" s="1"/>
  <c r="Q269" i="1"/>
  <c r="Q270" i="1"/>
  <c r="Q271" i="1"/>
  <c r="Q274" i="1"/>
  <c r="Q275" i="1"/>
  <c r="Q278" i="1"/>
  <c r="Q279" i="1"/>
  <c r="Q280" i="1"/>
  <c r="Q283" i="1"/>
  <c r="Q197" i="1"/>
  <c r="Q186" i="1"/>
  <c r="P176" i="1"/>
  <c r="Q176" i="1"/>
  <c r="Q170" i="1"/>
  <c r="Q159" i="1"/>
  <c r="AC87" i="1"/>
  <c r="AD87" i="1"/>
  <c r="AB87" i="1"/>
  <c r="AH87" i="1" s="1"/>
  <c r="M138" i="1"/>
  <c r="Q138" i="1"/>
  <c r="G129" i="1"/>
  <c r="H129" i="1"/>
  <c r="I129" i="1"/>
  <c r="P129" i="1"/>
  <c r="Q119" i="1"/>
  <c r="K87" i="1"/>
  <c r="L87" i="1"/>
  <c r="M87" i="1"/>
  <c r="E99" i="1"/>
  <c r="G99" i="1"/>
  <c r="G100" i="1" s="1"/>
  <c r="H99" i="1"/>
  <c r="H100" i="1" s="1"/>
  <c r="I99" i="1"/>
  <c r="I100" i="1" s="1"/>
  <c r="C99" i="1"/>
  <c r="K99" i="1"/>
  <c r="K100" i="1" s="1"/>
  <c r="L99" i="1"/>
  <c r="L100" i="1" s="1"/>
  <c r="M99" i="1"/>
  <c r="M100" i="1" s="1"/>
  <c r="O99" i="1"/>
  <c r="O100" i="1" s="1"/>
  <c r="Q87" i="1"/>
  <c r="Q99" i="1"/>
  <c r="P99" i="1"/>
  <c r="P100" i="1" s="1"/>
  <c r="O87" i="1"/>
  <c r="P87" i="1"/>
  <c r="Q98" i="1"/>
  <c r="D16" i="9" l="1"/>
  <c r="D17" i="9" s="1"/>
  <c r="D18" i="9" s="1"/>
  <c r="D15" i="17"/>
  <c r="G13" i="17"/>
  <c r="G12" i="17" s="1"/>
  <c r="AO105" i="1"/>
  <c r="AO248" i="1"/>
  <c r="D16" i="12"/>
  <c r="D65" i="12" s="1"/>
  <c r="D15" i="8"/>
  <c r="D67" i="8" s="1"/>
  <c r="AO104" i="1"/>
  <c r="AO110" i="1" s="1"/>
  <c r="D16" i="10"/>
  <c r="D17" i="10" s="1"/>
  <c r="D18" i="10" s="1"/>
  <c r="D19" i="10" s="1"/>
  <c r="AO138" i="1"/>
  <c r="AO100" i="1"/>
  <c r="Q110" i="1"/>
  <c r="Q111" i="1" s="1"/>
  <c r="Q100" i="1"/>
  <c r="AQ85" i="1"/>
  <c r="AQ14" i="1"/>
  <c r="AN144" i="1"/>
  <c r="AM144" i="1"/>
  <c r="AP99" i="1"/>
  <c r="AP105" i="1" s="1"/>
  <c r="AP18" i="1"/>
  <c r="AP19" i="1" s="1"/>
  <c r="AR16" i="1"/>
  <c r="AR108" i="1" s="1"/>
  <c r="AR20" i="1"/>
  <c r="AP109" i="1"/>
  <c r="AQ16" i="1"/>
  <c r="AQ108" i="1" s="1"/>
  <c r="AQ20" i="1"/>
  <c r="G13" i="8"/>
  <c r="G12" i="8" s="1"/>
  <c r="G20" i="8" s="1"/>
  <c r="AR14" i="1"/>
  <c r="AS12" i="1"/>
  <c r="AS85" i="1" s="1"/>
  <c r="AR85" i="1"/>
  <c r="AP87" i="1"/>
  <c r="AP102" i="1"/>
  <c r="AP130" i="1"/>
  <c r="AP140" i="1" s="1"/>
  <c r="AN111" i="1"/>
  <c r="F15" i="17" s="1"/>
  <c r="AM111" i="1"/>
  <c r="E39" i="2"/>
  <c r="E42" i="2" s="1"/>
  <c r="E43" i="2" s="1"/>
  <c r="E36" i="2"/>
  <c r="E35" i="2"/>
  <c r="BM137" i="1"/>
  <c r="AF83" i="1"/>
  <c r="AH83" i="1" s="1"/>
  <c r="O105" i="1"/>
  <c r="Q178" i="1"/>
  <c r="L105" i="1"/>
  <c r="Q205" i="1"/>
  <c r="K105" i="1"/>
  <c r="P105" i="1"/>
  <c r="Q263" i="1"/>
  <c r="Q266" i="1" s="1"/>
  <c r="Q281" i="1"/>
  <c r="M105" i="1"/>
  <c r="Q248" i="1"/>
  <c r="Q251" i="1"/>
  <c r="Q272" i="1"/>
  <c r="Q276" i="1"/>
  <c r="Q171" i="1"/>
  <c r="Q198" i="1"/>
  <c r="Q105" i="1"/>
  <c r="Q106" i="1"/>
  <c r="D3" i="2" a="1"/>
  <c r="D3" i="2" s="1"/>
  <c r="AQ18" i="1" l="1"/>
  <c r="AQ19" i="1" s="1"/>
  <c r="D14" i="8"/>
  <c r="D16" i="8" s="1"/>
  <c r="F67" i="8" s="1"/>
  <c r="E16" i="12"/>
  <c r="E15" i="17"/>
  <c r="G20" i="17"/>
  <c r="G17" i="17"/>
  <c r="H12" i="17"/>
  <c r="C70" i="17"/>
  <c r="G18" i="17"/>
  <c r="Q12" i="17"/>
  <c r="AO106" i="1"/>
  <c r="D67" i="17"/>
  <c r="D14" i="17"/>
  <c r="H13" i="8"/>
  <c r="H12" i="8" s="1"/>
  <c r="C71" i="8" s="1"/>
  <c r="H13" i="17"/>
  <c r="D69" i="17"/>
  <c r="F14" i="17"/>
  <c r="D17" i="12"/>
  <c r="D18" i="12" s="1"/>
  <c r="D21" i="10"/>
  <c r="D28" i="10"/>
  <c r="Q121" i="1"/>
  <c r="Q130" i="1" s="1"/>
  <c r="Q131" i="1" s="1"/>
  <c r="Q12" i="8"/>
  <c r="C70" i="8"/>
  <c r="AQ99" i="1"/>
  <c r="G17" i="8"/>
  <c r="G18" i="8"/>
  <c r="AP100" i="1"/>
  <c r="AP104" i="1"/>
  <c r="AP110" i="1" s="1"/>
  <c r="AO144" i="1"/>
  <c r="AR99" i="1"/>
  <c r="AR18" i="1"/>
  <c r="AR19" i="1" s="1"/>
  <c r="AS16" i="1"/>
  <c r="AS108" i="1" s="1"/>
  <c r="AS20" i="1"/>
  <c r="AP138" i="1"/>
  <c r="AT12" i="1"/>
  <c r="AS14" i="1"/>
  <c r="D66" i="12"/>
  <c r="E17" i="12"/>
  <c r="F16" i="12"/>
  <c r="E65" i="12"/>
  <c r="F15" i="8"/>
  <c r="D69" i="8" s="1"/>
  <c r="AO111" i="1"/>
  <c r="G15" i="17" s="1"/>
  <c r="D70" i="17" s="1"/>
  <c r="E15" i="8"/>
  <c r="D22" i="10"/>
  <c r="D24" i="10"/>
  <c r="Q285" i="1"/>
  <c r="Q273" i="1" s="1"/>
  <c r="Q199" i="1"/>
  <c r="F132" i="1"/>
  <c r="G80" i="1"/>
  <c r="E74" i="1"/>
  <c r="F58" i="1"/>
  <c r="E262" i="1"/>
  <c r="E138" i="1"/>
  <c r="E185" i="1"/>
  <c r="E186" i="1" s="1"/>
  <c r="C80" i="1"/>
  <c r="K80" i="1"/>
  <c r="L79" i="1"/>
  <c r="M79" i="1"/>
  <c r="D262" i="1"/>
  <c r="D134" i="1"/>
  <c r="D138" i="1" s="1"/>
  <c r="D128" i="1"/>
  <c r="D120" i="1"/>
  <c r="F120" i="1" s="1"/>
  <c r="D118" i="1"/>
  <c r="F118" i="1" s="1"/>
  <c r="D117" i="1"/>
  <c r="F117" i="1" s="1"/>
  <c r="D113" i="1"/>
  <c r="D112" i="1"/>
  <c r="F112" i="1" s="1"/>
  <c r="D108" i="1"/>
  <c r="F108" i="1" s="1"/>
  <c r="D68" i="1"/>
  <c r="E68" i="1" s="1"/>
  <c r="F68" i="1" s="1"/>
  <c r="D97" i="1"/>
  <c r="F97" i="1" s="1"/>
  <c r="D94" i="1"/>
  <c r="F94" i="1" s="1"/>
  <c r="D92" i="1"/>
  <c r="F92" i="1" s="1"/>
  <c r="D91" i="1"/>
  <c r="F91" i="1" s="1"/>
  <c r="D89" i="1"/>
  <c r="F89" i="1" s="1"/>
  <c r="D88" i="1"/>
  <c r="F88" i="1" s="1"/>
  <c r="D86" i="1"/>
  <c r="D185" i="1"/>
  <c r="D186" i="1" s="1"/>
  <c r="E159" i="1"/>
  <c r="D159" i="1"/>
  <c r="E170" i="1"/>
  <c r="D170" i="1"/>
  <c r="E176" i="1"/>
  <c r="E178" i="1" s="1"/>
  <c r="D176" i="1"/>
  <c r="D178" i="1" s="1"/>
  <c r="E197" i="1"/>
  <c r="D197" i="1"/>
  <c r="F159" i="1"/>
  <c r="F170" i="1"/>
  <c r="F176" i="1"/>
  <c r="F178" i="1" s="1"/>
  <c r="F186" i="1"/>
  <c r="F197" i="1"/>
  <c r="C262" i="1"/>
  <c r="E228" i="1"/>
  <c r="D228" i="1"/>
  <c r="C228" i="1"/>
  <c r="E233" i="1"/>
  <c r="D233" i="1"/>
  <c r="C233" i="1"/>
  <c r="E247" i="1"/>
  <c r="D247" i="1"/>
  <c r="C247" i="1"/>
  <c r="F228" i="1"/>
  <c r="F233" i="1"/>
  <c r="F247" i="1"/>
  <c r="C138" i="1"/>
  <c r="E98" i="1"/>
  <c r="C98" i="1"/>
  <c r="E106" i="1"/>
  <c r="C106" i="1"/>
  <c r="E119" i="1"/>
  <c r="C119" i="1"/>
  <c r="C197" i="1"/>
  <c r="C185" i="1"/>
  <c r="C186" i="1" s="1"/>
  <c r="AA176" i="1"/>
  <c r="AI176" i="1" s="1"/>
  <c r="C176" i="1"/>
  <c r="C178" i="1" s="1"/>
  <c r="C170" i="1"/>
  <c r="C159" i="1"/>
  <c r="AC80" i="1"/>
  <c r="AB80" i="1"/>
  <c r="AH80" i="1" s="1"/>
  <c r="AA80" i="1"/>
  <c r="AD80" i="1"/>
  <c r="AD79" i="1"/>
  <c r="O79" i="1"/>
  <c r="O80" i="1"/>
  <c r="P79" i="1"/>
  <c r="N58" i="1"/>
  <c r="J58" i="1"/>
  <c r="I74" i="1"/>
  <c r="AB269" i="1"/>
  <c r="AH269" i="1" s="1"/>
  <c r="AA269" i="1"/>
  <c r="AB270" i="1"/>
  <c r="AH270" i="1" s="1"/>
  <c r="AA270" i="1"/>
  <c r="AB271" i="1"/>
  <c r="AH271" i="1" s="1"/>
  <c r="AA271" i="1"/>
  <c r="AB274" i="1"/>
  <c r="AH274" i="1" s="1"/>
  <c r="AA274" i="1"/>
  <c r="AB275" i="1"/>
  <c r="AH275" i="1" s="1"/>
  <c r="AA275" i="1"/>
  <c r="AB278" i="1"/>
  <c r="AH278" i="1" s="1"/>
  <c r="AA278" i="1"/>
  <c r="AB279" i="1"/>
  <c r="AH279" i="1" s="1"/>
  <c r="AA279" i="1"/>
  <c r="AB280" i="1"/>
  <c r="AH280" i="1" s="1"/>
  <c r="AA280" i="1"/>
  <c r="AB283" i="1"/>
  <c r="AH283" i="1" s="1"/>
  <c r="AA283" i="1"/>
  <c r="AB319" i="1"/>
  <c r="AH319" i="1" s="1"/>
  <c r="AA319" i="1"/>
  <c r="AC73" i="1"/>
  <c r="AB73" i="1"/>
  <c r="AH73" i="1" s="1"/>
  <c r="AD73" i="1"/>
  <c r="AA12" i="1"/>
  <c r="AA48" i="1"/>
  <c r="AA79" i="1" s="1"/>
  <c r="AA59" i="1"/>
  <c r="AB12" i="1"/>
  <c r="AB48" i="1"/>
  <c r="AB59" i="1"/>
  <c r="AH59" i="1" s="1"/>
  <c r="AB74" i="1"/>
  <c r="AH74" i="1" s="1"/>
  <c r="AA74" i="1"/>
  <c r="AA260" i="1"/>
  <c r="AA262" i="1" s="1"/>
  <c r="AB260" i="1"/>
  <c r="AA245" i="1"/>
  <c r="AA247" i="1" s="1"/>
  <c r="AA227" i="1"/>
  <c r="AA228" i="1" s="1"/>
  <c r="AB227" i="1"/>
  <c r="AB233" i="1"/>
  <c r="AB234" i="1" s="1"/>
  <c r="AA233" i="1"/>
  <c r="AA234" i="1" s="1"/>
  <c r="AB247" i="1"/>
  <c r="AH247" i="1" s="1"/>
  <c r="AB138" i="1"/>
  <c r="D25" i="13" s="1"/>
  <c r="AA138" i="1"/>
  <c r="C25" i="13" s="1"/>
  <c r="AB98" i="1"/>
  <c r="AH98" i="1" s="1"/>
  <c r="AA98" i="1"/>
  <c r="AI98" i="1" s="1"/>
  <c r="D22" i="13"/>
  <c r="D23" i="13" s="1"/>
  <c r="C22" i="13"/>
  <c r="AA107" i="1"/>
  <c r="AA197" i="1"/>
  <c r="AI197" i="1" s="1"/>
  <c r="AA159" i="1"/>
  <c r="AI159" i="1" s="1"/>
  <c r="AA170" i="1"/>
  <c r="AI170" i="1" s="1"/>
  <c r="AA186" i="1"/>
  <c r="AI186" i="1" s="1"/>
  <c r="AC269" i="1"/>
  <c r="AC270" i="1"/>
  <c r="AC271" i="1"/>
  <c r="AC274" i="1"/>
  <c r="AC275" i="1"/>
  <c r="AC278" i="1"/>
  <c r="AC279" i="1"/>
  <c r="AC280" i="1"/>
  <c r="AC283" i="1"/>
  <c r="AC319" i="1"/>
  <c r="AD319" i="1"/>
  <c r="AD283" i="1"/>
  <c r="AD280" i="1"/>
  <c r="AD279" i="1"/>
  <c r="AD278" i="1"/>
  <c r="AD275" i="1"/>
  <c r="AD274" i="1"/>
  <c r="AD271" i="1"/>
  <c r="AD270" i="1"/>
  <c r="AD269" i="1"/>
  <c r="AC12" i="1"/>
  <c r="AC19" i="1" s="1"/>
  <c r="AC48" i="1"/>
  <c r="AC79" i="1" s="1"/>
  <c r="AC59" i="1"/>
  <c r="AC78" i="1" s="1"/>
  <c r="AD59" i="1"/>
  <c r="AD12" i="1"/>
  <c r="AD19" i="1" s="1"/>
  <c r="E67" i="8" l="1"/>
  <c r="Q122" i="1"/>
  <c r="Q129" i="1"/>
  <c r="C71" i="17"/>
  <c r="D59" i="17"/>
  <c r="F18" i="17"/>
  <c r="F30" i="17" s="1"/>
  <c r="F31" i="17" s="1"/>
  <c r="E18" i="17"/>
  <c r="D18" i="17"/>
  <c r="E69" i="17"/>
  <c r="F16" i="17"/>
  <c r="G14" i="17"/>
  <c r="G19" i="17"/>
  <c r="G21" i="17" s="1"/>
  <c r="D17" i="17"/>
  <c r="F17" i="17"/>
  <c r="E17" i="17"/>
  <c r="Q133" i="1"/>
  <c r="F20" i="17"/>
  <c r="D20" i="17"/>
  <c r="E20" i="17"/>
  <c r="Q135" i="1"/>
  <c r="D68" i="17"/>
  <c r="E14" i="17"/>
  <c r="Q14" i="17" s="1"/>
  <c r="Q15" i="17" s="1"/>
  <c r="E67" i="17"/>
  <c r="D16" i="17"/>
  <c r="AD78" i="1"/>
  <c r="V60" i="1"/>
  <c r="E18" i="8"/>
  <c r="D18" i="8"/>
  <c r="D30" i="8" s="1"/>
  <c r="D31" i="8" s="1"/>
  <c r="F18" i="8"/>
  <c r="F17" i="8"/>
  <c r="E17" i="8"/>
  <c r="D17" i="8"/>
  <c r="D20" i="8"/>
  <c r="F20" i="8"/>
  <c r="E20" i="8"/>
  <c r="G19" i="8"/>
  <c r="G21" i="8" s="1"/>
  <c r="G70" i="8" s="1"/>
  <c r="D59" i="8"/>
  <c r="AP106" i="1"/>
  <c r="C23" i="13"/>
  <c r="AI12" i="1"/>
  <c r="AA71" i="1" s="1"/>
  <c r="AA19" i="1"/>
  <c r="AH12" i="1"/>
  <c r="AB19" i="1"/>
  <c r="AH19" i="1" s="1"/>
  <c r="AP144" i="1"/>
  <c r="AS99" i="1"/>
  <c r="AS18" i="1"/>
  <c r="AS19" i="1" s="1"/>
  <c r="AT16" i="1"/>
  <c r="AT20" i="1"/>
  <c r="AU12" i="1"/>
  <c r="AT14" i="1"/>
  <c r="AT99" i="1" s="1"/>
  <c r="AT85" i="1"/>
  <c r="D19" i="12"/>
  <c r="D21" i="12"/>
  <c r="F65" i="12"/>
  <c r="H65" i="12" s="1"/>
  <c r="D29" i="12"/>
  <c r="F14" i="8"/>
  <c r="D67" i="12"/>
  <c r="F17" i="12"/>
  <c r="E66" i="12"/>
  <c r="E18" i="12"/>
  <c r="G16" i="12"/>
  <c r="G15" i="8"/>
  <c r="G14" i="8" s="1"/>
  <c r="AP111" i="1"/>
  <c r="H15" i="17" s="1"/>
  <c r="D68" i="8"/>
  <c r="E14" i="8"/>
  <c r="AA206" i="1"/>
  <c r="AH138" i="1"/>
  <c r="AH99" i="1"/>
  <c r="AB206" i="1"/>
  <c r="AH206" i="1" s="1"/>
  <c r="AB79" i="1"/>
  <c r="AH79" i="1" s="1"/>
  <c r="AH48" i="1"/>
  <c r="AB228" i="1"/>
  <c r="AH228" i="1" s="1"/>
  <c r="AH227" i="1"/>
  <c r="AB262" i="1"/>
  <c r="AH262" i="1" s="1"/>
  <c r="AH260" i="1"/>
  <c r="AH234" i="1"/>
  <c r="AH233" i="1"/>
  <c r="AA100" i="1"/>
  <c r="AA7" i="1"/>
  <c r="AB100" i="1"/>
  <c r="AB7" i="1"/>
  <c r="AH7" i="1" s="1"/>
  <c r="AA15" i="1"/>
  <c r="AI15" i="1" s="1"/>
  <c r="Q282" i="1"/>
  <c r="Q277" i="1"/>
  <c r="Q284" i="1"/>
  <c r="AA178" i="1"/>
  <c r="AA205" i="1" s="1"/>
  <c r="AA110" i="1"/>
  <c r="AI99" i="1"/>
  <c r="AD42" i="1"/>
  <c r="AB15" i="1"/>
  <c r="AH15" i="1" s="1"/>
  <c r="AC15" i="1"/>
  <c r="AD66" i="1"/>
  <c r="AB106" i="1"/>
  <c r="AB105" i="1"/>
  <c r="AH105" i="1" s="1"/>
  <c r="F86" i="1"/>
  <c r="F80" i="1" s="1"/>
  <c r="D99" i="1"/>
  <c r="D110" i="1" s="1"/>
  <c r="D111" i="1" s="1"/>
  <c r="F128" i="1"/>
  <c r="D236" i="1"/>
  <c r="D248" i="1" s="1"/>
  <c r="D250" i="1" s="1"/>
  <c r="AA85" i="1"/>
  <c r="AI85" i="1" s="1"/>
  <c r="D171" i="1"/>
  <c r="F98" i="1"/>
  <c r="D119" i="1"/>
  <c r="E80" i="1"/>
  <c r="D198" i="1"/>
  <c r="F113" i="1"/>
  <c r="F119" i="1" s="1"/>
  <c r="E110" i="1"/>
  <c r="E111" i="1" s="1"/>
  <c r="D98" i="1"/>
  <c r="E236" i="1"/>
  <c r="E248" i="1" s="1"/>
  <c r="E250" i="1" s="1"/>
  <c r="D80" i="1"/>
  <c r="C198" i="1"/>
  <c r="E198" i="1"/>
  <c r="E171" i="1"/>
  <c r="F198" i="1"/>
  <c r="F171" i="1"/>
  <c r="C236" i="1"/>
  <c r="C248" i="1" s="1"/>
  <c r="C250" i="1" s="1"/>
  <c r="F236" i="1"/>
  <c r="F251" i="1" s="1"/>
  <c r="C110" i="1"/>
  <c r="C121" i="1" s="1"/>
  <c r="AC77" i="1"/>
  <c r="AC81" i="1" s="1"/>
  <c r="AB85" i="1"/>
  <c r="AH85" i="1" s="1"/>
  <c r="AA78" i="1"/>
  <c r="AB78" i="1"/>
  <c r="AH78" i="1" s="1"/>
  <c r="AD77" i="1"/>
  <c r="AD81" i="1" s="1"/>
  <c r="AA77" i="1"/>
  <c r="AB77" i="1"/>
  <c r="AH77" i="1" s="1"/>
  <c r="C171" i="1"/>
  <c r="AC72" i="1"/>
  <c r="AB75" i="1"/>
  <c r="AH75" i="1" s="1"/>
  <c r="AC290" i="1"/>
  <c r="AB290" i="1"/>
  <c r="AH290" i="1" s="1"/>
  <c r="AB72" i="1"/>
  <c r="AH72" i="1" s="1"/>
  <c r="AA281" i="1"/>
  <c r="AA276" i="1"/>
  <c r="AA272" i="1"/>
  <c r="AB281" i="1"/>
  <c r="AH281" i="1" s="1"/>
  <c r="AB276" i="1"/>
  <c r="AH276" i="1" s="1"/>
  <c r="AB272" i="1"/>
  <c r="AH272" i="1" s="1"/>
  <c r="AA66" i="1"/>
  <c r="AA62" i="1"/>
  <c r="AA21" i="1"/>
  <c r="AI21" i="1" s="1"/>
  <c r="AA64" i="1"/>
  <c r="AA55" i="1"/>
  <c r="AA53" i="1"/>
  <c r="AA51" i="1"/>
  <c r="AA17" i="1"/>
  <c r="AI17" i="1" s="1"/>
  <c r="AB21" i="1"/>
  <c r="AH21" i="1" s="1"/>
  <c r="AB71" i="1"/>
  <c r="AH71" i="1" s="1"/>
  <c r="AB53" i="1"/>
  <c r="AH53" i="1" s="1"/>
  <c r="AB66" i="1"/>
  <c r="AH66" i="1" s="1"/>
  <c r="AB51" i="1"/>
  <c r="AH51" i="1" s="1"/>
  <c r="AB64" i="1"/>
  <c r="AH64" i="1" s="1"/>
  <c r="AB62" i="1"/>
  <c r="AH62" i="1" s="1"/>
  <c r="AB17" i="1"/>
  <c r="AH17" i="1" s="1"/>
  <c r="AB55" i="1"/>
  <c r="AH55" i="1" s="1"/>
  <c r="AA198" i="1"/>
  <c r="AI198" i="1" s="1"/>
  <c r="AD290" i="1"/>
  <c r="AD85" i="1"/>
  <c r="AB110" i="1"/>
  <c r="AB116" i="1" s="1"/>
  <c r="AA236" i="1"/>
  <c r="AB107" i="1"/>
  <c r="AH107" i="1" s="1"/>
  <c r="AA171" i="1"/>
  <c r="AI171" i="1" s="1"/>
  <c r="AC62" i="1"/>
  <c r="AC55" i="1"/>
  <c r="AC53" i="1"/>
  <c r="AC51" i="1"/>
  <c r="AD72" i="1"/>
  <c r="AC281" i="1"/>
  <c r="AC276" i="1"/>
  <c r="AC272" i="1"/>
  <c r="AD281" i="1"/>
  <c r="AD276" i="1"/>
  <c r="AD272" i="1"/>
  <c r="AD71" i="1"/>
  <c r="AC66" i="1"/>
  <c r="AC71" i="1"/>
  <c r="AC21" i="1"/>
  <c r="AC64" i="1"/>
  <c r="AC85" i="1"/>
  <c r="AC17" i="1"/>
  <c r="AD62" i="1"/>
  <c r="AD17" i="1"/>
  <c r="AD64" i="1"/>
  <c r="AD15" i="1"/>
  <c r="AD21" i="1"/>
  <c r="AC98" i="1"/>
  <c r="AC75" i="1" s="1"/>
  <c r="AD98" i="1"/>
  <c r="O98" i="1"/>
  <c r="M98" i="1"/>
  <c r="L98" i="1"/>
  <c r="K98" i="1"/>
  <c r="I98" i="1"/>
  <c r="H98" i="1"/>
  <c r="G98" i="1"/>
  <c r="P98" i="1"/>
  <c r="AC74" i="1"/>
  <c r="AD74" i="1"/>
  <c r="J132" i="1"/>
  <c r="J128" i="1"/>
  <c r="J129" i="1" s="1"/>
  <c r="J120" i="1"/>
  <c r="J113" i="1"/>
  <c r="J117" i="1"/>
  <c r="J118" i="1"/>
  <c r="J112" i="1"/>
  <c r="J108" i="1"/>
  <c r="J88" i="1"/>
  <c r="J89" i="1"/>
  <c r="J91" i="1"/>
  <c r="J92" i="1"/>
  <c r="J94" i="1"/>
  <c r="J97" i="1"/>
  <c r="J86" i="1"/>
  <c r="G74" i="1"/>
  <c r="H74" i="1"/>
  <c r="K74" i="1"/>
  <c r="L74" i="1"/>
  <c r="M74" i="1"/>
  <c r="O74" i="1"/>
  <c r="P74" i="1"/>
  <c r="G73" i="1"/>
  <c r="K73" i="1"/>
  <c r="O73" i="1"/>
  <c r="L68" i="1"/>
  <c r="L65" i="1"/>
  <c r="M65" i="1" s="1"/>
  <c r="N65" i="1" s="1"/>
  <c r="L63" i="1"/>
  <c r="M63" i="1" s="1"/>
  <c r="N63" i="1" s="1"/>
  <c r="L61" i="1"/>
  <c r="M61" i="1" s="1"/>
  <c r="N61" i="1" s="1"/>
  <c r="L57" i="1"/>
  <c r="L20" i="1"/>
  <c r="M20" i="1" s="1"/>
  <c r="N20" i="1" s="1"/>
  <c r="L16" i="1"/>
  <c r="M16" i="1" s="1"/>
  <c r="N16" i="1" s="1"/>
  <c r="L14" i="1"/>
  <c r="M14" i="1" s="1"/>
  <c r="N14" i="1" s="1"/>
  <c r="L11" i="1"/>
  <c r="M11" i="1" s="1"/>
  <c r="N11" i="1" s="1"/>
  <c r="V11" i="1" s="1"/>
  <c r="L10" i="1"/>
  <c r="M10" i="1" s="1"/>
  <c r="N10" i="1" s="1"/>
  <c r="P73" i="1"/>
  <c r="P319" i="1"/>
  <c r="P283" i="1"/>
  <c r="P280" i="1"/>
  <c r="P279" i="1"/>
  <c r="P278" i="1"/>
  <c r="P275" i="1"/>
  <c r="P274" i="1"/>
  <c r="P271" i="1"/>
  <c r="P270" i="1"/>
  <c r="P269" i="1"/>
  <c r="P68" i="1"/>
  <c r="P65" i="1"/>
  <c r="P63" i="1"/>
  <c r="P61" i="1"/>
  <c r="P57" i="1"/>
  <c r="P59" i="1" s="1"/>
  <c r="P78" i="1" s="1"/>
  <c r="P20" i="1"/>
  <c r="P16" i="1"/>
  <c r="P14" i="1"/>
  <c r="Q14" i="1" s="1"/>
  <c r="P10" i="1"/>
  <c r="D10" i="1"/>
  <c r="E10" i="1" s="1"/>
  <c r="F10" i="1" s="1"/>
  <c r="D11" i="1"/>
  <c r="E11" i="1" s="1"/>
  <c r="D14" i="1"/>
  <c r="E14" i="1" s="1"/>
  <c r="F14" i="1" s="1"/>
  <c r="D16" i="1"/>
  <c r="E16" i="1" s="1"/>
  <c r="F16" i="1" s="1"/>
  <c r="D46" i="1"/>
  <c r="E46" i="1" s="1"/>
  <c r="D47" i="1"/>
  <c r="E47" i="1" s="1"/>
  <c r="D50" i="1"/>
  <c r="E50" i="1" s="1"/>
  <c r="F50" i="1" s="1"/>
  <c r="D52" i="1"/>
  <c r="E52" i="1" s="1"/>
  <c r="F52" i="1" s="1"/>
  <c r="D54" i="1"/>
  <c r="E54" i="1" s="1"/>
  <c r="F54" i="1" s="1"/>
  <c r="D57" i="1"/>
  <c r="D61" i="1"/>
  <c r="E61" i="1" s="1"/>
  <c r="F61" i="1" s="1"/>
  <c r="D63" i="1"/>
  <c r="E63" i="1" s="1"/>
  <c r="F63" i="1" s="1"/>
  <c r="D65" i="1"/>
  <c r="E65" i="1" s="1"/>
  <c r="F65" i="1" s="1"/>
  <c r="C12" i="1"/>
  <c r="C48" i="1"/>
  <c r="C79" i="1" s="1"/>
  <c r="C59" i="1"/>
  <c r="C78" i="1" s="1"/>
  <c r="H68" i="1"/>
  <c r="H65" i="1"/>
  <c r="I65" i="1" s="1"/>
  <c r="J65" i="1" s="1"/>
  <c r="H63" i="1"/>
  <c r="I63" i="1" s="1"/>
  <c r="J63" i="1" s="1"/>
  <c r="H61" i="1"/>
  <c r="I61" i="1" s="1"/>
  <c r="J61" i="1" s="1"/>
  <c r="H57" i="1"/>
  <c r="H54" i="1"/>
  <c r="I54" i="1" s="1"/>
  <c r="J54" i="1" s="1"/>
  <c r="H52" i="1"/>
  <c r="I52" i="1" s="1"/>
  <c r="J52" i="1" s="1"/>
  <c r="H50" i="1"/>
  <c r="I50" i="1" s="1"/>
  <c r="J50" i="1" s="1"/>
  <c r="H47" i="1"/>
  <c r="I47" i="1" s="1"/>
  <c r="J47" i="1" s="1"/>
  <c r="H46" i="1"/>
  <c r="H20" i="1"/>
  <c r="I20" i="1" s="1"/>
  <c r="J20" i="1" s="1"/>
  <c r="H16" i="1"/>
  <c r="I16" i="1" s="1"/>
  <c r="J16" i="1" s="1"/>
  <c r="H14" i="1"/>
  <c r="I14" i="1" s="1"/>
  <c r="J14" i="1" s="1"/>
  <c r="H11" i="1"/>
  <c r="I11" i="1" s="1"/>
  <c r="J11" i="1" s="1"/>
  <c r="H10" i="1"/>
  <c r="I10" i="1" s="1"/>
  <c r="J10" i="1" s="1"/>
  <c r="E319" i="1"/>
  <c r="E283" i="1"/>
  <c r="E280" i="1"/>
  <c r="E279" i="1"/>
  <c r="E278" i="1"/>
  <c r="E275" i="1"/>
  <c r="E274" i="1"/>
  <c r="E271" i="1"/>
  <c r="E270" i="1"/>
  <c r="E269" i="1"/>
  <c r="I283" i="1"/>
  <c r="I280" i="1"/>
  <c r="I279" i="1"/>
  <c r="I278" i="1"/>
  <c r="I275" i="1"/>
  <c r="I274" i="1"/>
  <c r="I270" i="1"/>
  <c r="I271" i="1"/>
  <c r="I269" i="1"/>
  <c r="I319" i="1"/>
  <c r="O59" i="1"/>
  <c r="O12" i="1"/>
  <c r="G59" i="1"/>
  <c r="G78" i="1" s="1"/>
  <c r="G48" i="1"/>
  <c r="G79" i="1" s="1"/>
  <c r="G12" i="1"/>
  <c r="K59" i="1"/>
  <c r="K48" i="1"/>
  <c r="K12" i="1"/>
  <c r="H197" i="1"/>
  <c r="H186" i="1"/>
  <c r="H176" i="1"/>
  <c r="H178" i="1" s="1"/>
  <c r="H170" i="1"/>
  <c r="H159" i="1"/>
  <c r="H228" i="1"/>
  <c r="H233" i="1"/>
  <c r="H245" i="1"/>
  <c r="H247" i="1" s="1"/>
  <c r="H262" i="1"/>
  <c r="Q18" i="17" l="1"/>
  <c r="AA145" i="1"/>
  <c r="AA116" i="1"/>
  <c r="Q20" i="17"/>
  <c r="F19" i="17"/>
  <c r="F21" i="17" s="1"/>
  <c r="F23" i="17" s="1"/>
  <c r="D19" i="17"/>
  <c r="Q17" i="17"/>
  <c r="D71" i="17"/>
  <c r="D60" i="17"/>
  <c r="G16" i="17"/>
  <c r="E70" i="17"/>
  <c r="G30" i="17"/>
  <c r="G31" i="17" s="1"/>
  <c r="E16" i="17"/>
  <c r="E68" i="17"/>
  <c r="F69" i="17"/>
  <c r="E30" i="17"/>
  <c r="E31" i="17" s="1"/>
  <c r="G69" i="17"/>
  <c r="G70" i="17"/>
  <c r="H14" i="17"/>
  <c r="F67" i="17"/>
  <c r="F30" i="8"/>
  <c r="F31" i="8" s="1"/>
  <c r="D30" i="17"/>
  <c r="D31" i="17" s="1"/>
  <c r="E19" i="17"/>
  <c r="E21" i="17" s="1"/>
  <c r="AB144" i="1"/>
  <c r="AB145" i="1"/>
  <c r="E68" i="8"/>
  <c r="E30" i="8"/>
  <c r="E31" i="8" s="1"/>
  <c r="E70" i="8"/>
  <c r="G30" i="8"/>
  <c r="G31" i="8" s="1"/>
  <c r="F16" i="8"/>
  <c r="F69" i="8" s="1"/>
  <c r="E69" i="8"/>
  <c r="Q20" i="8"/>
  <c r="Q17" i="8"/>
  <c r="Q18" i="8"/>
  <c r="Q14" i="8"/>
  <c r="Q15" i="8" s="1"/>
  <c r="D19" i="8"/>
  <c r="E19" i="8"/>
  <c r="E21" i="8" s="1"/>
  <c r="G68" i="8" s="1"/>
  <c r="O77" i="1"/>
  <c r="AB236" i="1"/>
  <c r="AB251" i="1" s="1"/>
  <c r="AH251" i="1" s="1"/>
  <c r="AA144" i="1"/>
  <c r="AA321" i="1" s="1"/>
  <c r="AA352" i="1" s="1"/>
  <c r="D70" i="8"/>
  <c r="AT108" i="1"/>
  <c r="AT18" i="1"/>
  <c r="AT19" i="1" s="1"/>
  <c r="AU16" i="1"/>
  <c r="AU20" i="1"/>
  <c r="AU14" i="1"/>
  <c r="AU99" i="1" s="1"/>
  <c r="AU85" i="1"/>
  <c r="D68" i="12"/>
  <c r="G17" i="12"/>
  <c r="E19" i="12"/>
  <c r="E21" i="12"/>
  <c r="E29" i="12"/>
  <c r="F66" i="12"/>
  <c r="H66" i="12" s="1"/>
  <c r="D58" i="12"/>
  <c r="E67" i="12"/>
  <c r="F18" i="12"/>
  <c r="D25" i="12"/>
  <c r="D22" i="12"/>
  <c r="H15" i="8"/>
  <c r="G16" i="8"/>
  <c r="E16" i="8"/>
  <c r="F68" i="8" s="1"/>
  <c r="AI100" i="1"/>
  <c r="AH100" i="1"/>
  <c r="AH110" i="1"/>
  <c r="AI106" i="1"/>
  <c r="AH106" i="1"/>
  <c r="AI178" i="1"/>
  <c r="AA345" i="1"/>
  <c r="AA348" i="1" s="1"/>
  <c r="AA251" i="1"/>
  <c r="AI236" i="1"/>
  <c r="AA121" i="1"/>
  <c r="AA130" i="1" s="1"/>
  <c r="AI110" i="1"/>
  <c r="AA111" i="1"/>
  <c r="J114" i="1"/>
  <c r="J119" i="1" s="1"/>
  <c r="V14" i="1"/>
  <c r="P12" i="1"/>
  <c r="P77" i="1" s="1"/>
  <c r="Q10" i="1"/>
  <c r="C130" i="1"/>
  <c r="C131" i="1" s="1"/>
  <c r="C129" i="1"/>
  <c r="J87" i="1"/>
  <c r="J99" i="1"/>
  <c r="F74" i="1"/>
  <c r="F99" i="1"/>
  <c r="F110" i="1" s="1"/>
  <c r="F111" i="1" s="1"/>
  <c r="D199" i="1"/>
  <c r="D251" i="1"/>
  <c r="AB288" i="1"/>
  <c r="AH288" i="1" s="1"/>
  <c r="D263" i="1"/>
  <c r="D266" i="1" s="1"/>
  <c r="D106" i="1"/>
  <c r="AA285" i="1"/>
  <c r="AA282" i="1" s="1"/>
  <c r="AA199" i="1"/>
  <c r="I68" i="1"/>
  <c r="I80" i="1" s="1"/>
  <c r="H80" i="1"/>
  <c r="E121" i="1"/>
  <c r="E12" i="1"/>
  <c r="E51" i="1" s="1"/>
  <c r="F11" i="1"/>
  <c r="F12" i="1" s="1"/>
  <c r="F62" i="1" s="1"/>
  <c r="D59" i="1"/>
  <c r="D78" i="1" s="1"/>
  <c r="E57" i="1"/>
  <c r="AB289" i="1"/>
  <c r="AH289" i="1" s="1"/>
  <c r="J80" i="1"/>
  <c r="J74" i="1"/>
  <c r="E73" i="1"/>
  <c r="F46" i="1"/>
  <c r="F73" i="1" s="1"/>
  <c r="G55" i="1"/>
  <c r="G77" i="1"/>
  <c r="G81" i="1" s="1"/>
  <c r="E48" i="1"/>
  <c r="E79" i="1" s="1"/>
  <c r="F47" i="1"/>
  <c r="E251" i="1"/>
  <c r="E263" i="1"/>
  <c r="E266" i="1" s="1"/>
  <c r="E199" i="1"/>
  <c r="D121" i="1"/>
  <c r="K21" i="1"/>
  <c r="K77" i="1"/>
  <c r="K55" i="1"/>
  <c r="K79" i="1"/>
  <c r="C15" i="1"/>
  <c r="C77" i="1"/>
  <c r="C81" i="1" s="1"/>
  <c r="K64" i="1"/>
  <c r="K78" i="1"/>
  <c r="M68" i="1"/>
  <c r="M80" i="1" s="1"/>
  <c r="L80" i="1"/>
  <c r="C263" i="1"/>
  <c r="C266" i="1" s="1"/>
  <c r="C199" i="1"/>
  <c r="F199" i="1"/>
  <c r="C251" i="1"/>
  <c r="F248" i="1"/>
  <c r="F250" i="1" s="1"/>
  <c r="C111" i="1"/>
  <c r="C122" i="1"/>
  <c r="O64" i="1"/>
  <c r="O78" i="1"/>
  <c r="O85" i="1"/>
  <c r="AB81" i="1"/>
  <c r="AH81" i="1" s="1"/>
  <c r="AA81" i="1"/>
  <c r="P80" i="1"/>
  <c r="AI281" i="1"/>
  <c r="J12" i="1"/>
  <c r="N12" i="1"/>
  <c r="AB248" i="1"/>
  <c r="AH248" i="1" s="1"/>
  <c r="AB285" i="1"/>
  <c r="M12" i="1"/>
  <c r="AD288" i="1"/>
  <c r="AI276" i="1"/>
  <c r="AC287" i="1"/>
  <c r="AD75" i="1"/>
  <c r="L73" i="1"/>
  <c r="I46" i="1"/>
  <c r="AC288" i="1"/>
  <c r="AI272" i="1"/>
  <c r="H59" i="1"/>
  <c r="I57" i="1"/>
  <c r="L59" i="1"/>
  <c r="L78" i="1" s="1"/>
  <c r="M57" i="1"/>
  <c r="AC289" i="1"/>
  <c r="I12" i="1"/>
  <c r="I62" i="1" s="1"/>
  <c r="AB287" i="1"/>
  <c r="AH287" i="1" s="1"/>
  <c r="AA263" i="1"/>
  <c r="AA266" i="1" s="1"/>
  <c r="AD287" i="1"/>
  <c r="AA248" i="1"/>
  <c r="AA249" i="1" s="1"/>
  <c r="P75" i="1"/>
  <c r="AD289" i="1"/>
  <c r="M75" i="1"/>
  <c r="AB111" i="1"/>
  <c r="AH111" i="1" s="1"/>
  <c r="AB121" i="1"/>
  <c r="AD285" i="1"/>
  <c r="AD284" i="1" s="1"/>
  <c r="AC285" i="1"/>
  <c r="AC277" i="1" s="1"/>
  <c r="L75" i="1"/>
  <c r="O75" i="1"/>
  <c r="K75" i="1"/>
  <c r="J98" i="1"/>
  <c r="J75" i="1" s="1"/>
  <c r="L12" i="1"/>
  <c r="G72" i="1"/>
  <c r="C51" i="1"/>
  <c r="O71" i="1"/>
  <c r="K71" i="1"/>
  <c r="H73" i="1"/>
  <c r="K72" i="1"/>
  <c r="O72" i="1"/>
  <c r="G71" i="1"/>
  <c r="C62" i="1"/>
  <c r="C85" i="1"/>
  <c r="C55" i="1"/>
  <c r="C53" i="1"/>
  <c r="P66" i="1"/>
  <c r="D48" i="1"/>
  <c r="O66" i="1"/>
  <c r="P276" i="1"/>
  <c r="P281" i="1"/>
  <c r="P272" i="1"/>
  <c r="G62" i="1"/>
  <c r="K66" i="1"/>
  <c r="G64" i="1"/>
  <c r="G66" i="1"/>
  <c r="K51" i="1"/>
  <c r="G51" i="1"/>
  <c r="K53" i="1"/>
  <c r="D12" i="1"/>
  <c r="G53" i="1"/>
  <c r="K62" i="1"/>
  <c r="C66" i="1"/>
  <c r="O62" i="1"/>
  <c r="C64" i="1"/>
  <c r="P62" i="1"/>
  <c r="P64" i="1"/>
  <c r="C21" i="1"/>
  <c r="C17" i="1"/>
  <c r="H48" i="1"/>
  <c r="H12" i="1"/>
  <c r="H77" i="1" s="1"/>
  <c r="I276" i="1"/>
  <c r="E281" i="1"/>
  <c r="E276" i="1"/>
  <c r="E272" i="1"/>
  <c r="I281" i="1"/>
  <c r="I272" i="1"/>
  <c r="G85" i="1"/>
  <c r="K85" i="1"/>
  <c r="O15" i="1"/>
  <c r="O21" i="1"/>
  <c r="O17" i="1"/>
  <c r="G15" i="1"/>
  <c r="G21" i="1"/>
  <c r="G17" i="1"/>
  <c r="K17" i="1"/>
  <c r="K15" i="1"/>
  <c r="H236" i="1"/>
  <c r="H248" i="1" s="1"/>
  <c r="H250" i="1" s="1"/>
  <c r="H171" i="1"/>
  <c r="H198" i="1"/>
  <c r="F22" i="17" l="1"/>
  <c r="H69" i="17"/>
  <c r="F68" i="17"/>
  <c r="E23" i="17"/>
  <c r="Q16" i="17"/>
  <c r="E71" i="17"/>
  <c r="H16" i="17"/>
  <c r="F71" i="17" s="1"/>
  <c r="F70" i="17"/>
  <c r="H70" i="17" s="1"/>
  <c r="G23" i="17"/>
  <c r="F32" i="17"/>
  <c r="F24" i="17"/>
  <c r="F27" i="17"/>
  <c r="G22" i="17"/>
  <c r="E22" i="17"/>
  <c r="G68" i="17"/>
  <c r="H68" i="17" s="1"/>
  <c r="Q19" i="17"/>
  <c r="D21" i="17"/>
  <c r="Z349" i="1"/>
  <c r="AA146" i="1"/>
  <c r="AA147" i="1" s="1"/>
  <c r="AL27" i="1"/>
  <c r="AL28" i="1" s="1"/>
  <c r="AB263" i="1"/>
  <c r="AB266" i="1" s="1"/>
  <c r="AH266" i="1" s="1"/>
  <c r="G23" i="8"/>
  <c r="G32" i="8" s="1"/>
  <c r="F70" i="8"/>
  <c r="H70" i="8" s="1"/>
  <c r="Q16" i="8"/>
  <c r="D21" i="8"/>
  <c r="E23" i="8"/>
  <c r="E32" i="8" s="1"/>
  <c r="O81" i="1"/>
  <c r="E22" i="8"/>
  <c r="J110" i="1"/>
  <c r="J111" i="1" s="1"/>
  <c r="J100" i="1"/>
  <c r="AH236" i="1"/>
  <c r="AU108" i="1"/>
  <c r="AU18" i="1"/>
  <c r="AU19" i="1" s="1"/>
  <c r="AA349" i="1"/>
  <c r="AA350" i="1"/>
  <c r="F19" i="12"/>
  <c r="F67" i="12"/>
  <c r="H67" i="12" s="1"/>
  <c r="F29" i="12"/>
  <c r="F21" i="12"/>
  <c r="E22" i="12"/>
  <c r="E25" i="12"/>
  <c r="E68" i="12"/>
  <c r="G18" i="12"/>
  <c r="G22" i="8"/>
  <c r="D71" i="8"/>
  <c r="H14" i="8"/>
  <c r="E71" i="8" s="1"/>
  <c r="D60" i="8"/>
  <c r="H68" i="8"/>
  <c r="AB321" i="1"/>
  <c r="AB352" i="1" s="1"/>
  <c r="AB356" i="1" s="1"/>
  <c r="AB359" i="1" s="1"/>
  <c r="AH144" i="1"/>
  <c r="AB129" i="1"/>
  <c r="AH121" i="1"/>
  <c r="AB277" i="1"/>
  <c r="AH277" i="1" s="1"/>
  <c r="AH285" i="1"/>
  <c r="AA122" i="1"/>
  <c r="AA356" i="1"/>
  <c r="AA359" i="1" s="1"/>
  <c r="AA358" i="1"/>
  <c r="AA129" i="1"/>
  <c r="AA143" i="1" s="1"/>
  <c r="AA208" i="1" s="1"/>
  <c r="AA131" i="1"/>
  <c r="AI130" i="1"/>
  <c r="AB249" i="1"/>
  <c r="AH249" i="1" s="1"/>
  <c r="AI248" i="1"/>
  <c r="C133" i="1"/>
  <c r="C135" i="1" s="1"/>
  <c r="P17" i="1"/>
  <c r="P85" i="1"/>
  <c r="P15" i="1"/>
  <c r="P21" i="1"/>
  <c r="F121" i="1"/>
  <c r="F130" i="1" s="1"/>
  <c r="F133" i="1" s="1"/>
  <c r="F135" i="1" s="1"/>
  <c r="Q12" i="1"/>
  <c r="Q15" i="1" s="1"/>
  <c r="V10" i="1"/>
  <c r="V12" i="1" s="1"/>
  <c r="V13" i="1" s="1"/>
  <c r="J105" i="1"/>
  <c r="F106" i="1"/>
  <c r="E130" i="1"/>
  <c r="E133" i="1" s="1"/>
  <c r="E135" i="1" s="1"/>
  <c r="E129" i="1"/>
  <c r="D122" i="1"/>
  <c r="D129" i="1"/>
  <c r="P81" i="1"/>
  <c r="E122" i="1"/>
  <c r="AA273" i="1"/>
  <c r="AA277" i="1"/>
  <c r="AA284" i="1"/>
  <c r="D64" i="1"/>
  <c r="D66" i="1"/>
  <c r="AA133" i="1"/>
  <c r="C24" i="13" s="1"/>
  <c r="AA135" i="1"/>
  <c r="D62" i="1"/>
  <c r="D130" i="1"/>
  <c r="D133" i="1" s="1"/>
  <c r="D135" i="1" s="1"/>
  <c r="E66" i="1"/>
  <c r="E21" i="1"/>
  <c r="E15" i="1"/>
  <c r="F55" i="1"/>
  <c r="F71" i="1"/>
  <c r="F77" i="1"/>
  <c r="F66" i="1"/>
  <c r="F21" i="1"/>
  <c r="E64" i="1"/>
  <c r="F51" i="1"/>
  <c r="E71" i="1"/>
  <c r="E53" i="1"/>
  <c r="E17" i="1"/>
  <c r="E77" i="1"/>
  <c r="F48" i="1"/>
  <c r="F79" i="1" s="1"/>
  <c r="E55" i="1"/>
  <c r="F53" i="1"/>
  <c r="I71" i="1"/>
  <c r="I77" i="1"/>
  <c r="E62" i="1"/>
  <c r="F64" i="1"/>
  <c r="H53" i="1"/>
  <c r="H79" i="1"/>
  <c r="H72" i="1"/>
  <c r="H78" i="1"/>
  <c r="F57" i="1"/>
  <c r="F59" i="1" s="1"/>
  <c r="E59" i="1"/>
  <c r="F15" i="1"/>
  <c r="J17" i="1"/>
  <c r="J77" i="1"/>
  <c r="J71" i="1"/>
  <c r="F17" i="1"/>
  <c r="L15" i="1"/>
  <c r="L77" i="1"/>
  <c r="L81" i="1" s="1"/>
  <c r="M64" i="1"/>
  <c r="M77" i="1"/>
  <c r="D17" i="1"/>
  <c r="D77" i="1"/>
  <c r="D51" i="1"/>
  <c r="D79" i="1"/>
  <c r="N64" i="1"/>
  <c r="K81" i="1"/>
  <c r="J64" i="1"/>
  <c r="J62" i="1"/>
  <c r="J66" i="1"/>
  <c r="J55" i="1"/>
  <c r="J51" i="1"/>
  <c r="J53" i="1"/>
  <c r="AB282" i="1"/>
  <c r="AH282" i="1" s="1"/>
  <c r="M15" i="1"/>
  <c r="P72" i="1"/>
  <c r="L85" i="1"/>
  <c r="N17" i="1"/>
  <c r="I55" i="1"/>
  <c r="N15" i="1"/>
  <c r="N21" i="1"/>
  <c r="J21" i="1"/>
  <c r="J15" i="1"/>
  <c r="N71" i="1"/>
  <c r="L62" i="1"/>
  <c r="L66" i="1"/>
  <c r="L64" i="1"/>
  <c r="M21" i="1"/>
  <c r="L72" i="1"/>
  <c r="M62" i="1"/>
  <c r="I73" i="1"/>
  <c r="J46" i="1"/>
  <c r="J73" i="1" s="1"/>
  <c r="M73" i="1"/>
  <c r="H64" i="1"/>
  <c r="H62" i="1"/>
  <c r="M59" i="1"/>
  <c r="M78" i="1" s="1"/>
  <c r="N57" i="1"/>
  <c r="N59" i="1" s="1"/>
  <c r="AB273" i="1"/>
  <c r="AH273" i="1" s="1"/>
  <c r="I66" i="1"/>
  <c r="H66" i="1"/>
  <c r="M17" i="1"/>
  <c r="M71" i="1"/>
  <c r="AB284" i="1"/>
  <c r="AH284" i="1" s="1"/>
  <c r="I59" i="1"/>
  <c r="J57" i="1"/>
  <c r="J59" i="1" s="1"/>
  <c r="J78" i="1" s="1"/>
  <c r="N62" i="1"/>
  <c r="N66" i="1"/>
  <c r="M66" i="1"/>
  <c r="I48" i="1"/>
  <c r="I79" i="1" s="1"/>
  <c r="AD273" i="1"/>
  <c r="AI285" i="1"/>
  <c r="I64" i="1"/>
  <c r="I21" i="1"/>
  <c r="I53" i="1"/>
  <c r="I17" i="1"/>
  <c r="I51" i="1"/>
  <c r="I15" i="1"/>
  <c r="H71" i="1"/>
  <c r="AD277" i="1"/>
  <c r="L21" i="1"/>
  <c r="L17" i="1"/>
  <c r="P71" i="1"/>
  <c r="AC282" i="1"/>
  <c r="AC273" i="1"/>
  <c r="AD282" i="1"/>
  <c r="AC284" i="1"/>
  <c r="AB122" i="1"/>
  <c r="AH122" i="1" s="1"/>
  <c r="AB130" i="1"/>
  <c r="AH130" i="1" s="1"/>
  <c r="D15" i="1"/>
  <c r="J106" i="1"/>
  <c r="L71" i="1"/>
  <c r="D85" i="1"/>
  <c r="D53" i="1"/>
  <c r="D21" i="1"/>
  <c r="D55" i="1"/>
  <c r="H55" i="1"/>
  <c r="P285" i="1"/>
  <c r="P277" i="1" s="1"/>
  <c r="H51" i="1"/>
  <c r="H21" i="1"/>
  <c r="H17" i="1"/>
  <c r="H15" i="1"/>
  <c r="E285" i="1"/>
  <c r="E284" i="1" s="1"/>
  <c r="I285" i="1"/>
  <c r="I273" i="1" s="1"/>
  <c r="H263" i="1"/>
  <c r="H266" i="1" s="1"/>
  <c r="H251" i="1"/>
  <c r="H199" i="1"/>
  <c r="G27" i="17" l="1"/>
  <c r="G32" i="17"/>
  <c r="G24" i="17"/>
  <c r="G67" i="17"/>
  <c r="H67" i="17" s="1"/>
  <c r="D22" i="17"/>
  <c r="Q21" i="17"/>
  <c r="Q22" i="17" s="1"/>
  <c r="D28" i="17"/>
  <c r="D23" i="17"/>
  <c r="E32" i="17"/>
  <c r="E27" i="17"/>
  <c r="E24" i="17"/>
  <c r="J121" i="1"/>
  <c r="J122" i="1" s="1"/>
  <c r="AH263" i="1"/>
  <c r="D22" i="8"/>
  <c r="G67" i="8"/>
  <c r="H67" i="8" s="1"/>
  <c r="D23" i="8"/>
  <c r="D32" i="8" s="1"/>
  <c r="D28" i="8"/>
  <c r="G29" i="12"/>
  <c r="G21" i="12"/>
  <c r="G19" i="12"/>
  <c r="F68" i="12"/>
  <c r="H68" i="12" s="1"/>
  <c r="F25" i="12"/>
  <c r="F22" i="12"/>
  <c r="G27" i="8"/>
  <c r="H16" i="8"/>
  <c r="F71" i="8" s="1"/>
  <c r="E27" i="8"/>
  <c r="AB358" i="1"/>
  <c r="AB143" i="1"/>
  <c r="AH129" i="1"/>
  <c r="F122" i="1"/>
  <c r="F131" i="1"/>
  <c r="AA250" i="1"/>
  <c r="AI133" i="1"/>
  <c r="F129" i="1"/>
  <c r="V15" i="1"/>
  <c r="E131" i="1"/>
  <c r="D131" i="1"/>
  <c r="H81" i="1"/>
  <c r="I72" i="1"/>
  <c r="I78" i="1"/>
  <c r="I81" i="1" s="1"/>
  <c r="J72" i="1"/>
  <c r="F85" i="1"/>
  <c r="F78" i="1"/>
  <c r="F81" i="1" s="1"/>
  <c r="F72" i="1"/>
  <c r="E72" i="1"/>
  <c r="E78" i="1"/>
  <c r="E81" i="1" s="1"/>
  <c r="E85" i="1"/>
  <c r="D81" i="1"/>
  <c r="M81" i="1"/>
  <c r="M72" i="1"/>
  <c r="N72" i="1"/>
  <c r="N73" i="1"/>
  <c r="J48" i="1"/>
  <c r="J79" i="1" s="1"/>
  <c r="J81" i="1" s="1"/>
  <c r="AB133" i="1"/>
  <c r="D24" i="13" s="1"/>
  <c r="AB135" i="1"/>
  <c r="AH135" i="1" s="1"/>
  <c r="AB131" i="1"/>
  <c r="AH131" i="1" s="1"/>
  <c r="P282" i="1"/>
  <c r="P284" i="1"/>
  <c r="E277" i="1"/>
  <c r="E273" i="1"/>
  <c r="P273" i="1"/>
  <c r="E282" i="1"/>
  <c r="I277" i="1"/>
  <c r="I284" i="1"/>
  <c r="I282" i="1"/>
  <c r="J130" i="1" l="1"/>
  <c r="D29" i="17"/>
  <c r="E28" i="17"/>
  <c r="Q23" i="17"/>
  <c r="D24" i="17"/>
  <c r="D32" i="17"/>
  <c r="D27" i="17"/>
  <c r="E24" i="8"/>
  <c r="D29" i="8"/>
  <c r="E28" i="8"/>
  <c r="D27" i="8"/>
  <c r="D24" i="8"/>
  <c r="G25" i="12"/>
  <c r="G22" i="12"/>
  <c r="H22" i="12"/>
  <c r="AB250" i="1"/>
  <c r="AH250" i="1" s="1"/>
  <c r="AH133" i="1"/>
  <c r="AB208" i="1"/>
  <c r="AH208" i="1" s="1"/>
  <c r="AH143" i="1"/>
  <c r="J133" i="1"/>
  <c r="J131" i="1"/>
  <c r="G262" i="1"/>
  <c r="G245" i="1"/>
  <c r="G247" i="1" s="1"/>
  <c r="G233" i="1"/>
  <c r="G228" i="1"/>
  <c r="G197" i="1"/>
  <c r="G186" i="1"/>
  <c r="G176" i="1"/>
  <c r="G178" i="1" s="1"/>
  <c r="G170" i="1"/>
  <c r="G159" i="1"/>
  <c r="G138" i="1"/>
  <c r="G119" i="1"/>
  <c r="K119" i="1"/>
  <c r="I262" i="1"/>
  <c r="I246" i="1"/>
  <c r="I247" i="1" s="1"/>
  <c r="I233" i="1"/>
  <c r="I228" i="1"/>
  <c r="M264" i="1"/>
  <c r="L264" i="1"/>
  <c r="M262" i="1"/>
  <c r="J251" i="1"/>
  <c r="M247" i="1"/>
  <c r="M233" i="1"/>
  <c r="M227" i="1"/>
  <c r="M228" i="1" s="1"/>
  <c r="AB197" i="1"/>
  <c r="AH197" i="1" s="1"/>
  <c r="AB186" i="1"/>
  <c r="AH186" i="1" s="1"/>
  <c r="AB176" i="1"/>
  <c r="AH176" i="1" s="1"/>
  <c r="AB170" i="1"/>
  <c r="AH170" i="1" s="1"/>
  <c r="AB159" i="1"/>
  <c r="AH159" i="1" s="1"/>
  <c r="H138" i="1"/>
  <c r="H119" i="1"/>
  <c r="L262" i="1"/>
  <c r="L247" i="1"/>
  <c r="L233" i="1"/>
  <c r="L228" i="1"/>
  <c r="K262" i="1"/>
  <c r="K247" i="1"/>
  <c r="K228" i="1"/>
  <c r="K233" i="1"/>
  <c r="O228" i="1"/>
  <c r="O233" i="1"/>
  <c r="O247" i="1"/>
  <c r="O262" i="1"/>
  <c r="P262" i="1"/>
  <c r="P247" i="1"/>
  <c r="P233" i="1"/>
  <c r="P228" i="1"/>
  <c r="AC159" i="1"/>
  <c r="C24" i="2"/>
  <c r="AC262" i="1"/>
  <c r="AD262" i="1"/>
  <c r="AC245" i="1"/>
  <c r="AC247" i="1" s="1"/>
  <c r="AD247" i="1"/>
  <c r="AC228" i="1"/>
  <c r="AC233" i="1"/>
  <c r="AC234" i="1" s="1"/>
  <c r="AD227" i="1"/>
  <c r="AD228" i="1" s="1"/>
  <c r="C15" i="2" a="1"/>
  <c r="C15" i="2" s="1"/>
  <c r="E29" i="17" l="1"/>
  <c r="F28" i="17"/>
  <c r="E29" i="8"/>
  <c r="AB178" i="1"/>
  <c r="H106" i="1"/>
  <c r="H110" i="1"/>
  <c r="G106" i="1"/>
  <c r="G110" i="1"/>
  <c r="M236" i="1"/>
  <c r="M248" i="1" s="1"/>
  <c r="I236" i="1"/>
  <c r="I248" i="1" s="1"/>
  <c r="I250" i="1" s="1"/>
  <c r="G236" i="1"/>
  <c r="G248" i="1" s="1"/>
  <c r="G250" i="1" s="1"/>
  <c r="G198" i="1"/>
  <c r="P236" i="1"/>
  <c r="P263" i="1" s="1"/>
  <c r="P266" i="1" s="1"/>
  <c r="L236" i="1"/>
  <c r="L248" i="1" s="1"/>
  <c r="G171" i="1"/>
  <c r="AB171" i="1"/>
  <c r="AH171" i="1" s="1"/>
  <c r="AB198" i="1"/>
  <c r="AH198" i="1" s="1"/>
  <c r="AC236" i="1"/>
  <c r="AD236" i="1"/>
  <c r="K236" i="1"/>
  <c r="O236" i="1"/>
  <c r="O248" i="1" s="1"/>
  <c r="C3" i="2" a="1"/>
  <c r="C3" i="2" s="1"/>
  <c r="AC197" i="1"/>
  <c r="AC186" i="1"/>
  <c r="AC176" i="1"/>
  <c r="AC170" i="1"/>
  <c r="N159" i="1"/>
  <c r="M159" i="1"/>
  <c r="L159" i="1"/>
  <c r="K159" i="1"/>
  <c r="J159" i="1"/>
  <c r="I159" i="1"/>
  <c r="N170" i="1"/>
  <c r="M170" i="1"/>
  <c r="L170" i="1"/>
  <c r="K170" i="1"/>
  <c r="J170" i="1"/>
  <c r="I170" i="1"/>
  <c r="N176" i="1"/>
  <c r="N178" i="1" s="1"/>
  <c r="M176" i="1"/>
  <c r="L176" i="1"/>
  <c r="L178" i="1" s="1"/>
  <c r="K176" i="1"/>
  <c r="K178" i="1" s="1"/>
  <c r="J176" i="1"/>
  <c r="J178" i="1" s="1"/>
  <c r="I176" i="1"/>
  <c r="I178" i="1" s="1"/>
  <c r="N186" i="1"/>
  <c r="M186" i="1"/>
  <c r="L186" i="1"/>
  <c r="K186" i="1"/>
  <c r="J186" i="1"/>
  <c r="I186" i="1"/>
  <c r="N197" i="1"/>
  <c r="M197" i="1"/>
  <c r="L197" i="1"/>
  <c r="K197" i="1"/>
  <c r="J197" i="1"/>
  <c r="I197" i="1"/>
  <c r="AD197" i="1"/>
  <c r="AD186" i="1"/>
  <c r="AD176" i="1"/>
  <c r="AD170" i="1"/>
  <c r="AD159" i="1"/>
  <c r="O197" i="1"/>
  <c r="P197" i="1"/>
  <c r="O186" i="1"/>
  <c r="P186" i="1"/>
  <c r="O176" i="1"/>
  <c r="O159" i="1"/>
  <c r="O170" i="1"/>
  <c r="P170" i="1"/>
  <c r="P159" i="1"/>
  <c r="N134" i="1"/>
  <c r="N132" i="1"/>
  <c r="V132" i="1" s="1"/>
  <c r="N128" i="1"/>
  <c r="V128" i="1" s="1"/>
  <c r="N120" i="1"/>
  <c r="N113" i="1"/>
  <c r="N117" i="1"/>
  <c r="V117" i="1" s="1"/>
  <c r="N118" i="1"/>
  <c r="V118" i="1" s="1"/>
  <c r="N112" i="1"/>
  <c r="V112" i="1" s="1"/>
  <c r="N108" i="1"/>
  <c r="V108" i="1" s="1"/>
  <c r="N88" i="1"/>
  <c r="V88" i="1" s="1"/>
  <c r="N89" i="1"/>
  <c r="V89" i="1" s="1"/>
  <c r="N91" i="1"/>
  <c r="V91" i="1" s="1"/>
  <c r="N92" i="1"/>
  <c r="V92" i="1" s="1"/>
  <c r="N94" i="1"/>
  <c r="V94" i="1" s="1"/>
  <c r="N97" i="1"/>
  <c r="V97" i="1" s="1"/>
  <c r="N86" i="1"/>
  <c r="V86" i="1" s="1"/>
  <c r="I138" i="1"/>
  <c r="I119" i="1"/>
  <c r="M119" i="1"/>
  <c r="AC138" i="1"/>
  <c r="E25" i="13" s="1"/>
  <c r="AD138" i="1"/>
  <c r="F25" i="13" s="1"/>
  <c r="E22" i="13"/>
  <c r="E23" i="13" s="1"/>
  <c r="F22" i="13"/>
  <c r="F23" i="13" s="1"/>
  <c r="O119" i="1"/>
  <c r="P110" i="1"/>
  <c r="L119" i="1"/>
  <c r="P119" i="1"/>
  <c r="I9" i="11" l="1"/>
  <c r="C4" i="2"/>
  <c r="C6" i="2" s="1"/>
  <c r="F29" i="17"/>
  <c r="G28" i="17"/>
  <c r="AD206" i="1"/>
  <c r="AC7" i="1"/>
  <c r="AC206" i="1"/>
  <c r="AB345" i="1"/>
  <c r="AB348" i="1" s="1"/>
  <c r="AB146" i="1" s="1"/>
  <c r="AB147" i="1" s="1"/>
  <c r="AB205" i="1"/>
  <c r="AH205" i="1" s="1"/>
  <c r="AH178" i="1"/>
  <c r="AD100" i="1"/>
  <c r="AD7" i="1"/>
  <c r="D11" i="2"/>
  <c r="E44" i="2"/>
  <c r="AC105" i="1"/>
  <c r="AC100" i="1"/>
  <c r="E45" i="2"/>
  <c r="V113" i="1"/>
  <c r="V119" i="1" s="1"/>
  <c r="N114" i="1"/>
  <c r="N119" i="1" s="1"/>
  <c r="D1" i="2"/>
  <c r="M250" i="1"/>
  <c r="M178" i="1"/>
  <c r="M205" i="1"/>
  <c r="O250" i="1"/>
  <c r="L250" i="1"/>
  <c r="V87" i="1"/>
  <c r="AI138" i="1"/>
  <c r="AD105" i="1"/>
  <c r="V99" i="1"/>
  <c r="V105" i="1" s="1"/>
  <c r="V98" i="1"/>
  <c r="N138" i="1"/>
  <c r="V134" i="1"/>
  <c r="V138" i="1" s="1"/>
  <c r="V139" i="1" s="1"/>
  <c r="N99" i="1"/>
  <c r="N87" i="1"/>
  <c r="O178" i="1"/>
  <c r="O205" i="1"/>
  <c r="C18" i="2"/>
  <c r="C19" i="2" s="1"/>
  <c r="P205" i="1"/>
  <c r="AC178" i="1"/>
  <c r="AD178" i="1"/>
  <c r="N80" i="1"/>
  <c r="N79" i="1"/>
  <c r="N77" i="1"/>
  <c r="N78" i="1"/>
  <c r="G251" i="1"/>
  <c r="G263" i="1"/>
  <c r="G266" i="1" s="1"/>
  <c r="L106" i="1"/>
  <c r="L110" i="1"/>
  <c r="K106" i="1"/>
  <c r="K110" i="1"/>
  <c r="M251" i="1"/>
  <c r="O106" i="1"/>
  <c r="O110" i="1"/>
  <c r="AC106" i="1"/>
  <c r="AC110" i="1"/>
  <c r="AC116" i="1" s="1"/>
  <c r="M263" i="1"/>
  <c r="M266" i="1" s="1"/>
  <c r="M106" i="1"/>
  <c r="M110" i="1"/>
  <c r="AD110" i="1"/>
  <c r="AD116" i="1" s="1"/>
  <c r="P251" i="1"/>
  <c r="I106" i="1"/>
  <c r="I110" i="1"/>
  <c r="N98" i="1"/>
  <c r="N75" i="1" s="1"/>
  <c r="I263" i="1"/>
  <c r="I266" i="1" s="1"/>
  <c r="C28" i="2"/>
  <c r="C29" i="2" s="1"/>
  <c r="C30" i="2" s="1"/>
  <c r="N74" i="1"/>
  <c r="I251" i="1"/>
  <c r="G199" i="1"/>
  <c r="AC248" i="1"/>
  <c r="AC249" i="1" s="1"/>
  <c r="AC251" i="1"/>
  <c r="L263" i="1"/>
  <c r="L266" i="1" s="1"/>
  <c r="AD263" i="1"/>
  <c r="AD266" i="1" s="1"/>
  <c r="AD251" i="1"/>
  <c r="P248" i="1"/>
  <c r="AB199" i="1"/>
  <c r="AH199" i="1" s="1"/>
  <c r="G111" i="1"/>
  <c r="G121" i="1"/>
  <c r="L251" i="1"/>
  <c r="O263" i="1"/>
  <c r="O266" i="1" s="1"/>
  <c r="O251" i="1"/>
  <c r="K248" i="1"/>
  <c r="K251" i="1"/>
  <c r="AC263" i="1"/>
  <c r="AC266" i="1" s="1"/>
  <c r="H111" i="1"/>
  <c r="H121" i="1"/>
  <c r="AD248" i="1"/>
  <c r="N248" i="1" s="1"/>
  <c r="L198" i="1"/>
  <c r="N198" i="1"/>
  <c r="K263" i="1"/>
  <c r="K266" i="1" s="1"/>
  <c r="I198" i="1"/>
  <c r="J171" i="1"/>
  <c r="I171" i="1"/>
  <c r="P198" i="1"/>
  <c r="J198" i="1"/>
  <c r="P171" i="1"/>
  <c r="AC198" i="1"/>
  <c r="P178" i="1"/>
  <c r="K198" i="1"/>
  <c r="N171" i="1"/>
  <c r="AD198" i="1"/>
  <c r="K171" i="1"/>
  <c r="L171" i="1"/>
  <c r="M198" i="1"/>
  <c r="AD171" i="1"/>
  <c r="M171" i="1"/>
  <c r="AC171" i="1"/>
  <c r="O198" i="1"/>
  <c r="O171" i="1"/>
  <c r="AD107" i="1"/>
  <c r="AD106" i="1"/>
  <c r="P106" i="1"/>
  <c r="P107" i="1"/>
  <c r="P121" i="1"/>
  <c r="G29" i="17" l="1"/>
  <c r="Q29" i="17" s="1"/>
  <c r="Q28" i="17"/>
  <c r="AC145" i="1"/>
  <c r="AE145" i="1"/>
  <c r="D9" i="4"/>
  <c r="C20" i="11"/>
  <c r="N105" i="1"/>
  <c r="N100" i="1"/>
  <c r="AD321" i="1"/>
  <c r="AC144" i="1"/>
  <c r="AC321" i="1" s="1"/>
  <c r="AB349" i="1"/>
  <c r="AB350" i="1"/>
  <c r="AD345" i="1"/>
  <c r="AD348" i="1" s="1"/>
  <c r="AD205" i="1"/>
  <c r="AC345" i="1"/>
  <c r="AC348" i="1" s="1"/>
  <c r="AC205" i="1"/>
  <c r="V248" i="1"/>
  <c r="K250" i="1"/>
  <c r="P250" i="1"/>
  <c r="C16" i="2"/>
  <c r="V106" i="1"/>
  <c r="V110" i="1"/>
  <c r="C22" i="2"/>
  <c r="C23" i="2" s="1"/>
  <c r="AD249" i="1"/>
  <c r="P122" i="1"/>
  <c r="M111" i="1"/>
  <c r="N81" i="1"/>
  <c r="N106" i="1"/>
  <c r="N110" i="1"/>
  <c r="I199" i="1"/>
  <c r="G122" i="1"/>
  <c r="G130" i="1"/>
  <c r="J199" i="1"/>
  <c r="N199" i="1"/>
  <c r="H122" i="1"/>
  <c r="H130" i="1"/>
  <c r="L199" i="1"/>
  <c r="P199" i="1"/>
  <c r="AC199" i="1"/>
  <c r="K199" i="1"/>
  <c r="AD199" i="1"/>
  <c r="M199" i="1"/>
  <c r="M107" i="1"/>
  <c r="O199" i="1"/>
  <c r="M121" i="1"/>
  <c r="M129" i="1" s="1"/>
  <c r="I107" i="1"/>
  <c r="AC107" i="1"/>
  <c r="AD111" i="1"/>
  <c r="AD121" i="1"/>
  <c r="AD129" i="1" s="1"/>
  <c r="AD208" i="1" s="1"/>
  <c r="K107" i="1"/>
  <c r="K121" i="1"/>
  <c r="O121" i="1"/>
  <c r="O129" i="1" s="1"/>
  <c r="O107" i="1"/>
  <c r="L107" i="1"/>
  <c r="L121" i="1"/>
  <c r="L111" i="1"/>
  <c r="P111" i="1"/>
  <c r="P130" i="1"/>
  <c r="P131" i="1" s="1"/>
  <c r="AC350" i="1" l="1"/>
  <c r="AC146" i="1"/>
  <c r="AE146" i="1"/>
  <c r="AE147" i="1" s="1"/>
  <c r="AC147" i="1"/>
  <c r="C12" i="2"/>
  <c r="C14" i="2" s="1"/>
  <c r="D5" i="2"/>
  <c r="AC352" i="1"/>
  <c r="AC356" i="1" s="1"/>
  <c r="AC359" i="1" s="1"/>
  <c r="AC349" i="1"/>
  <c r="AD352" i="1"/>
  <c r="AD356" i="1" s="1"/>
  <c r="AD359" i="1" s="1"/>
  <c r="AD349" i="1"/>
  <c r="AF349" i="1"/>
  <c r="AJ349" i="1" s="1"/>
  <c r="AD350" i="1"/>
  <c r="V249" i="1"/>
  <c r="V111" i="1"/>
  <c r="V121" i="1"/>
  <c r="L122" i="1"/>
  <c r="L129" i="1"/>
  <c r="K122" i="1"/>
  <c r="K129" i="1"/>
  <c r="N111" i="1"/>
  <c r="O122" i="1"/>
  <c r="G133" i="1"/>
  <c r="G135" i="1" s="1"/>
  <c r="G131" i="1"/>
  <c r="H133" i="1"/>
  <c r="H135" i="1" s="1"/>
  <c r="H131" i="1"/>
  <c r="N121" i="1"/>
  <c r="N129" i="1" s="1"/>
  <c r="M130" i="1"/>
  <c r="M122" i="1"/>
  <c r="AD130" i="1"/>
  <c r="AD135" i="1" s="1"/>
  <c r="AD122" i="1"/>
  <c r="I111" i="1"/>
  <c r="I121" i="1"/>
  <c r="I130" i="1" s="1"/>
  <c r="AC111" i="1"/>
  <c r="AC121" i="1"/>
  <c r="AC129" i="1" s="1"/>
  <c r="AC143" i="1" s="1"/>
  <c r="AC208" i="1" s="1"/>
  <c r="K130" i="1"/>
  <c r="K131" i="1" s="1"/>
  <c r="K111" i="1"/>
  <c r="O130" i="1"/>
  <c r="O131" i="1" s="1"/>
  <c r="O111" i="1"/>
  <c r="P135" i="1"/>
  <c r="P133" i="1"/>
  <c r="L130" i="1"/>
  <c r="AC358" i="1" l="1"/>
  <c r="AD358" i="1"/>
  <c r="D10" i="4"/>
  <c r="D10" i="2"/>
  <c r="E10" i="2"/>
  <c r="D37" i="2"/>
  <c r="C37" i="2"/>
  <c r="C40" i="2"/>
  <c r="E37" i="2"/>
  <c r="AI82" i="1"/>
  <c r="V122" i="1"/>
  <c r="V130" i="1"/>
  <c r="V129" i="1"/>
  <c r="L133" i="1"/>
  <c r="L135" i="1" s="1"/>
  <c r="L131" i="1"/>
  <c r="I133" i="1"/>
  <c r="I135" i="1" s="1"/>
  <c r="I131" i="1"/>
  <c r="M133" i="1"/>
  <c r="M135" i="1" s="1"/>
  <c r="M131" i="1"/>
  <c r="AD133" i="1"/>
  <c r="F24" i="13" s="1"/>
  <c r="AD131" i="1"/>
  <c r="N130" i="1"/>
  <c r="N131" i="1" s="1"/>
  <c r="N122" i="1"/>
  <c r="AC130" i="1"/>
  <c r="AC133" i="1" s="1"/>
  <c r="E24" i="13" s="1"/>
  <c r="AC122" i="1"/>
  <c r="K133" i="1"/>
  <c r="O133" i="1"/>
  <c r="O135" i="1"/>
  <c r="E20" i="11" l="1"/>
  <c r="AC250" i="1"/>
  <c r="V131" i="1"/>
  <c r="V135" i="1"/>
  <c r="V133" i="1"/>
  <c r="V250" i="1" s="1"/>
  <c r="AD250" i="1"/>
  <c r="AC135" i="1"/>
  <c r="AC131" i="1"/>
  <c r="N135" i="1"/>
  <c r="N133" i="1"/>
  <c r="K135" i="1"/>
  <c r="L7" i="4" l="1"/>
  <c r="L6" i="4"/>
  <c r="L8" i="4" l="1"/>
  <c r="L4" i="4" l="1"/>
  <c r="L10" i="4"/>
  <c r="F3" i="4" l="1"/>
  <c r="F7" i="4" l="1"/>
  <c r="F4" i="4" l="1"/>
  <c r="AQ105" i="1" l="1"/>
  <c r="AR105" i="1"/>
  <c r="AS105" i="1"/>
  <c r="AT105" i="1"/>
  <c r="AU105" i="1"/>
  <c r="G60" i="8"/>
  <c r="D77" i="8"/>
  <c r="I15" i="12"/>
  <c r="J15" i="12" l="1"/>
  <c r="I20" i="12"/>
  <c r="C70" i="12"/>
  <c r="I28" i="12" l="1"/>
  <c r="I26" i="12"/>
  <c r="G70" i="12"/>
  <c r="K15" i="12"/>
  <c r="J20" i="12"/>
  <c r="C71" i="12"/>
  <c r="L15" i="12" l="1"/>
  <c r="C72" i="12"/>
  <c r="K20" i="12"/>
  <c r="G71" i="12"/>
  <c r="J26" i="12"/>
  <c r="J28" i="12"/>
  <c r="K28" i="12" l="1"/>
  <c r="K26" i="12"/>
  <c r="G72" i="12"/>
  <c r="M15" i="12"/>
  <c r="L20" i="12"/>
  <c r="C73" i="12"/>
  <c r="G73" i="12" l="1"/>
  <c r="L26" i="12"/>
  <c r="E57" i="12"/>
  <c r="O15" i="12"/>
  <c r="C74" i="12"/>
  <c r="M20" i="12"/>
  <c r="L28" i="12"/>
  <c r="M28" i="12" l="1"/>
  <c r="D49" i="12" s="1"/>
  <c r="D50" i="12" s="1"/>
  <c r="M26" i="12"/>
  <c r="G74" i="12"/>
  <c r="O17" i="12"/>
  <c r="O18" i="12" s="1"/>
  <c r="C75" i="12"/>
  <c r="P28" i="12" l="1"/>
  <c r="F75" i="12"/>
  <c r="E75" i="12"/>
  <c r="I17" i="12" l="1"/>
  <c r="I18" i="12" s="1"/>
  <c r="D70" i="12"/>
  <c r="E70" i="12" l="1"/>
  <c r="F70" i="12"/>
  <c r="H70" i="12" s="1"/>
  <c r="I29" i="12"/>
  <c r="I19" i="12"/>
  <c r="I21" i="12"/>
  <c r="I22" i="12" l="1"/>
  <c r="I25" i="12"/>
  <c r="J17" i="12"/>
  <c r="E71" i="12" s="1"/>
  <c r="D71" i="12"/>
  <c r="J18" i="12" l="1"/>
  <c r="J19" i="12" s="1"/>
  <c r="F71" i="12" l="1"/>
  <c r="H71" i="12" s="1"/>
  <c r="J21" i="12"/>
  <c r="J22" i="12" s="1"/>
  <c r="J29" i="12"/>
  <c r="K17" i="12"/>
  <c r="K18" i="12" s="1"/>
  <c r="D72" i="12"/>
  <c r="J25" i="12" l="1"/>
  <c r="E72" i="12"/>
  <c r="K19" i="12"/>
  <c r="K29" i="12"/>
  <c r="K21" i="12"/>
  <c r="F72" i="12"/>
  <c r="H72" i="12" s="1"/>
  <c r="K22" i="12" l="1"/>
  <c r="K25" i="12"/>
  <c r="L17" i="12"/>
  <c r="L18" i="12" s="1"/>
  <c r="D73" i="12"/>
  <c r="E73" i="12" l="1"/>
  <c r="F73" i="12"/>
  <c r="H73" i="12" s="1"/>
  <c r="L29" i="12"/>
  <c r="L19" i="12"/>
  <c r="L21" i="12"/>
  <c r="L22" i="12" l="1"/>
  <c r="L25" i="12"/>
  <c r="M17" i="12"/>
  <c r="M18" i="12" s="1"/>
  <c r="E58" i="12"/>
  <c r="D74" i="12"/>
  <c r="E74" i="12" l="1"/>
  <c r="M29" i="12"/>
  <c r="D53" i="12" s="1"/>
  <c r="F74" i="12"/>
  <c r="H74" i="12" s="1"/>
  <c r="M19" i="12"/>
  <c r="M21" i="12"/>
  <c r="D51" i="12"/>
  <c r="D52" i="12" s="1"/>
  <c r="E61" i="12" s="1"/>
  <c r="C32" i="12" l="1"/>
  <c r="C34" i="12" s="1"/>
  <c r="C35" i="12" s="1"/>
  <c r="M22" i="12"/>
  <c r="M25" i="12"/>
  <c r="C31" i="12" s="1"/>
  <c r="C36" i="12" l="1"/>
  <c r="C39" i="12" s="1"/>
  <c r="C41" i="12" s="1"/>
  <c r="C43" i="12" s="1"/>
  <c r="C45" i="12" s="1"/>
  <c r="D2" i="12" l="1"/>
  <c r="C46" i="12"/>
  <c r="BN108" i="1"/>
  <c r="F19" i="8" l="1"/>
  <c r="F21" i="8" l="1"/>
  <c r="F28" i="8" s="1"/>
  <c r="G28" i="8" s="1"/>
  <c r="Q28" i="8" s="1"/>
  <c r="Q19" i="8"/>
  <c r="F23" i="8"/>
  <c r="F22" i="8" l="1"/>
  <c r="Q23" i="8"/>
  <c r="F32" i="8"/>
  <c r="Q21" i="8"/>
  <c r="Q22" i="8" s="1"/>
  <c r="G69" i="8"/>
  <c r="H69" i="8" s="1"/>
  <c r="F24" i="8"/>
  <c r="F29" i="8"/>
  <c r="F27" i="8"/>
  <c r="G24" i="8"/>
  <c r="G29" i="8"/>
  <c r="Q29" i="8" s="1"/>
  <c r="E62" i="8" l="1"/>
  <c r="D55" i="8"/>
  <c r="D26" i="9" l="1"/>
  <c r="D20" i="9" s="1"/>
  <c r="O27" i="12"/>
  <c r="O20" i="12" s="1"/>
  <c r="E26" i="10"/>
  <c r="E20" i="10" s="1"/>
  <c r="E26" i="9"/>
  <c r="E20" i="9" s="1"/>
  <c r="E19" i="9" l="1"/>
  <c r="E25" i="9"/>
  <c r="E21" i="9"/>
  <c r="E27" i="10"/>
  <c r="E19" i="10"/>
  <c r="E21" i="10"/>
  <c r="E25" i="10"/>
  <c r="O21" i="12"/>
  <c r="G75" i="12"/>
  <c r="H75" i="12" s="1"/>
  <c r="O28" i="12"/>
  <c r="O29" i="12" s="1"/>
  <c r="O19" i="12"/>
  <c r="C5" i="12" s="1"/>
  <c r="D27" i="9"/>
  <c r="D21" i="9"/>
  <c r="D19" i="9"/>
  <c r="E27" i="9" l="1"/>
  <c r="D28" i="9"/>
  <c r="E22" i="10"/>
  <c r="E24" i="10"/>
  <c r="F22" i="10"/>
  <c r="F27" i="10"/>
  <c r="E28" i="10"/>
  <c r="E22" i="9"/>
  <c r="E24" i="9"/>
  <c r="F22" i="9"/>
  <c r="H4" i="4"/>
  <c r="O25" i="12"/>
  <c r="O22" i="12"/>
  <c r="D24" i="9"/>
  <c r="D22" i="9"/>
  <c r="F28" i="10" l="1"/>
  <c r="G27" i="10"/>
  <c r="F27" i="9"/>
  <c r="E28" i="9"/>
  <c r="F28" i="9" l="1"/>
  <c r="G27" i="9"/>
  <c r="G28" i="10"/>
  <c r="H27" i="10"/>
  <c r="I27" i="10" l="1"/>
  <c r="H28" i="10"/>
  <c r="H27" i="9"/>
  <c r="G28" i="9"/>
  <c r="I27" i="9" l="1"/>
  <c r="H28" i="9"/>
  <c r="I28" i="10"/>
  <c r="J27" i="10"/>
  <c r="J28" i="10" l="1"/>
  <c r="J27" i="9"/>
  <c r="I28" i="9"/>
  <c r="J28" i="9" l="1"/>
  <c r="F9" i="4" l="1"/>
  <c r="E16" i="11" l="1"/>
  <c r="F10" i="4"/>
  <c r="H9" i="4" l="1"/>
  <c r="H10" i="4" l="1"/>
  <c r="E17" i="11"/>
  <c r="E19" i="11" s="1"/>
  <c r="J9" i="4" l="1"/>
  <c r="J10" i="4" l="1"/>
  <c r="D2" i="9" l="1"/>
  <c r="C5" i="9"/>
  <c r="K14" i="9"/>
  <c r="L14" i="9"/>
  <c r="M14" i="9"/>
  <c r="K15" i="9"/>
  <c r="L15" i="9"/>
  <c r="M15" i="9"/>
  <c r="K17" i="9"/>
  <c r="L17" i="9"/>
  <c r="M17" i="9"/>
  <c r="K18" i="9"/>
  <c r="L18" i="9"/>
  <c r="M18" i="9"/>
  <c r="K19" i="9"/>
  <c r="L19" i="9"/>
  <c r="M19" i="9"/>
  <c r="K20" i="9"/>
  <c r="L20" i="9"/>
  <c r="M20" i="9"/>
  <c r="K21" i="9"/>
  <c r="L21" i="9"/>
  <c r="M21" i="9"/>
  <c r="K22" i="9"/>
  <c r="L22" i="9"/>
  <c r="M22" i="9"/>
  <c r="K24" i="9"/>
  <c r="L24" i="9"/>
  <c r="M24" i="9"/>
  <c r="K25" i="9"/>
  <c r="L25" i="9"/>
  <c r="M25" i="9"/>
  <c r="K27" i="9"/>
  <c r="L27" i="9"/>
  <c r="M27" i="9"/>
  <c r="K28" i="9"/>
  <c r="L28" i="9"/>
  <c r="M28" i="9"/>
  <c r="C29" i="9"/>
  <c r="C30" i="9"/>
  <c r="D31" i="9"/>
  <c r="C32" i="9"/>
  <c r="C33" i="9"/>
  <c r="C34" i="9"/>
  <c r="C37" i="9"/>
  <c r="C39" i="9"/>
  <c r="C41" i="9"/>
  <c r="C43" i="9"/>
  <c r="C44" i="9"/>
  <c r="D6" i="8"/>
  <c r="I12" i="8"/>
  <c r="J12" i="8"/>
  <c r="K12" i="8"/>
  <c r="L12" i="8"/>
  <c r="M12" i="8"/>
  <c r="O12" i="8"/>
  <c r="R12" i="8"/>
  <c r="S12" i="8"/>
  <c r="T12" i="8"/>
  <c r="I13" i="8"/>
  <c r="J13" i="8"/>
  <c r="K13" i="8"/>
  <c r="L13" i="8"/>
  <c r="M13" i="8"/>
  <c r="I14" i="8"/>
  <c r="J14" i="8"/>
  <c r="K14" i="8"/>
  <c r="L14" i="8"/>
  <c r="M14" i="8"/>
  <c r="O14" i="8"/>
  <c r="R14" i="8"/>
  <c r="S14" i="8"/>
  <c r="T14" i="8"/>
  <c r="I15" i="8"/>
  <c r="J15" i="8"/>
  <c r="K15" i="8"/>
  <c r="L15" i="8"/>
  <c r="M15" i="8"/>
  <c r="R15" i="8"/>
  <c r="S15" i="8"/>
  <c r="I16" i="8"/>
  <c r="J16" i="8"/>
  <c r="K16" i="8"/>
  <c r="L16" i="8"/>
  <c r="M16" i="8"/>
  <c r="O16" i="8"/>
  <c r="R16" i="8"/>
  <c r="S16" i="8"/>
  <c r="T16" i="8"/>
  <c r="H17" i="8"/>
  <c r="I17" i="8"/>
  <c r="J17" i="8"/>
  <c r="K17" i="8"/>
  <c r="L17" i="8"/>
  <c r="M17" i="8"/>
  <c r="O17" i="8"/>
  <c r="R17" i="8"/>
  <c r="S17" i="8"/>
  <c r="T17" i="8"/>
  <c r="H18" i="8"/>
  <c r="I18" i="8"/>
  <c r="J18" i="8"/>
  <c r="K18" i="8"/>
  <c r="L18" i="8"/>
  <c r="M18" i="8"/>
  <c r="O18" i="8"/>
  <c r="R18" i="8"/>
  <c r="S18" i="8"/>
  <c r="T18" i="8"/>
  <c r="H19" i="8"/>
  <c r="I19" i="8"/>
  <c r="J19" i="8"/>
  <c r="K19" i="8"/>
  <c r="L19" i="8"/>
  <c r="M19" i="8"/>
  <c r="O19" i="8"/>
  <c r="R19" i="8"/>
  <c r="S19" i="8"/>
  <c r="T19" i="8"/>
  <c r="H20" i="8"/>
  <c r="I20" i="8"/>
  <c r="J20" i="8"/>
  <c r="K20" i="8"/>
  <c r="L20" i="8"/>
  <c r="M20" i="8"/>
  <c r="O20" i="8"/>
  <c r="R20" i="8"/>
  <c r="S20" i="8"/>
  <c r="T20" i="8"/>
  <c r="H21" i="8"/>
  <c r="I21" i="8"/>
  <c r="J21" i="8"/>
  <c r="K21" i="8"/>
  <c r="L21" i="8"/>
  <c r="M21" i="8"/>
  <c r="O21" i="8"/>
  <c r="R21" i="8"/>
  <c r="S21" i="8"/>
  <c r="T21" i="8"/>
  <c r="H22" i="8"/>
  <c r="I22" i="8"/>
  <c r="J22" i="8"/>
  <c r="K22" i="8"/>
  <c r="L22" i="8"/>
  <c r="M22" i="8"/>
  <c r="O22" i="8"/>
  <c r="R22" i="8"/>
  <c r="S22" i="8"/>
  <c r="H23" i="8"/>
  <c r="I23" i="8"/>
  <c r="J23" i="8"/>
  <c r="K23" i="8"/>
  <c r="L23" i="8"/>
  <c r="M23" i="8"/>
  <c r="O23" i="8"/>
  <c r="R23" i="8"/>
  <c r="S23" i="8"/>
  <c r="T23" i="8"/>
  <c r="H24" i="8"/>
  <c r="I24" i="8"/>
  <c r="J24" i="8"/>
  <c r="K24" i="8"/>
  <c r="L24" i="8"/>
  <c r="M24" i="8"/>
  <c r="O24" i="8"/>
  <c r="H27" i="8"/>
  <c r="I27" i="8"/>
  <c r="J27" i="8"/>
  <c r="K27" i="8"/>
  <c r="L27" i="8"/>
  <c r="M27" i="8"/>
  <c r="O27" i="8"/>
  <c r="H28" i="8"/>
  <c r="I28" i="8"/>
  <c r="J28" i="8"/>
  <c r="K28" i="8"/>
  <c r="L28" i="8"/>
  <c r="M28" i="8"/>
  <c r="O28" i="8"/>
  <c r="R28" i="8"/>
  <c r="S28" i="8"/>
  <c r="T28" i="8"/>
  <c r="H29" i="8"/>
  <c r="I29" i="8"/>
  <c r="J29" i="8"/>
  <c r="K29" i="8"/>
  <c r="L29" i="8"/>
  <c r="M29" i="8"/>
  <c r="R29" i="8"/>
  <c r="S29" i="8"/>
  <c r="H30" i="8"/>
  <c r="I30" i="8"/>
  <c r="J30" i="8"/>
  <c r="K30" i="8"/>
  <c r="L30" i="8"/>
  <c r="M30" i="8"/>
  <c r="H31" i="8"/>
  <c r="I31" i="8"/>
  <c r="J31" i="8"/>
  <c r="K31" i="8"/>
  <c r="L31" i="8"/>
  <c r="M31" i="8"/>
  <c r="H32" i="8"/>
  <c r="I32" i="8"/>
  <c r="J32" i="8"/>
  <c r="K32" i="8"/>
  <c r="L32" i="8"/>
  <c r="M32" i="8"/>
  <c r="C33" i="8"/>
  <c r="C34" i="8"/>
  <c r="C36" i="8"/>
  <c r="C37" i="8"/>
  <c r="C38" i="8"/>
  <c r="C41" i="8"/>
  <c r="C43" i="8"/>
  <c r="C45" i="8"/>
  <c r="C47" i="8"/>
  <c r="C48" i="8"/>
  <c r="D51" i="8"/>
  <c r="D52" i="8"/>
  <c r="D53" i="8"/>
  <c r="D54" i="8"/>
  <c r="E59" i="8"/>
  <c r="E60" i="8"/>
  <c r="E63" i="8"/>
  <c r="G71" i="8"/>
  <c r="H71" i="8"/>
  <c r="C72" i="8"/>
  <c r="D72" i="8"/>
  <c r="E72" i="8"/>
  <c r="F72" i="8"/>
  <c r="G72" i="8"/>
  <c r="H72" i="8"/>
  <c r="C73" i="8"/>
  <c r="D73" i="8"/>
  <c r="E73" i="8"/>
  <c r="F73" i="8"/>
  <c r="G73" i="8"/>
  <c r="H73" i="8"/>
  <c r="C74" i="8"/>
  <c r="D74" i="8"/>
  <c r="E74" i="8"/>
  <c r="F74" i="8"/>
  <c r="G74" i="8"/>
  <c r="H74" i="8"/>
  <c r="C75" i="8"/>
  <c r="D75" i="8"/>
  <c r="E75" i="8"/>
  <c r="F75" i="8"/>
  <c r="G75" i="8"/>
  <c r="H75" i="8"/>
  <c r="C76" i="8"/>
  <c r="D76" i="8"/>
  <c r="E76" i="8"/>
  <c r="F76" i="8"/>
  <c r="G76" i="8"/>
  <c r="H76" i="8"/>
  <c r="C77" i="8"/>
  <c r="E77" i="8"/>
  <c r="F77" i="8"/>
  <c r="G77" i="8"/>
  <c r="H77" i="8"/>
  <c r="D6" i="17"/>
  <c r="I12" i="17"/>
  <c r="J12" i="17"/>
  <c r="K12" i="17"/>
  <c r="L12" i="17"/>
  <c r="M12" i="17"/>
  <c r="O12" i="17"/>
  <c r="R12" i="17"/>
  <c r="S12" i="17"/>
  <c r="T12" i="17"/>
  <c r="I13" i="17"/>
  <c r="J13" i="17"/>
  <c r="K13" i="17"/>
  <c r="L13" i="17"/>
  <c r="M13" i="17"/>
  <c r="I14" i="17"/>
  <c r="J14" i="17"/>
  <c r="K14" i="17"/>
  <c r="L14" i="17"/>
  <c r="M14" i="17"/>
  <c r="O14" i="17"/>
  <c r="R14" i="17"/>
  <c r="S14" i="17"/>
  <c r="T14" i="17"/>
  <c r="I15" i="17"/>
  <c r="J15" i="17"/>
  <c r="K15" i="17"/>
  <c r="L15" i="17"/>
  <c r="M15" i="17"/>
  <c r="R15" i="17"/>
  <c r="S15" i="17"/>
  <c r="I16" i="17"/>
  <c r="J16" i="17"/>
  <c r="K16" i="17"/>
  <c r="L16" i="17"/>
  <c r="M16" i="17"/>
  <c r="O16" i="17"/>
  <c r="R16" i="17"/>
  <c r="S16" i="17"/>
  <c r="T16" i="17"/>
  <c r="H17" i="17"/>
  <c r="I17" i="17"/>
  <c r="J17" i="17"/>
  <c r="K17" i="17"/>
  <c r="L17" i="17"/>
  <c r="M17" i="17"/>
  <c r="O17" i="17"/>
  <c r="R17" i="17"/>
  <c r="S17" i="17"/>
  <c r="T17" i="17"/>
  <c r="H18" i="17"/>
  <c r="I18" i="17"/>
  <c r="J18" i="17"/>
  <c r="K18" i="17"/>
  <c r="L18" i="17"/>
  <c r="M18" i="17"/>
  <c r="O18" i="17"/>
  <c r="R18" i="17"/>
  <c r="S18" i="17"/>
  <c r="T18" i="17"/>
  <c r="H19" i="17"/>
  <c r="I19" i="17"/>
  <c r="J19" i="17"/>
  <c r="K19" i="17"/>
  <c r="L19" i="17"/>
  <c r="M19" i="17"/>
  <c r="O19" i="17"/>
  <c r="R19" i="17"/>
  <c r="S19" i="17"/>
  <c r="T19" i="17"/>
  <c r="H20" i="17"/>
  <c r="I20" i="17"/>
  <c r="J20" i="17"/>
  <c r="K20" i="17"/>
  <c r="L20" i="17"/>
  <c r="M20" i="17"/>
  <c r="O20" i="17"/>
  <c r="R20" i="17"/>
  <c r="S20" i="17"/>
  <c r="T20" i="17"/>
  <c r="H21" i="17"/>
  <c r="I21" i="17"/>
  <c r="J21" i="17"/>
  <c r="K21" i="17"/>
  <c r="L21" i="17"/>
  <c r="M21" i="17"/>
  <c r="O21" i="17"/>
  <c r="R21" i="17"/>
  <c r="S21" i="17"/>
  <c r="T21" i="17"/>
  <c r="H22" i="17"/>
  <c r="I22" i="17"/>
  <c r="J22" i="17"/>
  <c r="K22" i="17"/>
  <c r="L22" i="17"/>
  <c r="M22" i="17"/>
  <c r="O22" i="17"/>
  <c r="R22" i="17"/>
  <c r="S22" i="17"/>
  <c r="H23" i="17"/>
  <c r="I23" i="17"/>
  <c r="J23" i="17"/>
  <c r="K23" i="17"/>
  <c r="L23" i="17"/>
  <c r="M23" i="17"/>
  <c r="O23" i="17"/>
  <c r="R23" i="17"/>
  <c r="S23" i="17"/>
  <c r="T23" i="17"/>
  <c r="H24" i="17"/>
  <c r="I24" i="17"/>
  <c r="J24" i="17"/>
  <c r="K24" i="17"/>
  <c r="L24" i="17"/>
  <c r="M24" i="17"/>
  <c r="O24" i="17"/>
  <c r="H27" i="17"/>
  <c r="I27" i="17"/>
  <c r="J27" i="17"/>
  <c r="K27" i="17"/>
  <c r="L27" i="17"/>
  <c r="M27" i="17"/>
  <c r="O27" i="17"/>
  <c r="H28" i="17"/>
  <c r="I28" i="17"/>
  <c r="J28" i="17"/>
  <c r="K28" i="17"/>
  <c r="L28" i="17"/>
  <c r="M28" i="17"/>
  <c r="O28" i="17"/>
  <c r="R28" i="17"/>
  <c r="S28" i="17"/>
  <c r="T28" i="17"/>
  <c r="H29" i="17"/>
  <c r="I29" i="17"/>
  <c r="J29" i="17"/>
  <c r="K29" i="17"/>
  <c r="L29" i="17"/>
  <c r="M29" i="17"/>
  <c r="R29" i="17"/>
  <c r="S29" i="17"/>
  <c r="H30" i="17"/>
  <c r="I30" i="17"/>
  <c r="J30" i="17"/>
  <c r="K30" i="17"/>
  <c r="L30" i="17"/>
  <c r="M30" i="17"/>
  <c r="H31" i="17"/>
  <c r="I31" i="17"/>
  <c r="J31" i="17"/>
  <c r="K31" i="17"/>
  <c r="L31" i="17"/>
  <c r="M31" i="17"/>
  <c r="H32" i="17"/>
  <c r="I32" i="17"/>
  <c r="J32" i="17"/>
  <c r="K32" i="17"/>
  <c r="L32" i="17"/>
  <c r="M32" i="17"/>
  <c r="C33" i="17"/>
  <c r="C34" i="17"/>
  <c r="C36" i="17"/>
  <c r="C37" i="17"/>
  <c r="C38" i="17"/>
  <c r="C41" i="17"/>
  <c r="C43" i="17"/>
  <c r="C45" i="17"/>
  <c r="C47" i="17"/>
  <c r="C48" i="17"/>
  <c r="D51" i="17"/>
  <c r="D52" i="17"/>
  <c r="D53" i="17"/>
  <c r="D54" i="17"/>
  <c r="E59" i="17"/>
  <c r="E60" i="17"/>
  <c r="E63" i="17"/>
  <c r="G71" i="17"/>
  <c r="H71" i="17"/>
  <c r="C72" i="17"/>
  <c r="D72" i="17"/>
  <c r="E72" i="17"/>
  <c r="F72" i="17"/>
  <c r="G72" i="17"/>
  <c r="H72" i="17"/>
  <c r="C73" i="17"/>
  <c r="D73" i="17"/>
  <c r="E73" i="17"/>
  <c r="F73" i="17"/>
  <c r="G73" i="17"/>
  <c r="H73" i="17"/>
  <c r="C74" i="17"/>
  <c r="D74" i="17"/>
  <c r="E74" i="17"/>
  <c r="F74" i="17"/>
  <c r="G74" i="17"/>
  <c r="H74" i="17"/>
  <c r="C75" i="17"/>
  <c r="D75" i="17"/>
  <c r="E75" i="17"/>
  <c r="F75" i="17"/>
  <c r="G75" i="17"/>
  <c r="H75" i="17"/>
  <c r="C76" i="17"/>
  <c r="D76" i="17"/>
  <c r="E76" i="17"/>
  <c r="F76" i="17"/>
  <c r="G76" i="17"/>
  <c r="H76" i="17"/>
  <c r="C77" i="17"/>
  <c r="E77" i="17"/>
  <c r="F77" i="17"/>
  <c r="G77" i="17"/>
  <c r="H77" i="17"/>
  <c r="D2" i="10"/>
  <c r="C5" i="10"/>
  <c r="K14" i="10"/>
  <c r="L14" i="10"/>
  <c r="M14" i="10"/>
  <c r="K15" i="10"/>
  <c r="L15" i="10"/>
  <c r="M15" i="10"/>
  <c r="K17" i="10"/>
  <c r="L17" i="10"/>
  <c r="M17" i="10"/>
  <c r="K18" i="10"/>
  <c r="L18" i="10"/>
  <c r="M18" i="10"/>
  <c r="K19" i="10"/>
  <c r="L19" i="10"/>
  <c r="M19" i="10"/>
  <c r="K20" i="10"/>
  <c r="L20" i="10"/>
  <c r="M20" i="10"/>
  <c r="K21" i="10"/>
  <c r="L21" i="10"/>
  <c r="M21" i="10"/>
  <c r="K22" i="10"/>
  <c r="L22" i="10"/>
  <c r="M22" i="10"/>
  <c r="K24" i="10"/>
  <c r="L24" i="10"/>
  <c r="M24" i="10"/>
  <c r="K25" i="10"/>
  <c r="L25" i="10"/>
  <c r="M25" i="10"/>
  <c r="K27" i="10"/>
  <c r="L27" i="10"/>
  <c r="M27" i="10"/>
  <c r="K28" i="10"/>
  <c r="L28" i="10"/>
  <c r="M28" i="10"/>
  <c r="C29" i="10"/>
  <c r="C30" i="10"/>
  <c r="D31" i="10"/>
  <c r="C32" i="10"/>
  <c r="C33" i="10"/>
  <c r="C34" i="10"/>
  <c r="C37" i="10"/>
  <c r="C39" i="10"/>
  <c r="C41" i="10"/>
  <c r="C43" i="10"/>
  <c r="C44" i="10"/>
  <c r="AQ86" i="1"/>
  <c r="AR86" i="1"/>
  <c r="AS86" i="1"/>
  <c r="AT86" i="1"/>
  <c r="AU86" i="1"/>
  <c r="AV86" i="1"/>
  <c r="AW86" i="1"/>
  <c r="AX86" i="1"/>
  <c r="AY86" i="1"/>
  <c r="AZ86" i="1"/>
  <c r="BA86" i="1"/>
  <c r="BB86" i="1"/>
  <c r="BC86" i="1"/>
  <c r="BD86" i="1"/>
  <c r="BE86" i="1"/>
  <c r="BF86" i="1"/>
  <c r="BG86" i="1"/>
  <c r="BH86" i="1"/>
  <c r="BI86" i="1"/>
  <c r="BJ86" i="1"/>
  <c r="BK86" i="1"/>
  <c r="BL86" i="1"/>
  <c r="BM86" i="1"/>
  <c r="AQ87" i="1"/>
  <c r="AR87" i="1"/>
  <c r="AS87" i="1"/>
  <c r="AT87" i="1"/>
  <c r="AU87" i="1"/>
  <c r="AV99" i="1"/>
  <c r="AW99" i="1"/>
  <c r="AX99" i="1"/>
  <c r="AY99" i="1"/>
  <c r="AZ99" i="1"/>
  <c r="BA99" i="1"/>
  <c r="BB99" i="1"/>
  <c r="BC99" i="1"/>
  <c r="BD99" i="1"/>
  <c r="BE99" i="1"/>
  <c r="BF99" i="1"/>
  <c r="BG99" i="1"/>
  <c r="BH99" i="1"/>
  <c r="BI99" i="1"/>
  <c r="BJ99" i="1"/>
  <c r="BK99" i="1"/>
  <c r="BL99" i="1"/>
  <c r="BM99" i="1"/>
  <c r="AQ100" i="1"/>
  <c r="AR100" i="1"/>
  <c r="AS100" i="1"/>
  <c r="AT100" i="1"/>
  <c r="AU100" i="1"/>
  <c r="AV100" i="1"/>
  <c r="AW100" i="1"/>
  <c r="AX100" i="1"/>
  <c r="AY100" i="1"/>
  <c r="AZ100" i="1"/>
  <c r="BA100" i="1"/>
  <c r="BB100" i="1"/>
  <c r="BC100" i="1"/>
  <c r="BD100" i="1"/>
  <c r="BE100" i="1"/>
  <c r="BF100" i="1"/>
  <c r="BG100" i="1"/>
  <c r="BH100" i="1"/>
  <c r="BI100" i="1"/>
  <c r="BJ100" i="1"/>
  <c r="BK100" i="1"/>
  <c r="BL100" i="1"/>
  <c r="BM100" i="1"/>
  <c r="AQ102" i="1"/>
  <c r="AR102" i="1"/>
  <c r="AS102" i="1"/>
  <c r="AT102" i="1"/>
  <c r="AU102" i="1"/>
  <c r="AV102" i="1"/>
  <c r="AW102" i="1"/>
  <c r="AX102" i="1"/>
  <c r="AY102" i="1"/>
  <c r="AZ102" i="1"/>
  <c r="BA102" i="1"/>
  <c r="BB102" i="1"/>
  <c r="BC102" i="1"/>
  <c r="BD102" i="1"/>
  <c r="BE102" i="1"/>
  <c r="BF102" i="1"/>
  <c r="BG102" i="1"/>
  <c r="BH102" i="1"/>
  <c r="BI102" i="1"/>
  <c r="BJ102" i="1"/>
  <c r="BK102" i="1"/>
  <c r="BL102" i="1"/>
  <c r="BM102" i="1"/>
  <c r="AQ104" i="1"/>
  <c r="AR104" i="1"/>
  <c r="AS104" i="1"/>
  <c r="AT104" i="1"/>
  <c r="AU104" i="1"/>
  <c r="AV104" i="1"/>
  <c r="AW104" i="1"/>
  <c r="AX104" i="1"/>
  <c r="AY104" i="1"/>
  <c r="AZ104" i="1"/>
  <c r="BA104" i="1"/>
  <c r="BB104" i="1"/>
  <c r="BC104" i="1"/>
  <c r="BD104" i="1"/>
  <c r="BE104" i="1"/>
  <c r="BF104" i="1"/>
  <c r="BG104" i="1"/>
  <c r="BH104" i="1"/>
  <c r="BI104" i="1"/>
  <c r="BJ104" i="1"/>
  <c r="BK104" i="1"/>
  <c r="BL104" i="1"/>
  <c r="BM104" i="1"/>
  <c r="AV105" i="1"/>
  <c r="AW105" i="1"/>
  <c r="AX105" i="1"/>
  <c r="AY105" i="1"/>
  <c r="AZ105" i="1"/>
  <c r="BA105" i="1"/>
  <c r="BB105" i="1"/>
  <c r="BC105" i="1"/>
  <c r="BD105" i="1"/>
  <c r="BE105" i="1"/>
  <c r="BF105" i="1"/>
  <c r="BG105" i="1"/>
  <c r="BH105" i="1"/>
  <c r="BI105" i="1"/>
  <c r="BJ105" i="1"/>
  <c r="BK105" i="1"/>
  <c r="BL105" i="1"/>
  <c r="BM105" i="1"/>
  <c r="AQ106" i="1"/>
  <c r="AR106" i="1"/>
  <c r="AS106" i="1"/>
  <c r="AT106" i="1"/>
  <c r="AU106" i="1"/>
  <c r="AV108" i="1"/>
  <c r="AW108" i="1"/>
  <c r="AX108" i="1"/>
  <c r="AY108" i="1"/>
  <c r="AZ108" i="1"/>
  <c r="BA108" i="1"/>
  <c r="BB108" i="1"/>
  <c r="BC108" i="1"/>
  <c r="BD108" i="1"/>
  <c r="BE108" i="1"/>
  <c r="BF108" i="1"/>
  <c r="BG108" i="1"/>
  <c r="BH108" i="1"/>
  <c r="BI108" i="1"/>
  <c r="BJ108" i="1"/>
  <c r="BK108" i="1"/>
  <c r="BL108" i="1"/>
  <c r="BM108" i="1"/>
  <c r="AQ109" i="1"/>
  <c r="AR109" i="1"/>
  <c r="AS109" i="1"/>
  <c r="AT109" i="1"/>
  <c r="AU109"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AQ111" i="1"/>
  <c r="AR111" i="1"/>
  <c r="AS111" i="1"/>
  <c r="AT111" i="1"/>
  <c r="AU111"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AQ138" i="1"/>
  <c r="AR138" i="1"/>
  <c r="AS138" i="1"/>
  <c r="AT138" i="1"/>
  <c r="AU138" i="1"/>
  <c r="AV138" i="1"/>
  <c r="AW138" i="1"/>
  <c r="AX138" i="1"/>
  <c r="AY138" i="1"/>
  <c r="AZ138" i="1"/>
  <c r="BA138" i="1"/>
  <c r="BB138" i="1"/>
  <c r="BC138" i="1"/>
  <c r="BD138" i="1"/>
  <c r="BE138" i="1"/>
  <c r="BF138" i="1"/>
  <c r="BG138" i="1"/>
  <c r="BH138" i="1"/>
  <c r="BI138" i="1"/>
  <c r="BJ138" i="1"/>
  <c r="BK138" i="1"/>
  <c r="BL138" i="1"/>
  <c r="BM138" i="1"/>
  <c r="AQ140" i="1"/>
  <c r="AR140" i="1"/>
  <c r="AS140" i="1"/>
  <c r="AT140" i="1"/>
  <c r="AU140" i="1"/>
  <c r="AV140" i="1"/>
  <c r="AW140" i="1"/>
  <c r="AX140" i="1"/>
  <c r="AY140" i="1"/>
  <c r="AZ140" i="1"/>
  <c r="BA140" i="1"/>
  <c r="BB140" i="1"/>
  <c r="BC140" i="1"/>
  <c r="BD140" i="1"/>
  <c r="BE140" i="1"/>
  <c r="BF140" i="1"/>
  <c r="BG140" i="1"/>
  <c r="BH140" i="1"/>
  <c r="BI140" i="1"/>
  <c r="BJ140" i="1"/>
  <c r="BK140" i="1"/>
  <c r="BL140" i="1"/>
  <c r="BM140" i="1"/>
  <c r="AQ144" i="1"/>
  <c r="AR144" i="1"/>
  <c r="AS144" i="1"/>
  <c r="AT144" i="1"/>
  <c r="AU1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tc={CBF33A36-2B33-47AC-8EF0-85A9537EEBC9}</author>
    <author>tc={06384A41-FF19-47F0-BBE2-050FFEA8EB09}</author>
  </authors>
  <commentList>
    <comment ref="C10" authorId="0" shapeId="0" xr:uid="{CBF33A36-2B33-47AC-8EF0-85A9537EEBC9}">
      <text>
        <t xml:space="preserve">[Threaded comment]
Your version of Excel allows you to read this threaded comment; however, any edits to it will get removed if the file is opened in a newer version of Excel. Learn more: https://go.microsoft.com/fwlink/?linkid=870924
Comment:
    See pg.156 of 224 of FY 2025 financials. </t>
      </text>
    </comment>
    <comment ref="C45" authorId="1" shapeId="0" xr:uid="{06384A41-FF19-47F0-BBE2-050FFEA8EB09}">
      <text>
        <t xml:space="preserve">[Threaded comment]
Your version of Excel allows you to read this threaded comment; however, any edits to it will get removed if the file is opened in a newer version of Excel. Learn more: https://go.microsoft.com/fwlink/?linkid=870924
Comment:
     the company now holds contracted sales of over EUR 7 billion. At the same time, its engagement in the space and defence sectors continues to grow steadily, underlining its ambition to set global standards as a fully integrated technology partner for OEMs and Tier 1s.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tc={822FB549-6D27-41DC-B265-7A849D7C1926}</author>
    <author>tc={54A65A63-393E-4E2D-AB1E-AC4F33521733}</author>
    <author>tc={CB975CA5-D8AB-4BFB-9251-5FF6B24EE8C7}</author>
    <author>tc={259AC053-C61E-4F38-8AB0-A9DB6EE2049B}</author>
    <author>tc={2615B2FD-132E-4A70-9A96-E3B735A8C0D8}</author>
    <author>tc={3B0B4AB7-0DDF-409C-AC1F-B7F20B9F317B}</author>
    <author>tc={D406E6B6-C189-4871-B9E6-9ADC85897914}</author>
    <author>tc={9B4CC1BB-71E6-4F33-8DDA-DB0F92FDEE2E}</author>
    <author>tc={99D0B89C-8901-4FE6-9E9D-B67AAB6671D7}</author>
    <author>tc={8C3371CA-2F1A-4C7A-BF41-796A6DDB5D50}</author>
    <author>tc={3ABDD7F8-B000-4CB1-8CB2-BB5F34A4B7E1}</author>
    <author>tc={C77864BA-CDBE-4195-B69D-11681FB11290}</author>
    <author>tc={3F0DA0D9-DBD9-42D7-8149-A5F3E988E458}</author>
    <author>tc={8D47683C-8E98-424E-82EE-65B90DC729B9}</author>
    <author>tc={4E474365-C684-4704-B8B5-7906360034F0}</author>
    <author>tc={B0BED374-032F-43D7-8BBA-904D2C54AAC9}</author>
    <author>tc={F744BFDB-2D00-442C-9869-18CAAF3DC2B9}</author>
    <author>tc={D885628A-A43A-42F6-B789-CDE0868D644A}</author>
    <author>tc={C030D4BD-54B5-4995-B184-24B822DE184B}</author>
    <author>tc={F5E945FC-37BC-4642-BA54-246CFE8B033A}</author>
    <author>tc={3B2D5633-D5C8-4A42-B738-E885FE845875}</author>
    <author>tc={1C9E3A5A-8AF3-42F6-B57B-8FB072A14AE5}</author>
    <author>tc={55541752-1FDD-403F-9A54-C76BF9B22BFF}</author>
  </authors>
  <commentList>
    <comment ref="K2" authorId="0" shapeId="0" xr:uid="{822FB549-6D27-41DC-B265-7A849D7C1926}">
      <text>
        <t>[Threaded comment]
Your version of Excel allows you to read this threaded comment; however, any edits to it will get removed if the file is opened in a newer version of Excel. Learn more: https://go.microsoft.com/fwlink/?linkid=870924
Comment:
    Restated</t>
      </text>
    </comment>
    <comment ref="AL10" authorId="1" shapeId="0" xr:uid="{54A65A63-393E-4E2D-AB1E-AC4F33521733}">
      <text>
        <t>[Threaded comment]
Your version of Excel allows you to read this threaded comment; however, any edits to it will get removed if the file is opened in a newer version of Excel. Learn more: https://go.microsoft.com/fwlink/?linkid=870924
Comment:
    Management guided in March 2026</t>
      </text>
    </comment>
    <comment ref="V13" authorId="2" shapeId="0" xr:uid="{CB975CA5-D8AB-4BFB-9251-5FF6B24EE8C7}">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AC13" authorId="3" shapeId="0" xr:uid="{259AC053-C61E-4F38-8AB0-A9DB6EE2049B}">
      <text>
        <t xml:space="preserve">[Threaded comment]
Your version of Excel allows you to read this threaded comment; however, any edits to it will get removed if the file is opened in a newer version of Excel. Learn more: https://go.microsoft.com/fwlink/?linkid=870924
Comment:
    In FY23, the Aerostructures segment achieved net sales of €704.5 million(+10.7% vs. FY22)-Spurred by sales wins (e.g., Airbus Atlantic, Boeing, GKN Fokker)-Penetrating commercial space market with new contract </t>
      </text>
    </comment>
    <comment ref="AF34" authorId="4" shapeId="0" xr:uid="{2615B2FD-132E-4A70-9A96-E3B735A8C0D8}">
      <text>
        <t>[Threaded comment]
Your version of Excel allows you to read this threaded comment; however, any edits to it will get removed if the file is opened in a newer version of Excel. Learn more: https://go.microsoft.com/fwlink/?linkid=870924
Comment:
    Last year’s figures were only for the last 4 months of 2024</t>
      </text>
    </comment>
    <comment ref="V49" authorId="5" shapeId="0" xr:uid="{3B0B4AB7-0DDF-409C-AC1F-B7F20B9F317B}">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V60" authorId="6" shapeId="0" xr:uid="{D406E6B6-C189-4871-B9E6-9ADC85897914}">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AD68" authorId="7" shapeId="0" xr:uid="{9B4CC1BB-71E6-4F33-8DDA-DB0F92FDEE2E}">
      <text>
        <t xml:space="preserve">[Threaded comment]
Your version of Excel allows you to read this threaded comment; however, any edits to it will get removed if the file is opened in a newer version of Excel. Learn more: https://go.microsoft.com/fwlink/?linkid=870924
Comment:
    Represents Alpine metal Tech segment. Then labeled under “All other segments” prior to 2025. </t>
      </text>
    </comment>
    <comment ref="K85" authorId="8" shapeId="0" xr:uid="{99D0B89C-8901-4FE6-9E9D-B67AAB6671D7}">
      <text>
        <t>[Threaded comment]
Your version of Excel allows you to read this threaded comment; however, any edits to it will get removed if the file is opened in a newer version of Excel. Learn more: https://go.microsoft.com/fwlink/?linkid=870924
Comment:
    Old figures, pre-restatement</t>
      </text>
    </comment>
    <comment ref="L85" authorId="9" shapeId="0" xr:uid="{8C3371CA-2F1A-4C7A-BF41-796A6DDB5D50}">
      <text>
        <t>[Threaded comment]
Your version of Excel allows you to read this threaded comment; however, any edits to it will get removed if the file is opened in a newer version of Excel. Learn more: https://go.microsoft.com/fwlink/?linkid=870924
Comment:
    Old figures, pre-restatement</t>
      </text>
    </comment>
    <comment ref="V87" authorId="10" shapeId="0" xr:uid="{3ABDD7F8-B000-4CB1-8CB2-BB5F34A4B7E1}">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V105" authorId="11" shapeId="0" xr:uid="{C77864BA-CDBE-4195-B69D-11681FB11290}">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L133" authorId="12" shapeId="0" xr:uid="{3F0DA0D9-DBD9-42D7-8149-A5F3E988E458}">
      <text>
        <t>[Threaded comment]
Your version of Excel allows you to read this threaded comment; however, any edits to it will get removed if the file is opened in a newer version of Excel. Learn more: https://go.microsoft.com/fwlink/?linkid=870924
Comment:
    Oh my gosh. Why such a high charge from discontinued?</t>
      </text>
    </comment>
    <comment ref="P133" authorId="13" shapeId="0" xr:uid="{8D47683C-8E98-424E-82EE-65B90DC729B9}">
      <text>
        <t>[Threaded comment]
Your version of Excel allows you to read this threaded comment; however, any edits to it will get removed if the file is opened in a newer version of Excel. Learn more: https://go.microsoft.com/fwlink/?linkid=870924
Comment:
    Oh my gosh. Why such a high charge from discontinued?</t>
      </text>
    </comment>
    <comment ref="P138" authorId="14" shapeId="0" xr:uid="{4E474365-C684-4704-B8B5-7906360034F0}">
      <text>
        <t>[Threaded comment]
Your version of Excel allows you to read this threaded comment; however, any edits to it will get removed if the file is opened in a newer version of Excel. Learn more: https://go.microsoft.com/fwlink/?linkid=870924
Comment:
    Overridden</t>
      </text>
    </comment>
    <comment ref="V139" authorId="15" shapeId="0" xr:uid="{B0BED374-032F-43D7-8BBA-904D2C54AAC9}">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I185" authorId="16" shapeId="0" xr:uid="{F744BFDB-2D00-442C-9869-18CAAF3DC2B9}">
      <text>
        <t>[Threaded comment]
Your version of Excel allows you to read this threaded comment; however, any edits to it will get removed if the file is opened in a newer version of Excel. Learn more: https://go.microsoft.com/fwlink/?linkid=870924
Comment:
    Incl. Trade payables; liabilities from affiliates; and other</t>
      </text>
    </comment>
    <comment ref="B215" authorId="17" shapeId="0" xr:uid="{D885628A-A43A-42F6-B789-CDE0868D644A}">
      <text>
        <t>[Threaded comment]
Your version of Excel allows you to read this threaded comment; however, any edits to it will get removed if the file is opened in a newer version of Excel. Learn more: https://go.microsoft.com/fwlink/?linkid=870924
Comment:
    Inventory + AR - AP/Revenue</t>
      </text>
    </comment>
    <comment ref="AB227" authorId="18" shapeId="0" xr:uid="{C030D4BD-54B5-4995-B184-24B822DE184B}">
      <text>
        <t>[Threaded comment]
Your version of Excel allows you to read this threaded comment; however, any edits to it will get removed if the file is opened in a newer version of Excel. Learn more: https://go.microsoft.com/fwlink/?linkid=870924
Comment:
    Also incl.: Gains from disposals of subsidiaries and “Bargain Purchase.” see p.100 of 156 in 2022 annual.</t>
      </text>
    </comment>
    <comment ref="P228" authorId="19" shapeId="0" xr:uid="{F5E945FC-37BC-4642-BA54-246CFE8B033A}">
      <text>
        <t>[Threaded comment]
Your version of Excel allows you to read this threaded comment; however, any edits to it will get removed if the file is opened in a newer version of Excel. Learn more: https://go.microsoft.com/fwlink/?linkid=870924
Comment:
    This is an error on the part of the company. They report Eur. 97,882</t>
      </text>
    </comment>
    <comment ref="AB245" authorId="20" shapeId="0" xr:uid="{3B2D5633-D5C8-4A42-B738-E885FE845875}">
      <text>
        <t>[Threaded comment]
Your version of Excel allows you to read this threaded comment; however, any edits to it will get removed if the file is opened in a newer version of Excel. Learn more: https://go.microsoft.com/fwlink/?linkid=870924
Comment:
    “payments made for capital contribution to associates”</t>
      </text>
    </comment>
    <comment ref="B309" authorId="21" shapeId="0" xr:uid="{1C9E3A5A-8AF3-42F6-B57B-8FB072A14AE5}">
      <text>
        <t>[Threaded comment]
Your version of Excel allows you to read this threaded comment; however, any edits to it will get removed if the file is opened in a newer version of Excel. Learn more: https://go.microsoft.com/fwlink/?linkid=870924
Comment:
    Watch out for currency effects!!!</t>
      </text>
    </comment>
    <comment ref="B353" authorId="22" shapeId="0" xr:uid="{55541752-1FDD-403F-9A54-C76BF9B22BFF}">
      <text>
        <t>[Threaded comment]
Your version of Excel allows you to read this threaded comment; however, any edits to it will get removed if the file is opened in a newer version of Excel. Learn more: https://go.microsoft.com/fwlink/?linkid=870924
Comment:
    Use IS D&amp;A since this line item is associated with operating assets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tc={1BED109D-C283-4D8F-AC6A-C3A45C65A08B}</author>
    <author>tc={BE64C33B-8FF4-4AD7-9C64-12EF7310F475}</author>
  </authors>
  <commentList>
    <comment ref="B3" authorId="0" shapeId="0" xr:uid="{1BED109D-C283-4D8F-AC6A-C3A45C65A08B}">
      <text>
        <t>[Threaded comment]
Your version of Excel allows you to read this threaded comment; however, any edits to it will get removed if the file is opened in a newer version of Excel. Learn more: https://go.microsoft.com/fwlink/?linkid=870924
Comment:
    WACC taken directly from company disclosures. See FY2025 note 7 regarding intangible asset calculations. WACC assumptions are on p. 148 of244</t>
      </text>
    </comment>
    <comment ref="B4" authorId="1" shapeId="0" xr:uid="{BE64C33B-8FF4-4AD7-9C64-12EF7310F475}">
      <text>
        <t>[Threaded comment]
Your version of Excel allows you to read this threaded comment; however, any edits to it will get removed if the file is opened in a newer version of Excel. Learn more: https://go.microsoft.com/fwlink/?linkid=870924
Comment:
    Using 2.44% base (see Note 7) + 1% for aerospace industry recovery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tc={5168A047-E47A-4140-B80C-1AFF91A82A10}</author>
    <author>tc={B45E6C42-A881-427B-93F6-084CFFB67271}</author>
  </authors>
  <commentList>
    <comment ref="B3" authorId="0" shapeId="0" xr:uid="{5168A047-E47A-4140-B80C-1AFF91A82A10}">
      <text>
        <t>[Threaded comment]
Your version of Excel allows you to read this threaded comment; however, any edits to it will get removed if the file is opened in a newer version of Excel. Learn more: https://go.microsoft.com/fwlink/?linkid=870924
Comment:
    WACC taken directly from company disclosures. See FY2025 note 7 regarding intangible asset calculations. WACC assumptions are on p. 148 of244</t>
      </text>
    </comment>
    <comment ref="B4" authorId="1" shapeId="0" xr:uid="{B45E6C42-A881-427B-93F6-084CFFB67271}">
      <text>
        <t>[Threaded comment]
Your version of Excel allows you to read this threaded comment; however, any edits to it will get removed if the file is opened in a newer version of Excel. Learn more: https://go.microsoft.com/fwlink/?linkid=870924
Comment:
    Using 2.44% base (see Note 7) + 1% for aerospace industry recovery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tc={7D61B886-4DB4-401F-A187-E8A2ADD3BB58}</author>
    <author>tc={01932906-4F72-4E7F-9614-D6408F81088D}</author>
  </authors>
  <commentList>
    <comment ref="B3" authorId="0" shapeId="0" xr:uid="{7D61B886-4DB4-401F-A187-E8A2ADD3BB58}">
      <text>
        <t>[Threaded comment]
Your version of Excel allows you to read this threaded comment; however, any edits to it will get removed if the file is opened in a newer version of Excel. Learn more: https://go.microsoft.com/fwlink/?linkid=870924
Comment:
    WACC taken directly from company disclosures. See FY2025 note 7 regarding intangible asset calculations. WACC assumptions are on p. 148 of244</t>
      </text>
    </comment>
    <comment ref="B4" authorId="1" shapeId="0" xr:uid="{01932906-4F72-4E7F-9614-D6408F81088D}">
      <text>
        <t>[Threaded comment]
Your version of Excel allows you to read this threaded comment; however, any edits to it will get removed if the file is opened in a newer version of Excel. Learn more: https://go.microsoft.com/fwlink/?linkid=870924
Comment:
    Using 2.44% base (see Note 7) + 1% for aerospace industry recovery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tc={A81F9E25-2B58-4D26-93E8-A1AD58E68F4C}</author>
    <author>tc={A67C45D5-8971-4654-BBD3-CD985FC8F0E7}</author>
  </authors>
  <commentList>
    <comment ref="B3" authorId="0" shapeId="0" xr:uid="{A81F9E25-2B58-4D26-93E8-A1AD58E68F4C}">
      <text>
        <t>[Threaded comment]
Your version of Excel allows you to read this threaded comment; however, any edits to it will get removed if the file is opened in a newer version of Excel. Learn more: https://go.microsoft.com/fwlink/?linkid=870924
Comment:
    WACC taken directly from company disclosures. See FY2025 note 7 regarding intangible asset calculations. WACC assumptions are on p. 148 of244</t>
      </text>
    </comment>
    <comment ref="B4" authorId="1" shapeId="0" xr:uid="{A67C45D5-8971-4654-BBD3-CD985FC8F0E7}">
      <text>
        <t>[Threaded comment]
Your version of Excel allows you to read this threaded comment; however, any edits to it will get removed if the file is opened in a newer version of Excel. Learn more: https://go.microsoft.com/fwlink/?linkid=870924
Comment:
    Using 2.44% base (see Note 7) + 1% for aerospace industry recovery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tc={CA7CC8CA-9103-490C-AB4B-BA998BFEF910}</author>
    <author>tc={3844C9CA-5FF9-40C9-B3EC-2CB49EFAB34E}</author>
  </authors>
  <commentList>
    <comment ref="B3" authorId="0" shapeId="0" xr:uid="{CA7CC8CA-9103-490C-AB4B-BA998BFEF910}">
      <text>
        <t>[Threaded comment]
Your version of Excel allows you to read this threaded comment; however, any edits to it will get removed if the file is opened in a newer version of Excel. Learn more: https://go.microsoft.com/fwlink/?linkid=870924
Comment:
    WACC taken directly from company disclosures. See FY2025 note 7 regarding intangible asset calculations. WACC assumptions are on p. 148 of244</t>
      </text>
    </comment>
    <comment ref="B4" authorId="1" shapeId="0" xr:uid="{3844C9CA-5FF9-40C9-B3EC-2CB49EFAB34E}">
      <text>
        <t>[Threaded comment]
Your version of Excel allows you to read this threaded comment; however, any edits to it will get removed if the file is opened in a newer version of Excel. Learn more: https://go.microsoft.com/fwlink/?linkid=870924
Comment:
    Using 2.44% base (see Note 7) + 1% for aerospace industry recovery</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
    <bk>
      <extLst>
        <ext uri="{3e2802c4-a4d2-4d8b-9148-e3be6c30e623}">
          <xlrd:rvb i="2"/>
        </ext>
      </extLst>
    </bk>
    <bk>
      <extLst>
        <ext uri="{3e2802c4-a4d2-4d8b-9148-e3be6c30e623}">
          <xlrd:rvb i="4"/>
        </ext>
      </extLst>
    </bk>
    <bk>
      <extLst>
        <ext uri="{3e2802c4-a4d2-4d8b-9148-e3be6c30e623}">
          <xlrd:rvb i="6"/>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futureMetadata>
  <cellMetadata count="1">
    <bk>
      <rc t="1" v="0"/>
    </bk>
  </cellMetadata>
  <valueMetadata count="10">
    <bk>
      <rc t="2" v="0"/>
    </bk>
    <bk>
      <rc t="2" v="1"/>
    </bk>
    <bk>
      <rc t="2" v="2"/>
    </bk>
    <bk>
      <rc t="2" v="3"/>
    </bk>
    <bk>
      <rc t="2" v="4"/>
    </bk>
    <bk>
      <rc t="2" v="5"/>
    </bk>
    <bk>
      <rc t="2" v="6"/>
    </bk>
    <bk>
      <rc t="2" v="7"/>
    </bk>
    <bk>
      <rc t="2" v="8"/>
    </bk>
    <bk>
      <rc t="2" v="9"/>
    </bk>
  </valueMetadata>
</metadata>
</file>

<file path=xl/sharedStrings.xml><?xml version="1.0" encoding="utf-8"?>
<sst xmlns="http://schemas.openxmlformats.org/spreadsheetml/2006/main" count="1171" uniqueCount="711">
  <si>
    <t>Q1'2024</t>
  </si>
  <si>
    <t>Q2'2025</t>
  </si>
  <si>
    <t>Q1'2025</t>
  </si>
  <si>
    <t>Q4'2024</t>
  </si>
  <si>
    <t>Q3'2024</t>
  </si>
  <si>
    <t>Q2'2024</t>
  </si>
  <si>
    <t>Q4'2023</t>
  </si>
  <si>
    <t>Q3'2023</t>
  </si>
  <si>
    <t>Net Sales</t>
  </si>
  <si>
    <t>Change in finished/unfinished goods</t>
  </si>
  <si>
    <t>Own work capitalized</t>
  </si>
  <si>
    <t>Other operating income</t>
  </si>
  <si>
    <t>Cost of materials, supplies and services</t>
  </si>
  <si>
    <t>Personnel expenses</t>
  </si>
  <si>
    <t>Other operating expenses</t>
  </si>
  <si>
    <t>margin%</t>
  </si>
  <si>
    <t>Depreciation &amp; Amortization</t>
  </si>
  <si>
    <t>Income tax expense</t>
  </si>
  <si>
    <t>Net Income</t>
  </si>
  <si>
    <t>Result attributable to owners of AG</t>
  </si>
  <si>
    <t xml:space="preserve">Non-controlling interest </t>
  </si>
  <si>
    <t>X</t>
  </si>
  <si>
    <t>PPE</t>
  </si>
  <si>
    <t>Equity-accounted investees</t>
  </si>
  <si>
    <t>other financial assets</t>
  </si>
  <si>
    <t>other receivables and assets</t>
  </si>
  <si>
    <t>Deferred tax assets</t>
  </si>
  <si>
    <t>Inventories</t>
  </si>
  <si>
    <t>Contract assets</t>
  </si>
  <si>
    <t>Trade receivables</t>
  </si>
  <si>
    <t>Income tax receivables</t>
  </si>
  <si>
    <t>Receivables from affiliated companies</t>
  </si>
  <si>
    <t>Cash &amp; equivalents</t>
  </si>
  <si>
    <t>Current assets</t>
  </si>
  <si>
    <t>Share capital</t>
  </si>
  <si>
    <t>Share premium</t>
  </si>
  <si>
    <t>Retained earnings</t>
  </si>
  <si>
    <t>Equity attributable to owners of AG</t>
  </si>
  <si>
    <t>Noncontrolling interests</t>
  </si>
  <si>
    <t>Total Assets</t>
  </si>
  <si>
    <t>Total Equity</t>
  </si>
  <si>
    <t>Loans &amp; borrowings</t>
  </si>
  <si>
    <t>Other financial liabilities</t>
  </si>
  <si>
    <t>Deferred tax liabilities</t>
  </si>
  <si>
    <t>Provisions</t>
  </si>
  <si>
    <t>Employee benefits</t>
  </si>
  <si>
    <t>Contract liabilities</t>
  </si>
  <si>
    <t>Other liabilities and accruals</t>
  </si>
  <si>
    <t>Tax liabilities</t>
  </si>
  <si>
    <t>Trade payables</t>
  </si>
  <si>
    <t>Liabilities from affilates</t>
  </si>
  <si>
    <t>Other ST liabilities &amp; accruals</t>
  </si>
  <si>
    <t>Currents</t>
  </si>
  <si>
    <t>Total Liabilities</t>
  </si>
  <si>
    <t>Check</t>
  </si>
  <si>
    <t>x</t>
  </si>
  <si>
    <t>Result before tax</t>
  </si>
  <si>
    <t>Net interest expense/income</t>
  </si>
  <si>
    <t>share of result of equity-accounted investees, net of tax</t>
  </si>
  <si>
    <t>Depreciation &amp; amortization</t>
  </si>
  <si>
    <t>Gains &amp; losses from disposals of PPE + intangibles</t>
  </si>
  <si>
    <t>Other non-cash income and expenses</t>
  </si>
  <si>
    <t>noncash addback subtotal</t>
  </si>
  <si>
    <t>Trade receivables &amp; other CA</t>
  </si>
  <si>
    <t>Provisions and liabilities for employee benefits</t>
  </si>
  <si>
    <t>Working capital subtotal</t>
  </si>
  <si>
    <t>Income taxes paid</t>
  </si>
  <si>
    <t>Operating Cash</t>
  </si>
  <si>
    <t>Acquisition of subsidiaries (net of cash)</t>
  </si>
  <si>
    <t>Disposal of discontinued operation</t>
  </si>
  <si>
    <t>Acquisition of intangibles &amp; PPE</t>
  </si>
  <si>
    <t>Disposal of intangibles &amp; PPE</t>
  </si>
  <si>
    <t>Interest received</t>
  </si>
  <si>
    <t>Investing Cash</t>
  </si>
  <si>
    <t xml:space="preserve">Payments received for capital increase </t>
  </si>
  <si>
    <t>Payments of lease liabilities</t>
  </si>
  <si>
    <t>Interest paid</t>
  </si>
  <si>
    <t>Financing Cash</t>
  </si>
  <si>
    <t>Net Change in Cash</t>
  </si>
  <si>
    <t>Opening balance</t>
  </si>
  <si>
    <t>ForEx</t>
  </si>
  <si>
    <t>Closing Balance</t>
  </si>
  <si>
    <t>FY2024</t>
  </si>
  <si>
    <t>FY2023</t>
  </si>
  <si>
    <t>EBIT/Operating result</t>
  </si>
  <si>
    <t>Interest income</t>
  </si>
  <si>
    <t>Interest expenses</t>
  </si>
  <si>
    <t>Other financial income</t>
  </si>
  <si>
    <t>Other financial expenses</t>
  </si>
  <si>
    <t>Financial expenses</t>
  </si>
  <si>
    <t>Result from discotninued operation</t>
  </si>
  <si>
    <t>Net Income to continuing</t>
  </si>
  <si>
    <t>EPS -basic</t>
  </si>
  <si>
    <t>Price</t>
  </si>
  <si>
    <t>Recycling &amp; cast house (where recyclables ar emelted)</t>
  </si>
  <si>
    <t>Extrusion (shaping metals through a shaped die)</t>
  </si>
  <si>
    <t>Machining</t>
  </si>
  <si>
    <t>Surface Finishing (SF) Treatment &amp; painting</t>
  </si>
  <si>
    <t>Subassembly</t>
  </si>
  <si>
    <t>Engineering services/ Highly demanding aerostructures</t>
  </si>
  <si>
    <t>BV</t>
  </si>
  <si>
    <t>BVPS</t>
  </si>
  <si>
    <t>Shares outstanding</t>
  </si>
  <si>
    <t>P/BV</t>
  </si>
  <si>
    <t>P/E</t>
  </si>
  <si>
    <t>Assets held for sale</t>
  </si>
  <si>
    <t>Liabilities direcetly associated with assets held for sale</t>
  </si>
  <si>
    <t>FY2022</t>
  </si>
  <si>
    <t>Changes in fair value of investment property</t>
  </si>
  <si>
    <t>Measruement of financial assets</t>
  </si>
  <si>
    <t>Disposal of subsidiaries</t>
  </si>
  <si>
    <t>FCFPS (FY2024)</t>
  </si>
  <si>
    <t>Investment Properties</t>
  </si>
  <si>
    <t>Loans</t>
  </si>
  <si>
    <t>Intangible assets and goodwill (TEUR)</t>
  </si>
  <si>
    <t>Majority Shareholder - Dr. Michael Tojner</t>
  </si>
  <si>
    <t>Alpine Metal Tech GmbH - bought 47% interest in 2022. Bought rest of the shares in  8/19/2024. Has full ownership.</t>
  </si>
  <si>
    <t>Investees</t>
  </si>
  <si>
    <t>Belairbus NV</t>
  </si>
  <si>
    <t>Flabel Corporation NV</t>
  </si>
  <si>
    <t>BeLighting NV</t>
  </si>
  <si>
    <t>Alpine Metal Tech GmbH (wholly owned sub)</t>
  </si>
  <si>
    <t>Belairbus NV (129,000 Eur. BV on balance sheet)</t>
  </si>
  <si>
    <t>Reinach (Kanton Aargau, Schweiz)</t>
  </si>
  <si>
    <t>Wholly Owned</t>
  </si>
  <si>
    <t>Alpine Metal Tech</t>
  </si>
  <si>
    <t>CN|BR|DK|DE|AT|US|UK</t>
  </si>
  <si>
    <t>Asco Aerospace</t>
  </si>
  <si>
    <t>CA|US|DE|BE</t>
  </si>
  <si>
    <t>Company</t>
  </si>
  <si>
    <t xml:space="preserve">Countries </t>
  </si>
  <si>
    <t>Acquisition Price</t>
  </si>
  <si>
    <t>Multiple</t>
  </si>
  <si>
    <t>Description</t>
  </si>
  <si>
    <t xml:space="preserve">Special purpose machinery for steel, auto, aerospace, "lifecycle business." Product line incl. NUMTEC (aluminum wheel industry deburring); GEGA (autogenous touch cutting and scarfing) KNORR (optoelectronic measuring &amp; image processingsystems - rails); MAKRA (clamping devices &amp; testing aluminium wheels. AMAKON (conveyors); MAGNEMAG (paints and inkjets for plate pipe and long products); SIMULATION (fire training); INTERMATO (vertical lathes - machines for machining workpieces with diameters from 100mm to 6m). </t>
  </si>
  <si>
    <t xml:space="preserve">ASTA Group </t>
  </si>
  <si>
    <t>BA|US|CN|AT|IN</t>
  </si>
  <si>
    <t>Affiliated</t>
  </si>
  <si>
    <t>p.176 of 208 in 2024 annual</t>
  </si>
  <si>
    <t>PT  IMT Intermo Asia</t>
  </si>
  <si>
    <t>BeLighting</t>
  </si>
  <si>
    <t xml:space="preserve">Cefival S.A. (90% ownership; Persan FR) </t>
  </si>
  <si>
    <t>Flabel Corporation Nv</t>
  </si>
  <si>
    <t>GeGa GmbH</t>
  </si>
  <si>
    <t>Immobiliere Asco NV</t>
  </si>
  <si>
    <t>IMT Intermato SRL</t>
  </si>
  <si>
    <t>Industrie Captial Alpha GmbH</t>
  </si>
  <si>
    <t xml:space="preserve">Insulated Conductors and Enameled Wires NV </t>
  </si>
  <si>
    <t>NL</t>
  </si>
  <si>
    <t>MAKRA GmbH</t>
  </si>
  <si>
    <t xml:space="preserve">MTC Aerosystems </t>
  </si>
  <si>
    <t>HU| US</t>
  </si>
  <si>
    <t>PPE Fios Esmaitados S.A</t>
  </si>
  <si>
    <t>S.R.I.F. NV</t>
  </si>
  <si>
    <t>BE</t>
  </si>
  <si>
    <t xml:space="preserve">Simulation live Fire Training Solution Inc. </t>
  </si>
  <si>
    <t>US (Pittsburgh)</t>
  </si>
  <si>
    <t>Universal Alloy Corp</t>
  </si>
  <si>
    <t>SG|RO|VN|US (Georgia)</t>
  </si>
  <si>
    <t>Subsidiary</t>
  </si>
  <si>
    <t>ID</t>
  </si>
  <si>
    <t>Margin% pre tax</t>
  </si>
  <si>
    <t>Montana Aerospace AG: love hate relationship</t>
  </si>
  <si>
    <t>Love</t>
  </si>
  <si>
    <t>High growth</t>
  </si>
  <si>
    <t xml:space="preserve">Superb leader with Airbus experience and connections. </t>
  </si>
  <si>
    <t>Continued growth/runway in air travel demand drive more orders and airplanes</t>
  </si>
  <si>
    <t>Hate</t>
  </si>
  <si>
    <t xml:space="preserve">Free cash flow </t>
  </si>
  <si>
    <t>Supplier squeezed by much more powerful buyers</t>
  </si>
  <si>
    <t>LTM Net Sales</t>
  </si>
  <si>
    <t>Sales ps</t>
  </si>
  <si>
    <t>Q2'2023</t>
  </si>
  <si>
    <t>Share of result of equity-accounted investees, net of tax</t>
  </si>
  <si>
    <t>Result Before Tax</t>
  </si>
  <si>
    <t>Other payments (payed) received for investing activities</t>
  </si>
  <si>
    <t xml:space="preserve">FCF Using company definition </t>
  </si>
  <si>
    <t>Q1'2023</t>
  </si>
  <si>
    <t>SEGMENT</t>
  </si>
  <si>
    <t>Aerostructures</t>
  </si>
  <si>
    <t>Intersegment</t>
  </si>
  <si>
    <t>EBITDA</t>
  </si>
  <si>
    <t>D&amp;A</t>
  </si>
  <si>
    <t>Investments</t>
  </si>
  <si>
    <t xml:space="preserve">E-Mobility </t>
  </si>
  <si>
    <t>Sales</t>
  </si>
  <si>
    <t>Energy</t>
  </si>
  <si>
    <t>Margin%</t>
  </si>
  <si>
    <t>Share of %</t>
  </si>
  <si>
    <t>Reconciliation</t>
  </si>
  <si>
    <t>Geographic Information</t>
  </si>
  <si>
    <t>Switzerland</t>
  </si>
  <si>
    <t>Germany</t>
  </si>
  <si>
    <t>Austria</t>
  </si>
  <si>
    <t>UK</t>
  </si>
  <si>
    <t>Turkiye</t>
  </si>
  <si>
    <t>France</t>
  </si>
  <si>
    <t>Finland</t>
  </si>
  <si>
    <t>Sweden</t>
  </si>
  <si>
    <t>Romania</t>
  </si>
  <si>
    <t>Russia</t>
  </si>
  <si>
    <t>Rest of Europe</t>
  </si>
  <si>
    <t>USA</t>
  </si>
  <si>
    <t xml:space="preserve">Canada </t>
  </si>
  <si>
    <t>Mexico</t>
  </si>
  <si>
    <t>Brazil</t>
  </si>
  <si>
    <t>Rest of Americas</t>
  </si>
  <si>
    <t>China</t>
  </si>
  <si>
    <t xml:space="preserve">India </t>
  </si>
  <si>
    <t>Vietnam</t>
  </si>
  <si>
    <t>Rest of Asia</t>
  </si>
  <si>
    <t>Africa &amp; Oceania</t>
  </si>
  <si>
    <t>Poland</t>
  </si>
  <si>
    <t>Slovenia</t>
  </si>
  <si>
    <t>Spain</t>
  </si>
  <si>
    <t>Italy</t>
  </si>
  <si>
    <t>DACH</t>
  </si>
  <si>
    <t>Eastern Europe</t>
  </si>
  <si>
    <t>Other EU</t>
  </si>
  <si>
    <t>Total Europe</t>
  </si>
  <si>
    <t>North America</t>
  </si>
  <si>
    <t>Total Amerias</t>
  </si>
  <si>
    <t>Latin America + Other</t>
  </si>
  <si>
    <t>Total Asia</t>
  </si>
  <si>
    <t>Inda</t>
  </si>
  <si>
    <t>Other Asia</t>
  </si>
  <si>
    <t>Other</t>
  </si>
  <si>
    <t>% of sales</t>
  </si>
  <si>
    <t>Q3'2022</t>
  </si>
  <si>
    <t>Q2'2022</t>
  </si>
  <si>
    <t>Q1'2022</t>
  </si>
  <si>
    <t>FY2021</t>
  </si>
  <si>
    <t>Growth Rates</t>
  </si>
  <si>
    <t>E-mobility</t>
  </si>
  <si>
    <t>Company Revenue</t>
  </si>
  <si>
    <t>Operating Costs</t>
  </si>
  <si>
    <t>Company OpEx</t>
  </si>
  <si>
    <t>Fuselage Floor Grid</t>
  </si>
  <si>
    <t>Fuselage Stringers</t>
  </si>
  <si>
    <t>Seat Track</t>
  </si>
  <si>
    <t>Engine Rings</t>
  </si>
  <si>
    <t>Wing Structures</t>
  </si>
  <si>
    <t>False Rail</t>
  </si>
  <si>
    <t>Seeking to divest energy segment at favorable point in market cycle</t>
  </si>
  <si>
    <t xml:space="preserve">Aerostructure Revenue target (FY2025): 850 Eur. </t>
  </si>
  <si>
    <r>
      <t>Aerostructures Product line</t>
    </r>
    <r>
      <rPr>
        <sz val="11"/>
        <color theme="1"/>
        <rFont val="Calibri"/>
        <family val="2"/>
      </rPr>
      <t>: Aluminum, titanium, Composites</t>
    </r>
  </si>
  <si>
    <t>Landing Gear (737), Engine parts (737), High Lift Mechanisms</t>
  </si>
  <si>
    <t>Q4'2022</t>
  </si>
  <si>
    <t>Growth:</t>
  </si>
  <si>
    <t>EU</t>
  </si>
  <si>
    <t>Americas</t>
  </si>
  <si>
    <t>Asia</t>
  </si>
  <si>
    <t>Trade payables &amp; other CL</t>
  </si>
  <si>
    <t xml:space="preserve">Other </t>
  </si>
  <si>
    <t>Proceeds from issuance of ordinary</t>
  </si>
  <si>
    <t>Payments to IPO</t>
  </si>
  <si>
    <t>Who are the primary customers?</t>
  </si>
  <si>
    <t>How bad were the economics of the e-mobility business that it justified a divestiture?</t>
  </si>
  <si>
    <t>What would the valuation of its aerostructures business be as a standalone?</t>
  </si>
  <si>
    <t>Why did revenue decline in FY2023</t>
  </si>
  <si>
    <t>Research Questions</t>
  </si>
  <si>
    <t>Share of Total Revenue</t>
  </si>
  <si>
    <t>P/FCF</t>
  </si>
  <si>
    <t>35 offers on the table  - 39:00 on Q2 2025 call</t>
  </si>
  <si>
    <t>Ask Management</t>
  </si>
  <si>
    <t xml:space="preserve">How are you going to manage your cash drawdown in subsequent quarters? </t>
  </si>
  <si>
    <t>Non-redeemable loan</t>
  </si>
  <si>
    <t>Regulatory moats? What designations does MTASF have with US FAA and EASA?</t>
  </si>
  <si>
    <t>Low/unpredictable profitability</t>
  </si>
  <si>
    <t>Increasing no. shares</t>
  </si>
  <si>
    <t>R&amp;D???</t>
  </si>
  <si>
    <t>Revenue</t>
  </si>
  <si>
    <t>Market Cap</t>
  </si>
  <si>
    <t>Josh Sullivan</t>
  </si>
  <si>
    <t>Jones Trading</t>
  </si>
  <si>
    <t>Christian Bader</t>
  </si>
  <si>
    <t>Bank/Institution</t>
  </si>
  <si>
    <t>Analyst(s)</t>
  </si>
  <si>
    <t>Recommendation</t>
  </si>
  <si>
    <t>Berenberg</t>
  </si>
  <si>
    <t>George McWhirter</t>
  </si>
  <si>
    <t>BUY</t>
  </si>
  <si>
    <t>Kepler Cheuvreux</t>
  </si>
  <si>
    <t>Aymeric Poulain</t>
  </si>
  <si>
    <t>Oddo BHF</t>
  </si>
  <si>
    <t>Olfa Taamallah</t>
  </si>
  <si>
    <t>george.mcwhirter@berenberg.com</t>
  </si>
  <si>
    <t>jsullivan@jonestrading.com</t>
  </si>
  <si>
    <t>apoulain@keplercheuvreux.com</t>
  </si>
  <si>
    <t>Olfa.taamallah@oddo-bhf.com</t>
  </si>
  <si>
    <t>christian.bader@zkb.ch</t>
  </si>
  <si>
    <t>Email</t>
  </si>
  <si>
    <t>Tunisia</t>
  </si>
  <si>
    <t xml:space="preserve"> Zürcher Kantonalbank</t>
  </si>
  <si>
    <t>Worth reaching out to</t>
  </si>
  <si>
    <t>YES</t>
  </si>
  <si>
    <t>FY2025</t>
  </si>
  <si>
    <t>&lt;= gloabal manufacturer of structural components and assemblies; 4,300 headcount. Acquired by Montana Tech components</t>
  </si>
  <si>
    <r>
      <t xml:space="preserve">April 2022 Acquisition. Manufacture high-lift mechanisms and critical structure sub-assemblies. Portfolio: </t>
    </r>
    <r>
      <rPr>
        <b/>
        <u/>
        <sz val="11"/>
        <color theme="1"/>
        <rFont val="Calibri"/>
        <family val="2"/>
      </rPr>
      <t xml:space="preserve">large complex fuselage, wing and landing gear components. </t>
    </r>
    <r>
      <rPr>
        <b/>
        <sz val="11"/>
        <color theme="1"/>
        <rFont val="Calibri"/>
        <family val="2"/>
      </rPr>
      <t>Partnership with Lockheed Martin (F-35)</t>
    </r>
  </si>
  <si>
    <t>Conversion from net income%</t>
  </si>
  <si>
    <t>Conversion from EBITDA%</t>
  </si>
  <si>
    <t>Consolidated IS</t>
  </si>
  <si>
    <t>Q3'2025</t>
  </si>
  <si>
    <t>Growth Y/Y</t>
  </si>
  <si>
    <t xml:space="preserve">Adjusted: </t>
  </si>
  <si>
    <t>TTM Figures</t>
  </si>
  <si>
    <t>Alt P/E</t>
  </si>
  <si>
    <t>Consolidated BS (€TEUR)</t>
  </si>
  <si>
    <t>Financials are presented in euros</t>
  </si>
  <si>
    <t>Weighted avg of ordinary shares (Eur)</t>
  </si>
  <si>
    <t>FY2026</t>
  </si>
  <si>
    <t>EBITDA margin</t>
  </si>
  <si>
    <t>Implied EV</t>
  </si>
  <si>
    <t>Net debt</t>
  </si>
  <si>
    <t>PPS</t>
  </si>
  <si>
    <t>MOM</t>
  </si>
  <si>
    <t>Consolidated CFS (€TEUR)</t>
  </si>
  <si>
    <t>FY2027</t>
  </si>
  <si>
    <t xml:space="preserve">D&amp;A as a % of revenue </t>
  </si>
  <si>
    <t>Net Sales Growth Y/Y</t>
  </si>
  <si>
    <t>Energy (*discontinued in Q3 2025*)</t>
  </si>
  <si>
    <t>Noncurrent Assets</t>
  </si>
  <si>
    <t>Noncurrent Liabilities</t>
  </si>
  <si>
    <t>Market cap CHF</t>
  </si>
  <si>
    <t xml:space="preserve">Market cap </t>
  </si>
  <si>
    <t>(+) Noncontrolling</t>
  </si>
  <si>
    <t>Valuation Multiple</t>
  </si>
  <si>
    <t>Segment Value</t>
  </si>
  <si>
    <t>Valuation</t>
  </si>
  <si>
    <t>FY2024-restated</t>
  </si>
  <si>
    <t>NM</t>
  </si>
  <si>
    <t>Discount to TEV</t>
  </si>
  <si>
    <t>FCF (FY2025)</t>
  </si>
  <si>
    <t>Issuance of interest-bearing liabilities</t>
  </si>
  <si>
    <t>Repayment of interest-bearing liabilities</t>
  </si>
  <si>
    <t>Belgium</t>
  </si>
  <si>
    <t>(+) Pension liability</t>
  </si>
  <si>
    <t>TEV</t>
  </si>
  <si>
    <t>(-) Cash</t>
  </si>
  <si>
    <t>(+) Debt</t>
  </si>
  <si>
    <t>Implied TTM multiple</t>
  </si>
  <si>
    <t>Discount (premium)</t>
  </si>
  <si>
    <t>Y/Y Growth</t>
  </si>
  <si>
    <t>Net Debt</t>
  </si>
  <si>
    <t>Net Debt (please include pension data)</t>
  </si>
  <si>
    <t>EBITDA as reported</t>
  </si>
  <si>
    <t>(+) Legal costs</t>
  </si>
  <si>
    <t>(+) SBC</t>
  </si>
  <si>
    <t>Adjusted EBITDA</t>
  </si>
  <si>
    <t>SBC as a % of revenue</t>
  </si>
  <si>
    <t>Intrinsic EV</t>
  </si>
  <si>
    <t>Intrinsic EV PS - Currency adjusted</t>
  </si>
  <si>
    <t>Implied IRR</t>
  </si>
  <si>
    <t xml:space="preserve">Discounted </t>
  </si>
  <si>
    <t>year count</t>
  </si>
  <si>
    <t>Implied PPS</t>
  </si>
  <si>
    <t>No. Shares</t>
  </si>
  <si>
    <t>Value of equity in common stock</t>
  </si>
  <si>
    <t>(-) value of options</t>
  </si>
  <si>
    <t>Value of Equity</t>
  </si>
  <si>
    <t>Value of operating assets</t>
  </si>
  <si>
    <t>Probability of failure</t>
  </si>
  <si>
    <t>Sum of PV</t>
  </si>
  <si>
    <t>(+) PV Terminal value</t>
  </si>
  <si>
    <t>Terminal value</t>
  </si>
  <si>
    <t>Terminal cost of capital</t>
  </si>
  <si>
    <t>Terminal cash flow</t>
  </si>
  <si>
    <t>Sum PV (FCFF)</t>
  </si>
  <si>
    <t>PV FCFF</t>
  </si>
  <si>
    <t>Discount factor</t>
  </si>
  <si>
    <t>FCFF</t>
  </si>
  <si>
    <t>Reinvestment</t>
  </si>
  <si>
    <t>Reinvestment Rate</t>
  </si>
  <si>
    <t>NOPAT</t>
  </si>
  <si>
    <t>EBIT</t>
  </si>
  <si>
    <t>EBIT Margin</t>
  </si>
  <si>
    <t xml:space="preserve">Revenue </t>
  </si>
  <si>
    <t>Revenue growth</t>
  </si>
  <si>
    <t xml:space="preserve">2025(A) </t>
  </si>
  <si>
    <t>Figures in thousands</t>
  </si>
  <si>
    <t>Swiss Tax rate</t>
  </si>
  <si>
    <t>Net Debt (12/31/2025</t>
  </si>
  <si>
    <t>EUR/CHF</t>
  </si>
  <si>
    <t xml:space="preserve">Terminal Growth </t>
  </si>
  <si>
    <t>WACC</t>
  </si>
  <si>
    <t>Assumptions</t>
  </si>
  <si>
    <t>prsent EV/EBITDA</t>
  </si>
  <si>
    <t>Margin</t>
  </si>
  <si>
    <t>2025 EBITDA</t>
  </si>
  <si>
    <t>TEV/2025EBITDA</t>
  </si>
  <si>
    <t>Total financial debt</t>
  </si>
  <si>
    <t>Y/Y growth</t>
  </si>
  <si>
    <t>Montana Aerospace AG</t>
  </si>
  <si>
    <t>FACC AG</t>
  </si>
  <si>
    <t>(1) defined as operating cash flow minus PPE acquisitions</t>
  </si>
  <si>
    <t>(2) from EBITDA</t>
  </si>
  <si>
    <t>Invested capital</t>
  </si>
  <si>
    <t>Implied ROIC</t>
  </si>
  <si>
    <t>Ducommun (DCO)</t>
  </si>
  <si>
    <t>Hold</t>
  </si>
  <si>
    <t>N/A</t>
  </si>
  <si>
    <t xml:space="preserve">Effective tax rate analysis: </t>
  </si>
  <si>
    <t>Income tax to the entity</t>
  </si>
  <si>
    <t>Tax using group's WA applicable tax rate</t>
  </si>
  <si>
    <t>Effect of the tax rates in foreign jurisdictions</t>
  </si>
  <si>
    <t>Standard Aero</t>
  </si>
  <si>
    <t>As a % of revenue</t>
  </si>
  <si>
    <t>Senior Plc</t>
  </si>
  <si>
    <t>FIGEAC AÉRO</t>
  </si>
  <si>
    <t>&lt;= should this be deducted from Levered FCF?</t>
  </si>
  <si>
    <t>P.133 of 124</t>
  </si>
  <si>
    <t>Invested Capital</t>
  </si>
  <si>
    <t>ROIC Buildout</t>
  </si>
  <si>
    <t>Unlevered Free Cash Flow</t>
  </si>
  <si>
    <t>No. Employees</t>
  </si>
  <si>
    <t>Montana Products</t>
  </si>
  <si>
    <t>FACC AG Products</t>
  </si>
  <si>
    <t>A350 F Floor Section</t>
  </si>
  <si>
    <t>Wing elements</t>
  </si>
  <si>
    <t>Spoilers</t>
  </si>
  <si>
    <t>Winglets</t>
  </si>
  <si>
    <t>Ailerons</t>
  </si>
  <si>
    <t>Empennage</t>
  </si>
  <si>
    <t>Vertical stabilizer &amp; rudder</t>
  </si>
  <si>
    <t>Fairings</t>
  </si>
  <si>
    <t>Radomes</t>
  </si>
  <si>
    <t>Wing to body fairings</t>
  </si>
  <si>
    <t>Flap track fairings</t>
  </si>
  <si>
    <t>Fuselage systems</t>
  </si>
  <si>
    <t>Landing gear</t>
  </si>
  <si>
    <t>Enigne rings/nacelles</t>
  </si>
  <si>
    <t>High lift mechanisms</t>
  </si>
  <si>
    <t>Aluminum</t>
  </si>
  <si>
    <t xml:space="preserve">Titanium </t>
  </si>
  <si>
    <t>Composite</t>
  </si>
  <si>
    <t>A320</t>
  </si>
  <si>
    <t>Unlevered FCF</t>
  </si>
  <si>
    <t>Levered FCF</t>
  </si>
  <si>
    <t>Interest expense</t>
  </si>
  <si>
    <t>Tax rate</t>
  </si>
  <si>
    <t>Unlevered FCF (Method II)</t>
  </si>
  <si>
    <t>Using effective tax rate</t>
  </si>
  <si>
    <t>Using normalized 25% Tax rate</t>
  </si>
  <si>
    <t>Invested Capital (method I)</t>
  </si>
  <si>
    <t>Invested Capital (method II)</t>
  </si>
  <si>
    <t>Equity</t>
  </si>
  <si>
    <t>(+) debt</t>
  </si>
  <si>
    <t>(-) cash</t>
  </si>
  <si>
    <t>Implied ROIC (II)</t>
  </si>
  <si>
    <t>(+) D&amp;A</t>
  </si>
  <si>
    <t>(-) Capex</t>
  </si>
  <si>
    <t>(+) δNWC</t>
  </si>
  <si>
    <t>Unlevered FCF (Operational Method)</t>
  </si>
  <si>
    <t>Implied Terminal ROIC</t>
  </si>
  <si>
    <t>Terminal EBIT margin</t>
  </si>
  <si>
    <t>Proceeds if firm fails</t>
  </si>
  <si>
    <t>Implied TEV</t>
  </si>
  <si>
    <t>Critique</t>
  </si>
  <si>
    <t xml:space="preserve">Proof of lower risk? </t>
  </si>
  <si>
    <t>Okay with this, but please verify Boeing and Airbus numbers</t>
  </si>
  <si>
    <t>Proof that management can return in excess of COC?</t>
  </si>
  <si>
    <t xml:space="preserve">Implies Montana lies in top quartile of </t>
  </si>
  <si>
    <t>(a)</t>
  </si>
  <si>
    <t>(b)</t>
  </si>
  <si>
    <t>(d)</t>
  </si>
  <si>
    <t>(c)</t>
  </si>
  <si>
    <t>Must validate extended growth run rate</t>
  </si>
  <si>
    <t>€</t>
  </si>
  <si>
    <t xml:space="preserve">(e) </t>
  </si>
  <si>
    <t xml:space="preserve">See (d) </t>
  </si>
  <si>
    <t>see note (c)</t>
  </si>
  <si>
    <t>Think of this as fleet growth. DCO Growth rate: 5% CAGR in the last decade</t>
  </si>
  <si>
    <t>Stock price at 12/31</t>
  </si>
  <si>
    <t>Market cap</t>
  </si>
  <si>
    <t>(+) net debt</t>
  </si>
  <si>
    <t>TEV/EBITDA</t>
  </si>
  <si>
    <t xml:space="preserve">CAGR Analysis </t>
  </si>
  <si>
    <t>22-25</t>
  </si>
  <si>
    <t>21-25</t>
  </si>
  <si>
    <t>Net Debt-to-equity</t>
  </si>
  <si>
    <t>Reinvestment as a % of NOPAt</t>
  </si>
  <si>
    <t>FCFF conversion from NOPAT</t>
  </si>
  <si>
    <t>EV to 2025 EBITDA</t>
  </si>
  <si>
    <t>Net Debt to EBITDA</t>
  </si>
  <si>
    <t>Net Debt-to-EBITDA</t>
  </si>
  <si>
    <t>Schedule: Employee Benefits that are added to net debt</t>
  </si>
  <si>
    <t>Pensions</t>
  </si>
  <si>
    <t>Defined contribution pension commitments</t>
  </si>
  <si>
    <t>All figures are TTM and in Millions</t>
  </si>
  <si>
    <t>Sales-to-capital ratio</t>
  </si>
  <si>
    <t>ROIC</t>
  </si>
  <si>
    <t>Sales-to-capital</t>
  </si>
  <si>
    <t xml:space="preserve">Multiple </t>
  </si>
  <si>
    <t>EV</t>
  </si>
  <si>
    <t>Intrinsic Equity Vlaue</t>
  </si>
  <si>
    <t>Cost of Capital</t>
  </si>
  <si>
    <t xml:space="preserve">Base Year: </t>
  </si>
  <si>
    <t>Invested Capital at start of valuation</t>
  </si>
  <si>
    <t>Invested Capital at end of valuation</t>
  </si>
  <si>
    <t>Change in invested capital over 10 years</t>
  </si>
  <si>
    <t>Change in NOPAT over 10 years</t>
  </si>
  <si>
    <t>Marginal ROIC over 10 years</t>
  </si>
  <si>
    <t>ROIC at end of valuation</t>
  </si>
  <si>
    <t>Average WACC over 10 years (compounded)</t>
  </si>
  <si>
    <t>Revenues</t>
  </si>
  <si>
    <t>Base Year</t>
  </si>
  <si>
    <t>Years 1-5</t>
  </si>
  <si>
    <t>Years 6-10</t>
  </si>
  <si>
    <t>After Year 10</t>
  </si>
  <si>
    <t>Opearing Margin</t>
  </si>
  <si>
    <t>Tax Rate</t>
  </si>
  <si>
    <t>Avg. Sales-to-Capital</t>
  </si>
  <si>
    <t xml:space="preserve">Return on Capital </t>
  </si>
  <si>
    <t>Marginal ROIC</t>
  </si>
  <si>
    <t>Teminal Year</t>
  </si>
  <si>
    <t>Operating Margin</t>
  </si>
  <si>
    <t>Narrative</t>
  </si>
  <si>
    <t>Terminal</t>
  </si>
  <si>
    <t xml:space="preserve">High signle digit growth during first five years to reflect growth and volume of narrow-bodies. Boeing anticipates to deliver 55 737's per month whereas Airbus expects to deliver 60+. </t>
  </si>
  <si>
    <t xml:space="preserve">High-teens margins reflects (1) Montana's exposure to mature narrowbody programs, (2) in-house aluminum extrusion and machining capability in DACH region;. </t>
  </si>
  <si>
    <t xml:space="preserve">Low ROIC in initial year reflects carry-overs from prior business segments. Low reinvestment rates in first few years point to excess capacity being utilized </t>
  </si>
  <si>
    <t xml:space="preserve">Low WACC reflects long-term supply agreements with large OE coutnerparties; net debt at less than 1x EBITDA; upshot from swiss sovereign rating. </t>
  </si>
  <si>
    <t>Up- (down-) side from current</t>
  </si>
  <si>
    <t xml:space="preserve">Applying tax rate disclosed in FY 2025 financials. MHT reflects corporate tax rate of businesses in Canton Argau. </t>
  </si>
  <si>
    <t>FY2020</t>
  </si>
  <si>
    <t>FY2019</t>
  </si>
  <si>
    <t>FY2018</t>
  </si>
  <si>
    <t>P.243 of 320 (prospectus)</t>
  </si>
  <si>
    <t>Effective tax rate</t>
  </si>
  <si>
    <t>Loans granted to joint ventures/affiliates</t>
  </si>
  <si>
    <t>Repayment of loans</t>
  </si>
  <si>
    <t>Implied FCFE</t>
  </si>
  <si>
    <t>Numerator: NOPAT</t>
  </si>
  <si>
    <t>18-25</t>
  </si>
  <si>
    <t>Segment EBIT</t>
  </si>
  <si>
    <t>Net Debt (12/31/2025)</t>
  </si>
  <si>
    <t>% of revenue</t>
  </si>
  <si>
    <t>Median</t>
  </si>
  <si>
    <t>26E</t>
  </si>
  <si>
    <t>27E</t>
  </si>
  <si>
    <t>25A</t>
  </si>
  <si>
    <t>FY 2025A</t>
  </si>
  <si>
    <t>FY 2027E</t>
  </si>
  <si>
    <t xml:space="preserve">Value per share </t>
  </si>
  <si>
    <t>CHF</t>
  </si>
  <si>
    <t>(-) 2027 net debt</t>
  </si>
  <si>
    <t>Cumul. Segemnet capex</t>
  </si>
  <si>
    <t>"Cash return on segment investment"</t>
  </si>
  <si>
    <t xml:space="preserve">Margin </t>
  </si>
  <si>
    <t>Group (incl. E-mobility and Energy Segments)</t>
  </si>
  <si>
    <t>CAGR</t>
  </si>
  <si>
    <t>Cabin Interiors Segment</t>
  </si>
  <si>
    <t>Aerostructures + Nacelles Segments</t>
  </si>
  <si>
    <t>margins</t>
  </si>
  <si>
    <t>EBITDA Margin</t>
  </si>
  <si>
    <t>Cpex % Revenue</t>
  </si>
  <si>
    <t>2021</t>
  </si>
  <si>
    <t>2022</t>
  </si>
  <si>
    <t>2023</t>
  </si>
  <si>
    <t>2024</t>
  </si>
  <si>
    <t>2025</t>
  </si>
  <si>
    <t>Terminal WACC</t>
  </si>
  <si>
    <t>Y/Y change (%)</t>
  </si>
  <si>
    <t xml:space="preserve">Y/Y change </t>
  </si>
  <si>
    <t>Incremental revenue</t>
  </si>
  <si>
    <t>Incremental EBITDA</t>
  </si>
  <si>
    <t>Incremental EBIT</t>
  </si>
  <si>
    <t>Incremental D&amp;A</t>
  </si>
  <si>
    <t>Incremental EBIT margins</t>
  </si>
  <si>
    <t>Q1'2026</t>
  </si>
  <si>
    <t>Un-restated. Old data.</t>
  </si>
  <si>
    <t>Restated</t>
  </si>
  <si>
    <t xml:space="preserve"> </t>
  </si>
  <si>
    <t>Tesult from disposal of PPE</t>
  </si>
  <si>
    <t>Result from disposal of financial asset</t>
  </si>
  <si>
    <t>In EUR thousands</t>
  </si>
  <si>
    <t>After-tax cost of debt (Kd)</t>
  </si>
  <si>
    <t>Cost of debt</t>
  </si>
  <si>
    <t>Cost of Equity (Ke)</t>
  </si>
  <si>
    <t>Size premium</t>
  </si>
  <si>
    <t>Relevered Beta</t>
  </si>
  <si>
    <t>Target marginal tax rate</t>
  </si>
  <si>
    <t>Target debt/equity</t>
  </si>
  <si>
    <t xml:space="preserve">Unlevered Beta </t>
  </si>
  <si>
    <t>Source: 10 year German Bund as of 5/7/2026. All cash flows are denomenated in Euros</t>
  </si>
  <si>
    <t>Rf</t>
  </si>
  <si>
    <t>Source: Damodoran ERP dataset as of 1/6/2026</t>
  </si>
  <si>
    <t>Equity Risk Premium (rm-rf)</t>
  </si>
  <si>
    <t>Total Capitalization</t>
  </si>
  <si>
    <t>Shareholders' Equity</t>
  </si>
  <si>
    <t>Total Debt</t>
  </si>
  <si>
    <t>Lease liabilities</t>
  </si>
  <si>
    <t>Loans and borrwoings</t>
  </si>
  <si>
    <t>n/a</t>
  </si>
  <si>
    <t>Loan III</t>
  </si>
  <si>
    <t>Loan II</t>
  </si>
  <si>
    <t>Loan I</t>
  </si>
  <si>
    <t>Cash &amp; Equivalents</t>
  </si>
  <si>
    <t>Effective interest rate</t>
  </si>
  <si>
    <t>Maturity</t>
  </si>
  <si>
    <t>% of capitalization</t>
  </si>
  <si>
    <t>Carrying Amount</t>
  </si>
  <si>
    <t>Source: Figeac aero FY2018/2019 slide presentation</t>
  </si>
  <si>
    <t>Présentation PowerPoint</t>
  </si>
  <si>
    <t>*Using this information to extrapolate onto Montana</t>
  </si>
  <si>
    <t xml:space="preserve">Figeac Capex </t>
  </si>
  <si>
    <t>Gross Capex</t>
  </si>
  <si>
    <t>D&amp;A (IS)</t>
  </si>
  <si>
    <t>Net CapEx</t>
  </si>
  <si>
    <t>ΔWC absorbed</t>
  </si>
  <si>
    <t>Reinvesment Rate</t>
  </si>
  <si>
    <t>Invested Capital (build II)</t>
  </si>
  <si>
    <t>Sales to Capital</t>
  </si>
  <si>
    <t>Sales-to-capital (incremental)</t>
  </si>
  <si>
    <t>Net Capex</t>
  </si>
  <si>
    <t>δ NWC</t>
  </si>
  <si>
    <t>Capex/Revenue</t>
  </si>
  <si>
    <t>D&amp;A/Revenue</t>
  </si>
  <si>
    <t>NWC Absorption</t>
  </si>
  <si>
    <t>2026-2029</t>
  </si>
  <si>
    <t>2030-2035</t>
  </si>
  <si>
    <t xml:space="preserve">Worksheet: </t>
  </si>
  <si>
    <t>Incremental IC</t>
  </si>
  <si>
    <t>Aggregate</t>
  </si>
  <si>
    <t>2025(A)</t>
  </si>
  <si>
    <t>2029E</t>
  </si>
  <si>
    <t>2035E</t>
  </si>
  <si>
    <t>Not Included in the Median calculation:</t>
  </si>
  <si>
    <t>Implied EBITDA</t>
  </si>
  <si>
    <t>Implied EBITDA margin</t>
  </si>
  <si>
    <t>FCFF/EBITDA turnover</t>
  </si>
  <si>
    <t>Canton, GA</t>
  </si>
  <si>
    <t>Annaheim, GA</t>
  </si>
  <si>
    <t>Ball Ground, GA</t>
  </si>
  <si>
    <t>Pittsburgh, PA</t>
  </si>
  <si>
    <t>Clearwater, KS</t>
  </si>
  <si>
    <t xml:space="preserve">Nova Lima </t>
  </si>
  <si>
    <t>Chequilho</t>
  </si>
  <si>
    <t>Ranshofen</t>
  </si>
  <si>
    <t>Oed</t>
  </si>
  <si>
    <t>Regau</t>
  </si>
  <si>
    <t>Menziken</t>
  </si>
  <si>
    <t>Reinach</t>
  </si>
  <si>
    <t>Bonfield</t>
  </si>
  <si>
    <t>Forst</t>
  </si>
  <si>
    <t>Dilingen</t>
  </si>
  <si>
    <t>Burton upon trent (UK)</t>
  </si>
  <si>
    <t>Stenlose (DN)</t>
  </si>
  <si>
    <t>Montblanc (Es)</t>
  </si>
  <si>
    <t>Dumbravita</t>
  </si>
  <si>
    <t>Satu Mare</t>
  </si>
  <si>
    <t>Baia Mare</t>
  </si>
  <si>
    <t>Baoying</t>
  </si>
  <si>
    <t>Taicang</t>
  </si>
  <si>
    <t>DaNang</t>
  </si>
  <si>
    <t>India</t>
  </si>
  <si>
    <t>Banglore</t>
  </si>
  <si>
    <t>vadodara</t>
  </si>
  <si>
    <t xml:space="preserve">Crosio della Valle </t>
  </si>
  <si>
    <t>Cazin (Bosina)</t>
  </si>
  <si>
    <t>M2</t>
  </si>
  <si>
    <t>Δ EBIT</t>
  </si>
  <si>
    <t>Δ Invested Capital</t>
  </si>
  <si>
    <t>Δ EBIT/Δ Invested Capital</t>
  </si>
  <si>
    <t>Figures in millions</t>
  </si>
  <si>
    <t>Capitalized R&amp;D</t>
  </si>
  <si>
    <t>Senior PLC</t>
  </si>
  <si>
    <t>Equity changes</t>
  </si>
  <si>
    <t>Net repayment of int-bearing liab. From affiliates</t>
  </si>
  <si>
    <t>Working Capital</t>
  </si>
  <si>
    <t>DSO</t>
  </si>
  <si>
    <t>DIH</t>
  </si>
  <si>
    <t>DPO</t>
  </si>
  <si>
    <t>CCC</t>
  </si>
  <si>
    <t>as a % of revenue</t>
  </si>
  <si>
    <t>Working capital intensity</t>
  </si>
  <si>
    <t>Avg. earnings of employees in PPP$ by reference area</t>
  </si>
  <si>
    <t>Area</t>
  </si>
  <si>
    <t>Year</t>
  </si>
  <si>
    <t xml:space="preserve">Total </t>
  </si>
  <si>
    <t>ource: Wages and Working Time Statistics (COND) database, ILOSTAT (https://ilostat.ilo.org/topics/wages/)</t>
  </si>
  <si>
    <t>Discount</t>
  </si>
  <si>
    <t>EBIT margin</t>
  </si>
  <si>
    <t xml:space="preserve">Montana </t>
  </si>
  <si>
    <t>DCO</t>
  </si>
  <si>
    <t>Date</t>
  </si>
  <si>
    <t>Open</t>
  </si>
  <si>
    <t>High</t>
  </si>
  <si>
    <t>Low</t>
  </si>
  <si>
    <t>Close </t>
  </si>
  <si>
    <t>Adj Close </t>
  </si>
  <si>
    <t>Volume</t>
  </si>
  <si>
    <t xml:space="preserve">Montana &amp; DCO </t>
  </si>
  <si>
    <t>1/1/2022=100%</t>
  </si>
  <si>
    <t>AERO</t>
  </si>
  <si>
    <t>1/1/2023=100%</t>
  </si>
  <si>
    <t>2026E</t>
  </si>
  <si>
    <t>2027E</t>
  </si>
  <si>
    <t>FY2026E</t>
  </si>
  <si>
    <t>FY2027E</t>
  </si>
  <si>
    <t xml:space="preserve">EPS </t>
  </si>
  <si>
    <t>12/21</t>
  </si>
  <si>
    <t>12/22</t>
  </si>
  <si>
    <t>12/23</t>
  </si>
  <si>
    <t>12/24</t>
  </si>
  <si>
    <t>12/25</t>
  </si>
  <si>
    <t>12/26E</t>
  </si>
  <si>
    <t>12/27E</t>
  </si>
  <si>
    <t>Montana Aerostructures Segment only</t>
  </si>
  <si>
    <t>as a % of EBITDA</t>
  </si>
  <si>
    <t>as a % of EBIT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</si>
</sst>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quot;* #,##0.00_);_(&quot;$&quot;* \(#,##0.00\);_(&quot;$&quot;* &quot;-&quot;??_);_(@_)"/>
    <numFmt numFmtId="43" formatCode="_(* #,##0.00_);_(* \(#,##0.00\);_(* &quot;-&quot;??_);_(@_)"/>
    <numFmt numFmtId="164" formatCode="_(* #,##0_);_(* \(#,##0\);_(* &quot;-&quot;??_);_(@_)"/>
    <numFmt numFmtId="165" formatCode="_([$€-2]\ * #,##0.00_);_([$€-2]\ * \(#,##0.00\);_([$€-2]\ * &quot;-&quot;??_);_(@_)"/>
    <numFmt numFmtId="166" formatCode="_-* #,##0.00\ [$CHF-100C]_-;\-* #,##0.00\ [$CHF-100C]_-;_-* &quot;-&quot;??\ [$CHF-100C]_-;_-@_-"/>
    <numFmt numFmtId="167" formatCode="_-* #,##0\ [$CHF-100C]_-;\-* #,##0\ [$CHF-100C]_-;_-* &quot;-&quot;\ [$CHF-100C]_-;_-@_-"/>
    <numFmt numFmtId="168" formatCode="0.00\x"/>
    <numFmt numFmtId="169" formatCode="0.0%;\(0.0%\)"/>
    <numFmt numFmtId="170" formatCode="0%;\(0%\)"/>
    <numFmt numFmtId="171" formatCode="_(* #,##0.000_);_(* \(#,##0.000\);_(* &quot;-&quot;??_);_(@_)"/>
    <numFmt numFmtId="172" formatCode="_([$$-409]* #,##0.00_);_([$$-409]* \(#,##0.00\);_([$$-409]* &quot;-&quot;??_);_(@_)"/>
    <numFmt numFmtId="173" formatCode="_(&quot;$&quot;* #,##0_);_(&quot;$&quot;* \(#,##0\);_(&quot;$&quot;* &quot;-&quot;??_);_(@_)"/>
    <numFmt numFmtId="174" formatCode="_([$€-2]\ * #,##0_);_([$€-2]\ * \(#,##0\);_([$€-2]\ * &quot;-&quot;??_);_(@_)"/>
    <numFmt numFmtId="175" formatCode="_(* #,##0_);_(* \(#,##0\);_(* &quot;-&quot;?_);_(@_)"/>
    <numFmt numFmtId="176" formatCode="0.0%"/>
    <numFmt numFmtId="177" formatCode="_-* #,##0\ [$CHF-100C]_-;\-* #,##0\ [$CHF-100C]_-;_-* &quot;-&quot;??\ [$CHF-100C]_-;_-@_-"/>
    <numFmt numFmtId="178" formatCode="0.000"/>
    <numFmt numFmtId="179" formatCode="_(* #,##0_);_(* \(#,##0\);_(* &quot;-&quot;???_);_(@_)"/>
    <numFmt numFmtId="180" formatCode="0000&quot;E&quot;"/>
    <numFmt numFmtId="181" formatCode="_(* #,##0.0_);_(* \(#,##0.0\);_(* &quot;-&quot;?_);_(@_)"/>
    <numFmt numFmtId="182" formatCode="0.0%;\(0.0\)%"/>
    <numFmt numFmtId="183" formatCode="0&quot;(A)&quot;"/>
  </numFmts>
  <fonts count="79" x14ac:knownFonts="1">
    <font>
      <sz val="11"/>
      <color theme="1"/>
      <name val="Aptos Narrow"/>
      <family val="2"/>
      <scheme val="minor"/>
    </font>
    <font>
      <sz val="10"/>
      <color theme="1"/>
      <name val="Calibri"/>
      <family val="2"/>
    </font>
    <font>
      <sz val="10"/>
      <color theme="1"/>
      <name val="Calibri"/>
      <family val="2"/>
    </font>
    <font>
      <sz val="10"/>
      <color theme="1"/>
      <name val="Calibri"/>
      <family val="2"/>
    </font>
    <font>
      <sz val="11"/>
      <color theme="1"/>
      <name val="Aptos Narrow"/>
      <family val="2"/>
      <scheme val="minor"/>
    </font>
    <font>
      <sz val="9"/>
      <color rgb="FF0000FF"/>
      <name val="Calibri"/>
      <family val="2"/>
    </font>
    <font>
      <sz val="9"/>
      <color theme="1"/>
      <name val="Calibri"/>
      <family val="2"/>
    </font>
    <font>
      <u val="singleAccounting"/>
      <sz val="9"/>
      <color rgb="FF0000FF"/>
      <name val="Calibri"/>
      <family val="2"/>
    </font>
    <font>
      <b/>
      <sz val="9"/>
      <color theme="1"/>
      <name val="Calibri"/>
      <family val="2"/>
    </font>
    <font>
      <i/>
      <sz val="9"/>
      <color theme="1"/>
      <name val="Calibri"/>
      <family val="2"/>
    </font>
    <font>
      <sz val="9"/>
      <name val="Calibri"/>
      <family val="2"/>
    </font>
    <font>
      <u val="singleAccounting"/>
      <sz val="9"/>
      <color theme="1"/>
      <name val="Calibri"/>
      <family val="2"/>
    </font>
    <font>
      <sz val="9"/>
      <color rgb="FFC00000"/>
      <name val="Calibri"/>
      <family val="2"/>
    </font>
    <font>
      <u val="singleAccounting"/>
      <sz val="9"/>
      <color rgb="FFC00000"/>
      <name val="Calibri"/>
      <family val="2"/>
    </font>
    <font>
      <sz val="11"/>
      <color theme="1"/>
      <name val="Calibri"/>
      <family val="2"/>
    </font>
    <font>
      <b/>
      <sz val="11"/>
      <color theme="1"/>
      <name val="Calibri"/>
      <family val="2"/>
    </font>
    <font>
      <b/>
      <sz val="9"/>
      <color theme="8"/>
      <name val="Calibri"/>
      <family val="2"/>
    </font>
    <font>
      <u/>
      <sz val="11"/>
      <color theme="1"/>
      <name val="Calibri"/>
      <family val="2"/>
    </font>
    <font>
      <u/>
      <sz val="11"/>
      <color theme="10"/>
      <name val="Aptos Narrow"/>
      <family val="2"/>
      <scheme val="minor"/>
    </font>
    <font>
      <b/>
      <sz val="9"/>
      <color rgb="FFA20000"/>
      <name val="Calibri"/>
      <family val="2"/>
    </font>
    <font>
      <u val="singleAccounting"/>
      <sz val="9"/>
      <name val="Calibri"/>
      <family val="2"/>
    </font>
    <font>
      <b/>
      <u/>
      <sz val="9"/>
      <color theme="1"/>
      <name val="Calibri"/>
      <family val="2"/>
    </font>
    <font>
      <b/>
      <sz val="9"/>
      <name val="Calibri"/>
      <family val="2"/>
    </font>
    <font>
      <sz val="11"/>
      <name val="Aptos Narrow"/>
      <family val="2"/>
      <scheme val="minor"/>
    </font>
    <font>
      <sz val="11"/>
      <color rgb="FF590000"/>
      <name val="Calibri"/>
      <family val="2"/>
    </font>
    <font>
      <b/>
      <u/>
      <sz val="11"/>
      <color theme="1"/>
      <name val="Calibri"/>
      <family val="2"/>
    </font>
    <font>
      <u/>
      <sz val="11"/>
      <color theme="10"/>
      <name val="Calibri"/>
      <family val="2"/>
    </font>
    <font>
      <sz val="8"/>
      <color theme="1"/>
      <name val="Calibri"/>
      <family val="2"/>
    </font>
    <font>
      <b/>
      <sz val="9"/>
      <color rgb="FF0000FF"/>
      <name val="Calibri"/>
      <family val="2"/>
    </font>
    <font>
      <u/>
      <sz val="9"/>
      <color theme="1"/>
      <name val="Calibri"/>
      <family val="2"/>
    </font>
    <font>
      <b/>
      <sz val="11"/>
      <color theme="1"/>
      <name val="Aptos Narrow"/>
      <family val="2"/>
      <scheme val="minor"/>
    </font>
    <font>
      <b/>
      <sz val="9"/>
      <color theme="0"/>
      <name val="Calibri"/>
      <family val="2"/>
    </font>
    <font>
      <i/>
      <sz val="9"/>
      <color theme="0"/>
      <name val="Calibri"/>
      <family val="2"/>
    </font>
    <font>
      <sz val="9"/>
      <color theme="0"/>
      <name val="Calibri"/>
      <family val="2"/>
    </font>
    <font>
      <b/>
      <sz val="9"/>
      <color rgb="FFFF0000"/>
      <name val="Calibri"/>
      <family val="2"/>
    </font>
    <font>
      <i/>
      <u/>
      <sz val="9"/>
      <color theme="1"/>
      <name val="Calibri"/>
      <family val="2"/>
    </font>
    <font>
      <b/>
      <sz val="16"/>
      <color theme="1"/>
      <name val="Calibri"/>
      <family val="2"/>
    </font>
    <font>
      <sz val="8"/>
      <color rgb="FF0000FF"/>
      <name val="Calibri"/>
      <family val="2"/>
    </font>
    <font>
      <u/>
      <sz val="8"/>
      <color theme="1"/>
      <name val="Calibri"/>
      <family val="2"/>
    </font>
    <font>
      <b/>
      <u/>
      <sz val="8"/>
      <color theme="1"/>
      <name val="Calibri"/>
      <family val="2"/>
    </font>
    <font>
      <b/>
      <sz val="8"/>
      <color theme="1"/>
      <name val="Calibri"/>
      <family val="2"/>
    </font>
    <font>
      <sz val="9"/>
      <color rgb="FFFF0000"/>
      <name val="Calibri"/>
      <family val="2"/>
    </font>
    <font>
      <b/>
      <i/>
      <sz val="9"/>
      <color theme="1"/>
      <name val="Calibri"/>
      <family val="2"/>
    </font>
    <font>
      <b/>
      <i/>
      <u/>
      <sz val="9"/>
      <color theme="1"/>
      <name val="Calibri"/>
      <family val="2"/>
    </font>
    <font>
      <i/>
      <sz val="8"/>
      <color theme="1"/>
      <name val="Times New Roman"/>
      <family val="1"/>
    </font>
    <font>
      <sz val="8"/>
      <color theme="1"/>
      <name val="Times New Roman"/>
      <family val="1"/>
    </font>
    <font>
      <b/>
      <sz val="8"/>
      <color theme="1"/>
      <name val="Times New Roman"/>
      <family val="1"/>
    </font>
    <font>
      <sz val="9"/>
      <color theme="1"/>
      <name val="Aptos Narrow"/>
      <family val="2"/>
      <scheme val="minor"/>
    </font>
    <font>
      <i/>
      <sz val="9"/>
      <color theme="2"/>
      <name val="Calibri"/>
      <family val="2"/>
    </font>
    <font>
      <b/>
      <sz val="10"/>
      <name val="Calibri"/>
      <family val="2"/>
    </font>
    <font>
      <sz val="8"/>
      <name val="Calibri"/>
      <family val="2"/>
    </font>
    <font>
      <sz val="8"/>
      <color theme="0"/>
      <name val="Calibri"/>
      <family val="2"/>
    </font>
    <font>
      <u/>
      <sz val="10"/>
      <color theme="1"/>
      <name val="Calibri"/>
      <family val="2"/>
    </font>
    <font>
      <b/>
      <sz val="10"/>
      <color theme="1"/>
      <name val="Calibri"/>
      <family val="2"/>
    </font>
    <font>
      <b/>
      <sz val="9"/>
      <color theme="9"/>
      <name val="Calibri"/>
      <family val="2"/>
    </font>
    <font>
      <b/>
      <u/>
      <sz val="11"/>
      <color theme="1"/>
      <name val="Aptos Narrow"/>
      <family val="2"/>
      <scheme val="minor"/>
    </font>
    <font>
      <sz val="10"/>
      <name val="Calibri"/>
      <family val="2"/>
    </font>
    <font>
      <i/>
      <sz val="10"/>
      <name val="Calibri"/>
      <family val="2"/>
    </font>
    <font>
      <sz val="8"/>
      <color theme="1"/>
      <name val="Aptos Narrow"/>
      <family val="2"/>
      <scheme val="minor"/>
    </font>
    <font>
      <sz val="8"/>
      <color rgb="FFFF0000"/>
      <name val="Calibri"/>
      <family val="2"/>
    </font>
    <font>
      <i/>
      <sz val="8"/>
      <color theme="2"/>
      <name val="Calibri"/>
      <family val="2"/>
    </font>
    <font>
      <i/>
      <u/>
      <sz val="8"/>
      <color theme="1"/>
      <name val="Calibri"/>
      <family val="2"/>
    </font>
    <font>
      <b/>
      <sz val="8"/>
      <name val="Calibri"/>
      <family val="2"/>
    </font>
    <font>
      <u val="singleAccounting"/>
      <sz val="8"/>
      <color theme="1"/>
      <name val="Calibri"/>
      <family val="2"/>
    </font>
    <font>
      <i/>
      <sz val="8"/>
      <color theme="1"/>
      <name val="Calibri"/>
      <family val="2"/>
    </font>
    <font>
      <b/>
      <sz val="25"/>
      <color theme="1"/>
      <name val="Calibri"/>
      <family val="2"/>
    </font>
    <font>
      <b/>
      <i/>
      <sz val="8"/>
      <color theme="1"/>
      <name val="Calibri"/>
      <family val="2"/>
    </font>
    <font>
      <b/>
      <sz val="20"/>
      <color theme="1"/>
      <name val="Calibri"/>
      <family val="2"/>
    </font>
    <font>
      <sz val="9"/>
      <color rgb="FFA20000"/>
      <name val="Calibri"/>
      <family val="2"/>
    </font>
    <font>
      <b/>
      <u val="singleAccounting"/>
      <sz val="8"/>
      <color theme="1"/>
      <name val="Calibri"/>
      <family val="2"/>
    </font>
    <font>
      <i/>
      <sz val="11"/>
      <color theme="1"/>
      <name val="Aptos Narrow"/>
      <family val="2"/>
      <scheme val="minor"/>
    </font>
    <font>
      <b/>
      <sz val="8"/>
      <color theme="1"/>
      <name val="Aptos Narrow"/>
      <family val="2"/>
      <scheme val="minor"/>
    </font>
    <font>
      <b/>
      <u/>
      <sz val="10"/>
      <color theme="0"/>
      <name val="Times New Roman"/>
      <family val="1"/>
    </font>
    <font>
      <sz val="10"/>
      <color theme="0"/>
      <name val="Times New Roman"/>
      <family val="1"/>
    </font>
    <font>
      <sz val="10"/>
      <color theme="1"/>
      <name val="Times New Roman"/>
      <family val="1"/>
    </font>
    <font>
      <b/>
      <sz val="10"/>
      <color theme="0"/>
      <name val="Times New Roman"/>
      <family val="1"/>
    </font>
    <font>
      <b/>
      <u/>
      <sz val="10"/>
      <color theme="1"/>
      <name val="Times New Roman"/>
      <family val="1"/>
    </font>
    <font>
      <i/>
      <sz val="10"/>
      <color theme="1"/>
      <name val="Times New Roman"/>
      <family val="1"/>
    </font>
    <font>
      <u/>
      <sz val="10"/>
      <color theme="1"/>
      <name val="Times New Roman"/>
      <family val="1"/>
    </font>
  </fonts>
  <fills count="13">
    <fill>
      <patternFill patternType="none"/>
    </fill>
    <fill>
      <patternFill patternType="gray125"/>
    </fill>
    <fill>
      <patternFill patternType="solid">
        <fgColor rgb="FFFFFF2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3"/>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dashed">
        <color auto="1"/>
      </top>
      <bottom/>
      <diagonal/>
    </border>
    <border>
      <left/>
      <right/>
      <top/>
      <bottom style="dash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tted">
        <color auto="1"/>
      </top>
      <bottom/>
      <diagonal/>
    </border>
    <border>
      <left/>
      <right/>
      <top style="hair">
        <color auto="1"/>
      </top>
      <bottom/>
      <diagonal/>
    </border>
    <border>
      <left/>
      <right/>
      <top/>
      <bottom style="dotted">
        <color auto="1"/>
      </bottom>
      <diagonal/>
    </border>
    <border>
      <left/>
      <right style="thin">
        <color indexed="64"/>
      </right>
      <top/>
      <bottom/>
      <diagonal/>
    </border>
    <border>
      <left/>
      <right/>
      <top style="thin">
        <color indexed="64"/>
      </top>
      <bottom style="double">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4">
    <xf numFmtId="0" fontId="0" fillId="0" borderId="0"/>
    <xf numFmtId="43" fontId="4" fillId="0" borderId="0" applyFont="0" applyFill="0" applyBorder="0" applyAlignment="0" applyProtection="0"/>
    <xf numFmtId="9" fontId="4" fillId="0" borderId="0" applyFont="0" applyFill="0" applyBorder="0" applyAlignment="0" applyProtection="0"/>
    <xf numFmtId="0" fontId="18" fillId="0" borderId="0" applyNumberFormat="0" applyFill="0" applyBorder="0" applyAlignment="0" applyProtection="0"/>
    <xf numFmtId="44" fontId="4"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574">
    <xf numFmtId="0" fontId="0" fillId="0" borderId="0" xfId="0"/>
    <xf numFmtId="164" fontId="5" fillId="0" borderId="0" xfId="1" applyNumberFormat="1" applyFont="1"/>
    <xf numFmtId="0" fontId="6" fillId="0" borderId="0" xfId="0" applyFont="1"/>
    <xf numFmtId="164" fontId="7" fillId="0" borderId="0" xfId="1" applyNumberFormat="1" applyFont="1"/>
    <xf numFmtId="0" fontId="8" fillId="0" borderId="0" xfId="0" applyFont="1" applyAlignment="1">
      <alignment horizontal="left" indent="1"/>
    </xf>
    <xf numFmtId="164" fontId="6" fillId="0" borderId="0" xfId="0" applyNumberFormat="1" applyFont="1"/>
    <xf numFmtId="0" fontId="9" fillId="0" borderId="0" xfId="0" applyFont="1" applyAlignment="1">
      <alignment horizontal="left" indent="1"/>
    </xf>
    <xf numFmtId="10" fontId="6" fillId="0" borderId="0" xfId="2" applyNumberFormat="1" applyFont="1"/>
    <xf numFmtId="164" fontId="10" fillId="0" borderId="0" xfId="1" applyNumberFormat="1" applyFont="1"/>
    <xf numFmtId="0" fontId="6" fillId="0" borderId="0" xfId="0" applyFont="1" applyAlignment="1">
      <alignment horizontal="left" indent="1"/>
    </xf>
    <xf numFmtId="165" fontId="6" fillId="0" borderId="0" xfId="0" applyNumberFormat="1" applyFont="1"/>
    <xf numFmtId="0" fontId="6" fillId="0" borderId="0" xfId="0" applyFont="1" applyAlignment="1">
      <alignment horizontal="left"/>
    </xf>
    <xf numFmtId="0" fontId="9" fillId="0" borderId="0" xfId="0" applyFont="1"/>
    <xf numFmtId="0" fontId="8" fillId="0" borderId="0" xfId="0" applyFont="1"/>
    <xf numFmtId="164" fontId="7" fillId="2" borderId="0" xfId="1" applyNumberFormat="1" applyFont="1" applyFill="1"/>
    <xf numFmtId="164" fontId="7" fillId="0" borderId="0" xfId="1" applyNumberFormat="1" applyFont="1" applyFill="1"/>
    <xf numFmtId="165" fontId="5" fillId="0" borderId="0" xfId="0" applyNumberFormat="1" applyFont="1"/>
    <xf numFmtId="164" fontId="11" fillId="0" borderId="0" xfId="0" applyNumberFormat="1" applyFont="1"/>
    <xf numFmtId="164" fontId="8" fillId="0" borderId="0" xfId="0" applyNumberFormat="1" applyFont="1"/>
    <xf numFmtId="164" fontId="6" fillId="0" borderId="0" xfId="1" applyNumberFormat="1" applyFont="1"/>
    <xf numFmtId="164" fontId="5" fillId="0" borderId="0" xfId="0" applyNumberFormat="1" applyFont="1"/>
    <xf numFmtId="164" fontId="7" fillId="0" borderId="0" xfId="0" applyNumberFormat="1" applyFont="1"/>
    <xf numFmtId="164" fontId="13" fillId="0" borderId="0" xfId="0" applyNumberFormat="1" applyFont="1"/>
    <xf numFmtId="164" fontId="12" fillId="0" borderId="0" xfId="0" applyNumberFormat="1" applyFont="1"/>
    <xf numFmtId="9" fontId="6" fillId="0" borderId="0" xfId="2" applyFont="1"/>
    <xf numFmtId="0" fontId="14" fillId="0" borderId="0" xfId="0" applyFont="1"/>
    <xf numFmtId="0" fontId="14" fillId="0" borderId="0" xfId="0" applyFont="1" applyAlignment="1">
      <alignment horizontal="left" indent="1"/>
    </xf>
    <xf numFmtId="164" fontId="14" fillId="0" borderId="0" xfId="1" applyNumberFormat="1" applyFont="1"/>
    <xf numFmtId="164" fontId="14" fillId="0" borderId="0" xfId="0" applyNumberFormat="1" applyFont="1"/>
    <xf numFmtId="168" fontId="14" fillId="0" borderId="0" xfId="0" applyNumberFormat="1" applyFont="1"/>
    <xf numFmtId="0" fontId="16" fillId="0" borderId="0" xfId="0" applyFont="1"/>
    <xf numFmtId="0" fontId="17" fillId="0" borderId="0" xfId="0" applyFont="1"/>
    <xf numFmtId="0" fontId="18" fillId="0" borderId="0" xfId="3"/>
    <xf numFmtId="164" fontId="5" fillId="0" borderId="0" xfId="1" applyNumberFormat="1" applyFont="1" applyFill="1"/>
    <xf numFmtId="164" fontId="6" fillId="0" borderId="0" xfId="1" applyNumberFormat="1" applyFont="1" applyFill="1"/>
    <xf numFmtId="169" fontId="6" fillId="0" borderId="0" xfId="2" applyNumberFormat="1" applyFont="1"/>
    <xf numFmtId="164" fontId="6" fillId="2" borderId="0" xfId="0" applyNumberFormat="1" applyFont="1" applyFill="1"/>
    <xf numFmtId="164" fontId="10" fillId="0" borderId="0" xfId="1" applyNumberFormat="1" applyFont="1" applyFill="1"/>
    <xf numFmtId="164" fontId="20" fillId="0" borderId="0" xfId="1" applyNumberFormat="1" applyFont="1" applyFill="1"/>
    <xf numFmtId="164" fontId="20" fillId="0" borderId="0" xfId="1" applyNumberFormat="1" applyFont="1"/>
    <xf numFmtId="0" fontId="21" fillId="0" borderId="0" xfId="0" applyFont="1"/>
    <xf numFmtId="169" fontId="8" fillId="0" borderId="0" xfId="2" applyNumberFormat="1" applyFont="1"/>
    <xf numFmtId="169" fontId="22" fillId="0" borderId="0" xfId="2" applyNumberFormat="1" applyFont="1"/>
    <xf numFmtId="169" fontId="10" fillId="0" borderId="0" xfId="2" applyNumberFormat="1" applyFont="1"/>
    <xf numFmtId="164" fontId="10" fillId="0" borderId="0" xfId="0" applyNumberFormat="1" applyFont="1"/>
    <xf numFmtId="0" fontId="10" fillId="0" borderId="0" xfId="0" applyFont="1"/>
    <xf numFmtId="170" fontId="6" fillId="0" borderId="0" xfId="2" applyNumberFormat="1" applyFont="1"/>
    <xf numFmtId="0" fontId="6" fillId="0" borderId="0" xfId="2" applyNumberFormat="1" applyFont="1"/>
    <xf numFmtId="0" fontId="24" fillId="0" borderId="0" xfId="0" applyFont="1"/>
    <xf numFmtId="170" fontId="8" fillId="0" borderId="0" xfId="2" applyNumberFormat="1" applyFont="1"/>
    <xf numFmtId="0" fontId="25" fillId="0" borderId="0" xfId="0" applyFont="1"/>
    <xf numFmtId="0" fontId="14" fillId="0" borderId="1" xfId="0" applyFont="1" applyBorder="1"/>
    <xf numFmtId="0" fontId="14" fillId="0" borderId="0" xfId="0" applyFont="1" applyAlignment="1">
      <alignment vertical="center"/>
    </xf>
    <xf numFmtId="0" fontId="26" fillId="0" borderId="0" xfId="3" applyFont="1" applyAlignment="1">
      <alignment vertical="center"/>
    </xf>
    <xf numFmtId="0" fontId="14" fillId="2" borderId="0" xfId="0" applyFont="1" applyFill="1" applyAlignment="1">
      <alignment vertical="center"/>
    </xf>
    <xf numFmtId="0" fontId="27" fillId="0" borderId="0" xfId="0" applyFont="1" applyAlignment="1">
      <alignment vertical="center" wrapText="1"/>
    </xf>
    <xf numFmtId="0" fontId="26" fillId="0" borderId="0" xfId="3" applyFont="1"/>
    <xf numFmtId="0" fontId="14" fillId="2" borderId="0" xfId="0" applyFont="1" applyFill="1"/>
    <xf numFmtId="164" fontId="28" fillId="0" borderId="0" xfId="1" applyNumberFormat="1" applyFont="1" applyFill="1"/>
    <xf numFmtId="164" fontId="20" fillId="0" borderId="0" xfId="0" applyNumberFormat="1" applyFont="1"/>
    <xf numFmtId="0" fontId="6" fillId="0" borderId="0" xfId="0" applyFont="1" applyAlignment="1">
      <alignment horizontal="center"/>
    </xf>
    <xf numFmtId="0" fontId="10" fillId="0" borderId="0" xfId="0" applyFont="1" applyAlignment="1">
      <alignment horizontal="center"/>
    </xf>
    <xf numFmtId="0" fontId="8" fillId="0" borderId="0" xfId="0" applyFont="1" applyAlignment="1">
      <alignment horizontal="center"/>
    </xf>
    <xf numFmtId="170" fontId="29" fillId="0" borderId="0" xfId="2" applyNumberFormat="1" applyFont="1"/>
    <xf numFmtId="170" fontId="9" fillId="0" borderId="0" xfId="2" applyNumberFormat="1" applyFont="1"/>
    <xf numFmtId="164" fontId="6" fillId="3" borderId="0" xfId="0" applyNumberFormat="1" applyFont="1" applyFill="1"/>
    <xf numFmtId="171" fontId="5" fillId="0" borderId="0" xfId="1" applyNumberFormat="1" applyFont="1"/>
    <xf numFmtId="14" fontId="14" fillId="0" borderId="0" xfId="0" applyNumberFormat="1" applyFont="1"/>
    <xf numFmtId="0" fontId="29" fillId="0" borderId="0" xfId="0" applyFont="1"/>
    <xf numFmtId="9" fontId="10" fillId="0" borderId="0" xfId="2" applyFont="1"/>
    <xf numFmtId="0" fontId="8" fillId="4" borderId="0" xfId="0" applyFont="1" applyFill="1"/>
    <xf numFmtId="0" fontId="6" fillId="4" borderId="0" xfId="0" applyFont="1" applyFill="1"/>
    <xf numFmtId="0" fontId="0" fillId="4" borderId="0" xfId="0" applyFill="1"/>
    <xf numFmtId="0" fontId="10" fillId="4" borderId="0" xfId="0" applyFont="1" applyFill="1"/>
    <xf numFmtId="0" fontId="23" fillId="4" borderId="0" xfId="0" applyFont="1" applyFill="1"/>
    <xf numFmtId="169" fontId="10" fillId="4" borderId="0" xfId="2" applyNumberFormat="1" applyFont="1" applyFill="1"/>
    <xf numFmtId="0" fontId="30" fillId="0" borderId="1" xfId="0" applyFont="1" applyBorder="1"/>
    <xf numFmtId="168" fontId="6" fillId="0" borderId="0" xfId="0" applyNumberFormat="1" applyFont="1"/>
    <xf numFmtId="0" fontId="8" fillId="0" borderId="2" xfId="0" applyFont="1" applyBorder="1" applyAlignment="1">
      <alignment horizontal="left" indent="1"/>
    </xf>
    <xf numFmtId="164" fontId="6" fillId="0" borderId="2" xfId="0" applyNumberFormat="1" applyFont="1" applyBorder="1"/>
    <xf numFmtId="0" fontId="6" fillId="0" borderId="2" xfId="0" applyFont="1" applyBorder="1"/>
    <xf numFmtId="0" fontId="9" fillId="0" borderId="3" xfId="0" applyFont="1" applyBorder="1" applyAlignment="1">
      <alignment horizontal="left" indent="1"/>
    </xf>
    <xf numFmtId="169" fontId="6" fillId="0" borderId="3" xfId="2" applyNumberFormat="1" applyFont="1" applyBorder="1"/>
    <xf numFmtId="164" fontId="5" fillId="5" borderId="0" xfId="1" applyNumberFormat="1" applyFont="1" applyFill="1"/>
    <xf numFmtId="0" fontId="6" fillId="5" borderId="0" xfId="0" applyFont="1" applyFill="1"/>
    <xf numFmtId="0" fontId="31" fillId="6" borderId="0" xfId="0" applyFont="1" applyFill="1" applyAlignment="1">
      <alignment horizontal="left" indent="1"/>
    </xf>
    <xf numFmtId="170" fontId="32" fillId="6" borderId="0" xfId="2" applyNumberFormat="1" applyFont="1" applyFill="1"/>
    <xf numFmtId="0" fontId="33" fillId="6" borderId="0" xfId="0" applyFont="1" applyFill="1"/>
    <xf numFmtId="165" fontId="10" fillId="0" borderId="0" xfId="0" applyNumberFormat="1" applyFont="1"/>
    <xf numFmtId="164" fontId="10" fillId="0" borderId="2" xfId="0" applyNumberFormat="1" applyFont="1" applyBorder="1"/>
    <xf numFmtId="169" fontId="10" fillId="0" borderId="3" xfId="2" applyNumberFormat="1" applyFont="1" applyBorder="1"/>
    <xf numFmtId="10" fontId="10" fillId="0" borderId="0" xfId="2" applyNumberFormat="1" applyFont="1"/>
    <xf numFmtId="164" fontId="22" fillId="0" borderId="0" xfId="0" applyNumberFormat="1" applyFont="1"/>
    <xf numFmtId="169" fontId="10" fillId="7" borderId="0" xfId="2" applyNumberFormat="1" applyFont="1" applyFill="1"/>
    <xf numFmtId="175" fontId="6" fillId="0" borderId="0" xfId="0" applyNumberFormat="1" applyFont="1"/>
    <xf numFmtId="169" fontId="5" fillId="8" borderId="0" xfId="2" applyNumberFormat="1" applyFont="1" applyFill="1"/>
    <xf numFmtId="0" fontId="15" fillId="0" borderId="0" xfId="0" applyFont="1"/>
    <xf numFmtId="168" fontId="14" fillId="5" borderId="0" xfId="0" applyNumberFormat="1" applyFont="1" applyFill="1"/>
    <xf numFmtId="43" fontId="6" fillId="0" borderId="0" xfId="1" applyFont="1"/>
    <xf numFmtId="0" fontId="6" fillId="0" borderId="7" xfId="0" applyFont="1" applyBorder="1"/>
    <xf numFmtId="169" fontId="6" fillId="0" borderId="7" xfId="2" applyNumberFormat="1" applyFont="1" applyBorder="1"/>
    <xf numFmtId="169" fontId="10" fillId="0" borderId="7" xfId="2" applyNumberFormat="1" applyFont="1" applyBorder="1"/>
    <xf numFmtId="168" fontId="5" fillId="0" borderId="7" xfId="1" applyNumberFormat="1" applyFont="1" applyBorder="1"/>
    <xf numFmtId="0" fontId="6" fillId="0" borderId="8" xfId="0" applyFont="1" applyBorder="1"/>
    <xf numFmtId="169" fontId="6" fillId="0" borderId="8" xfId="2" applyNumberFormat="1" applyFont="1" applyBorder="1"/>
    <xf numFmtId="169" fontId="10" fillId="0" borderId="8" xfId="2" applyNumberFormat="1" applyFont="1" applyBorder="1"/>
    <xf numFmtId="168" fontId="5" fillId="0" borderId="8" xfId="1" applyNumberFormat="1" applyFont="1" applyBorder="1"/>
    <xf numFmtId="169" fontId="6" fillId="0" borderId="0" xfId="2" applyNumberFormat="1" applyFont="1" applyAlignment="1">
      <alignment horizontal="center"/>
    </xf>
    <xf numFmtId="169" fontId="8" fillId="0" borderId="3" xfId="2" applyNumberFormat="1" applyFont="1" applyBorder="1"/>
    <xf numFmtId="176" fontId="6" fillId="0" borderId="0" xfId="2" applyNumberFormat="1" applyFont="1"/>
    <xf numFmtId="9" fontId="6" fillId="0" borderId="7" xfId="2" applyFont="1" applyBorder="1"/>
    <xf numFmtId="175" fontId="6" fillId="0" borderId="7" xfId="0" applyNumberFormat="1" applyFont="1" applyBorder="1"/>
    <xf numFmtId="169" fontId="6" fillId="0" borderId="0" xfId="2" applyNumberFormat="1" applyFont="1" applyBorder="1"/>
    <xf numFmtId="169" fontId="5" fillId="8" borderId="9" xfId="2" applyNumberFormat="1" applyFont="1" applyFill="1" applyBorder="1"/>
    <xf numFmtId="0" fontId="6" fillId="3" borderId="0" xfId="0" applyFont="1" applyFill="1"/>
    <xf numFmtId="168" fontId="6" fillId="3" borderId="0" xfId="0" applyNumberFormat="1" applyFont="1" applyFill="1"/>
    <xf numFmtId="9" fontId="6" fillId="0" borderId="0" xfId="2" applyFont="1" applyBorder="1"/>
    <xf numFmtId="0" fontId="6" fillId="0" borderId="0" xfId="0" applyFont="1" applyAlignment="1">
      <alignment horizontal="left" indent="2"/>
    </xf>
    <xf numFmtId="0" fontId="9" fillId="0" borderId="0" xfId="0" applyFont="1" applyAlignment="1">
      <alignment horizontal="left" indent="2"/>
    </xf>
    <xf numFmtId="10" fontId="10" fillId="0" borderId="0" xfId="2" applyNumberFormat="1" applyFont="1" applyBorder="1"/>
    <xf numFmtId="10" fontId="5" fillId="0" borderId="0" xfId="2" applyNumberFormat="1" applyFont="1" applyBorder="1"/>
    <xf numFmtId="175" fontId="8" fillId="0" borderId="0" xfId="0" applyNumberFormat="1" applyFont="1"/>
    <xf numFmtId="9" fontId="6" fillId="0" borderId="0" xfId="2" applyFont="1" applyFill="1" applyBorder="1" applyAlignment="1">
      <alignment horizontal="center"/>
    </xf>
    <xf numFmtId="0" fontId="6" fillId="0" borderId="3" xfId="0" applyFont="1" applyBorder="1"/>
    <xf numFmtId="0" fontId="34" fillId="0" borderId="0" xfId="0" applyFont="1"/>
    <xf numFmtId="166" fontId="6" fillId="0" borderId="0" xfId="0" applyNumberFormat="1" applyFont="1"/>
    <xf numFmtId="172" fontId="6" fillId="0" borderId="0" xfId="0" applyNumberFormat="1" applyFont="1"/>
    <xf numFmtId="165" fontId="6" fillId="3" borderId="0" xfId="0" applyNumberFormat="1" applyFont="1" applyFill="1"/>
    <xf numFmtId="3" fontId="6" fillId="0" borderId="0" xfId="0" applyNumberFormat="1" applyFont="1"/>
    <xf numFmtId="173" fontId="6" fillId="0" borderId="0" xfId="4" applyNumberFormat="1" applyFont="1"/>
    <xf numFmtId="174" fontId="6" fillId="0" borderId="0" xfId="0" applyNumberFormat="1" applyFont="1" applyAlignment="1">
      <alignment horizontal="left"/>
    </xf>
    <xf numFmtId="0" fontId="8" fillId="0" borderId="4" xfId="0" applyFont="1" applyBorder="1"/>
    <xf numFmtId="165" fontId="8" fillId="0" borderId="0" xfId="0" applyNumberFormat="1" applyFont="1"/>
    <xf numFmtId="43" fontId="6" fillId="0" borderId="0" xfId="0" applyNumberFormat="1" applyFont="1"/>
    <xf numFmtId="167" fontId="6" fillId="0" borderId="0" xfId="0" applyNumberFormat="1" applyFont="1"/>
    <xf numFmtId="0" fontId="29" fillId="0" borderId="0" xfId="0" applyFont="1" applyAlignment="1">
      <alignment horizontal="center"/>
    </xf>
    <xf numFmtId="168" fontId="5" fillId="9" borderId="0" xfId="0" applyNumberFormat="1" applyFont="1" applyFill="1"/>
    <xf numFmtId="174" fontId="6" fillId="0" borderId="0" xfId="0" applyNumberFormat="1" applyFont="1"/>
    <xf numFmtId="0" fontId="6" fillId="9" borderId="4" xfId="0" applyFont="1" applyFill="1" applyBorder="1" applyAlignment="1">
      <alignment horizontal="left" indent="1"/>
    </xf>
    <xf numFmtId="0" fontId="6" fillId="9" borderId="5" xfId="0" applyFont="1" applyFill="1" applyBorder="1"/>
    <xf numFmtId="166" fontId="6" fillId="9" borderId="6" xfId="0" applyNumberFormat="1" applyFont="1" applyFill="1" applyBorder="1"/>
    <xf numFmtId="0" fontId="9" fillId="0" borderId="0" xfId="5" applyFont="1"/>
    <xf numFmtId="178" fontId="9" fillId="0" borderId="0" xfId="5" applyNumberFormat="1" applyFont="1"/>
    <xf numFmtId="0" fontId="6" fillId="0" borderId="0" xfId="5" applyFont="1"/>
    <xf numFmtId="0" fontId="21" fillId="0" borderId="0" xfId="5" applyFont="1"/>
    <xf numFmtId="10" fontId="5" fillId="0" borderId="0" xfId="5" applyNumberFormat="1" applyFont="1"/>
    <xf numFmtId="9" fontId="5" fillId="0" borderId="0" xfId="5" applyNumberFormat="1" applyFont="1"/>
    <xf numFmtId="43" fontId="5" fillId="0" borderId="0" xfId="6" applyFont="1"/>
    <xf numFmtId="0" fontId="35" fillId="0" borderId="0" xfId="5" applyFont="1"/>
    <xf numFmtId="0" fontId="6" fillId="0" borderId="1" xfId="5" applyFont="1" applyBorder="1" applyAlignment="1">
      <alignment horizontal="center"/>
    </xf>
    <xf numFmtId="9" fontId="6" fillId="0" borderId="0" xfId="7" applyFont="1"/>
    <xf numFmtId="164" fontId="6" fillId="0" borderId="0" xfId="6" applyNumberFormat="1" applyFont="1"/>
    <xf numFmtId="0" fontId="8" fillId="0" borderId="0" xfId="5" applyFont="1"/>
    <xf numFmtId="164" fontId="11" fillId="0" borderId="0" xfId="6" applyNumberFormat="1" applyFont="1"/>
    <xf numFmtId="164" fontId="6" fillId="0" borderId="0" xfId="5" applyNumberFormat="1" applyFont="1"/>
    <xf numFmtId="0" fontId="6" fillId="0" borderId="11" xfId="5" applyFont="1" applyBorder="1"/>
    <xf numFmtId="0" fontId="6" fillId="0" borderId="0" xfId="5" applyFont="1" applyAlignment="1">
      <alignment horizontal="left" indent="1"/>
    </xf>
    <xf numFmtId="10" fontId="6" fillId="0" borderId="0" xfId="5" applyNumberFormat="1" applyFont="1"/>
    <xf numFmtId="164" fontId="8" fillId="0" borderId="0" xfId="6" applyNumberFormat="1" applyFont="1"/>
    <xf numFmtId="0" fontId="6" fillId="0" borderId="4" xfId="5" applyFont="1" applyBorder="1"/>
    <xf numFmtId="177" fontId="6" fillId="0" borderId="6" xfId="6" applyNumberFormat="1" applyFont="1" applyBorder="1"/>
    <xf numFmtId="0" fontId="6" fillId="3" borderId="0" xfId="5" applyFont="1" applyFill="1"/>
    <xf numFmtId="10" fontId="5" fillId="3" borderId="0" xfId="5" applyNumberFormat="1" applyFont="1" applyFill="1"/>
    <xf numFmtId="164" fontId="8" fillId="5" borderId="0" xfId="1" applyNumberFormat="1" applyFont="1" applyFill="1"/>
    <xf numFmtId="9" fontId="6" fillId="0" borderId="0" xfId="2" applyFont="1" applyFill="1" applyBorder="1"/>
    <xf numFmtId="177" fontId="6" fillId="0" borderId="0" xfId="5" applyNumberFormat="1" applyFont="1"/>
    <xf numFmtId="166" fontId="8" fillId="0" borderId="0" xfId="0" applyNumberFormat="1" applyFont="1"/>
    <xf numFmtId="9" fontId="8" fillId="5" borderId="0" xfId="7" applyFont="1" applyFill="1"/>
    <xf numFmtId="166" fontId="31" fillId="0" borderId="0" xfId="5" applyNumberFormat="1" applyFont="1" applyAlignment="1">
      <alignment horizontal="center" vertical="center" wrapText="1"/>
    </xf>
    <xf numFmtId="10" fontId="8" fillId="0" borderId="1" xfId="5" applyNumberFormat="1" applyFont="1" applyBorder="1" applyAlignment="1">
      <alignment horizontal="center" vertical="center" wrapText="1"/>
    </xf>
    <xf numFmtId="10" fontId="6" fillId="0" borderId="10" xfId="5" applyNumberFormat="1" applyFont="1" applyBorder="1" applyAlignment="1">
      <alignment vertical="center" wrapText="1"/>
    </xf>
    <xf numFmtId="177" fontId="6" fillId="0" borderId="0" xfId="5" applyNumberFormat="1" applyFont="1" applyAlignment="1">
      <alignment vertical="center" wrapText="1"/>
    </xf>
    <xf numFmtId="9" fontId="14" fillId="0" borderId="0" xfId="0" applyNumberFormat="1" applyFont="1"/>
    <xf numFmtId="0" fontId="15" fillId="0" borderId="1" xfId="0" applyFont="1" applyBorder="1" applyAlignment="1">
      <alignment horizontal="center" wrapText="1"/>
    </xf>
    <xf numFmtId="0" fontId="9" fillId="0" borderId="17" xfId="0" applyFont="1" applyBorder="1"/>
    <xf numFmtId="164" fontId="8" fillId="0" borderId="17" xfId="0" applyNumberFormat="1" applyFont="1" applyBorder="1"/>
    <xf numFmtId="173" fontId="14" fillId="0" borderId="0" xfId="4" applyNumberFormat="1" applyFont="1"/>
    <xf numFmtId="0" fontId="6" fillId="3" borderId="0" xfId="0" applyFont="1" applyFill="1" applyAlignment="1">
      <alignment horizontal="left" indent="1"/>
    </xf>
    <xf numFmtId="164" fontId="5" fillId="3" borderId="0" xfId="1" applyNumberFormat="1" applyFont="1" applyFill="1"/>
    <xf numFmtId="0" fontId="6" fillId="0" borderId="0" xfId="0" applyFont="1" applyAlignment="1">
      <alignment horizontal="left" indent="3"/>
    </xf>
    <xf numFmtId="164" fontId="7" fillId="5" borderId="0" xfId="0" applyNumberFormat="1" applyFont="1" applyFill="1"/>
    <xf numFmtId="164" fontId="7" fillId="5" borderId="0" xfId="1" applyNumberFormat="1" applyFont="1" applyFill="1"/>
    <xf numFmtId="164" fontId="5" fillId="0" borderId="1" xfId="1" applyNumberFormat="1" applyFont="1" applyBorder="1"/>
    <xf numFmtId="0" fontId="30" fillId="0" borderId="0" xfId="0" applyFont="1"/>
    <xf numFmtId="44" fontId="14" fillId="3" borderId="0" xfId="4" applyFont="1" applyFill="1"/>
    <xf numFmtId="0" fontId="25" fillId="0" borderId="0" xfId="0" applyFont="1" applyAlignment="1">
      <alignment horizontal="left" indent="1"/>
    </xf>
    <xf numFmtId="0" fontId="14" fillId="0" borderId="0" xfId="0" applyFont="1" applyAlignment="1">
      <alignment horizontal="left" indent="2"/>
    </xf>
    <xf numFmtId="0" fontId="27" fillId="0" borderId="0" xfId="0" applyFont="1"/>
    <xf numFmtId="0" fontId="39" fillId="0" borderId="0" xfId="0" applyFont="1"/>
    <xf numFmtId="0" fontId="38" fillId="0" borderId="0" xfId="0" applyFont="1"/>
    <xf numFmtId="164" fontId="37" fillId="0" borderId="0" xfId="1" applyNumberFormat="1" applyFont="1"/>
    <xf numFmtId="0" fontId="27" fillId="0" borderId="1" xfId="0" applyFont="1" applyBorder="1"/>
    <xf numFmtId="164" fontId="37" fillId="0" borderId="1" xfId="1" applyNumberFormat="1" applyFont="1" applyBorder="1"/>
    <xf numFmtId="0" fontId="27" fillId="0" borderId="0" xfId="0" applyFont="1" applyAlignment="1">
      <alignment horizontal="left"/>
    </xf>
    <xf numFmtId="0" fontId="27" fillId="5" borderId="0" xfId="0" applyFont="1" applyFill="1" applyAlignment="1">
      <alignment horizontal="left"/>
    </xf>
    <xf numFmtId="0" fontId="27" fillId="5" borderId="0" xfId="0" applyFont="1" applyFill="1"/>
    <xf numFmtId="0" fontId="40" fillId="0" borderId="0" xfId="0" applyFont="1" applyAlignment="1">
      <alignment horizontal="left" indent="1"/>
    </xf>
    <xf numFmtId="164" fontId="27" fillId="0" borderId="0" xfId="1" applyNumberFormat="1" applyFont="1"/>
    <xf numFmtId="164" fontId="40" fillId="0" borderId="0" xfId="0" applyNumberFormat="1" applyFont="1"/>
    <xf numFmtId="164" fontId="14" fillId="0" borderId="0" xfId="1" applyNumberFormat="1" applyFont="1" applyAlignment="1">
      <alignment horizontal="left" indent="2"/>
    </xf>
    <xf numFmtId="9" fontId="6" fillId="0" borderId="0" xfId="0" applyNumberFormat="1" applyFont="1"/>
    <xf numFmtId="169" fontId="8" fillId="5" borderId="0" xfId="2" applyNumberFormat="1" applyFont="1" applyFill="1"/>
    <xf numFmtId="9" fontId="6" fillId="5" borderId="0" xfId="2" applyFont="1" applyFill="1"/>
    <xf numFmtId="164" fontId="6" fillId="0" borderId="0" xfId="2" applyNumberFormat="1" applyFont="1"/>
    <xf numFmtId="164" fontId="11" fillId="0" borderId="0" xfId="2" applyNumberFormat="1" applyFont="1"/>
    <xf numFmtId="164" fontId="8" fillId="0" borderId="0" xfId="2" applyNumberFormat="1" applyFont="1"/>
    <xf numFmtId="164" fontId="5" fillId="5" borderId="0" xfId="0" applyNumberFormat="1" applyFont="1" applyFill="1"/>
    <xf numFmtId="0" fontId="0" fillId="5" borderId="0" xfId="0" applyFill="1"/>
    <xf numFmtId="164" fontId="6" fillId="5" borderId="0" xfId="0" applyNumberFormat="1" applyFont="1" applyFill="1"/>
    <xf numFmtId="164" fontId="8" fillId="5" borderId="0" xfId="1" applyNumberFormat="1" applyFont="1" applyFill="1" applyBorder="1"/>
    <xf numFmtId="177" fontId="6" fillId="7" borderId="0" xfId="5" applyNumberFormat="1" applyFont="1" applyFill="1"/>
    <xf numFmtId="0" fontId="6" fillId="10" borderId="0" xfId="5" applyFont="1" applyFill="1"/>
    <xf numFmtId="10" fontId="10" fillId="10" borderId="0" xfId="5" applyNumberFormat="1" applyFont="1" applyFill="1"/>
    <xf numFmtId="9" fontId="6" fillId="0" borderId="0" xfId="5" applyNumberFormat="1" applyFont="1"/>
    <xf numFmtId="177" fontId="6" fillId="0" borderId="5" xfId="6" applyNumberFormat="1" applyFont="1" applyBorder="1"/>
    <xf numFmtId="177" fontId="33" fillId="0" borderId="0" xfId="5" applyNumberFormat="1" applyFont="1"/>
    <xf numFmtId="9" fontId="10" fillId="0" borderId="0" xfId="5" applyNumberFormat="1" applyFont="1"/>
    <xf numFmtId="174" fontId="10" fillId="0" borderId="0" xfId="0" applyNumberFormat="1" applyFont="1"/>
    <xf numFmtId="0" fontId="9" fillId="0" borderId="1" xfId="0" applyFont="1" applyBorder="1"/>
    <xf numFmtId="174" fontId="6" fillId="0" borderId="1" xfId="0" applyNumberFormat="1" applyFont="1" applyBorder="1"/>
    <xf numFmtId="9" fontId="5" fillId="0" borderId="0" xfId="7" applyFont="1"/>
    <xf numFmtId="9" fontId="5" fillId="0" borderId="0" xfId="7" applyFont="1" applyBorder="1"/>
    <xf numFmtId="164" fontId="6" fillId="0" borderId="0" xfId="6" applyNumberFormat="1" applyFont="1" applyBorder="1"/>
    <xf numFmtId="164" fontId="11" fillId="0" borderId="0" xfId="6" applyNumberFormat="1" applyFont="1" applyBorder="1"/>
    <xf numFmtId="9" fontId="28" fillId="5" borderId="0" xfId="7" applyFont="1" applyFill="1" applyBorder="1"/>
    <xf numFmtId="9" fontId="28" fillId="5" borderId="0" xfId="7" applyFont="1" applyFill="1"/>
    <xf numFmtId="0" fontId="6" fillId="0" borderId="1" xfId="5" applyFont="1" applyBorder="1"/>
    <xf numFmtId="0" fontId="41" fillId="0" borderId="0" xfId="5" applyFont="1"/>
    <xf numFmtId="174" fontId="8" fillId="0" borderId="6" xfId="0" applyNumberFormat="1" applyFont="1" applyBorder="1"/>
    <xf numFmtId="164" fontId="6" fillId="0" borderId="0" xfId="0" applyNumberFormat="1" applyFont="1" applyAlignment="1">
      <alignment horizontal="center"/>
    </xf>
    <xf numFmtId="164" fontId="11" fillId="0" borderId="0" xfId="0" applyNumberFormat="1" applyFont="1" applyAlignment="1">
      <alignment horizontal="center"/>
    </xf>
    <xf numFmtId="166" fontId="5" fillId="0" borderId="0" xfId="4" applyNumberFormat="1" applyFont="1" applyAlignment="1">
      <alignment horizontal="center"/>
    </xf>
    <xf numFmtId="0" fontId="5" fillId="0" borderId="0" xfId="0" applyFont="1" applyAlignment="1">
      <alignment horizontal="center"/>
    </xf>
    <xf numFmtId="168" fontId="6" fillId="0" borderId="0" xfId="0" applyNumberFormat="1" applyFont="1" applyAlignment="1">
      <alignment horizontal="center"/>
    </xf>
    <xf numFmtId="168" fontId="5" fillId="0" borderId="0" xfId="1" applyNumberFormat="1" applyFont="1" applyBorder="1"/>
    <xf numFmtId="169" fontId="8" fillId="0" borderId="0" xfId="2" applyNumberFormat="1" applyFont="1" applyBorder="1"/>
    <xf numFmtId="164" fontId="5" fillId="0" borderId="0" xfId="1" applyNumberFormat="1" applyFont="1" applyBorder="1"/>
    <xf numFmtId="9" fontId="6" fillId="0" borderId="0" xfId="2" applyFont="1" applyAlignment="1">
      <alignment horizontal="center"/>
    </xf>
    <xf numFmtId="0" fontId="19" fillId="5" borderId="0" xfId="0" applyFont="1" applyFill="1"/>
    <xf numFmtId="168" fontId="6" fillId="5" borderId="0" xfId="0" applyNumberFormat="1" applyFont="1" applyFill="1"/>
    <xf numFmtId="9" fontId="6" fillId="5" borderId="0" xfId="2" applyFont="1" applyFill="1" applyBorder="1"/>
    <xf numFmtId="0" fontId="33" fillId="0" borderId="0" xfId="0" applyFont="1"/>
    <xf numFmtId="14" fontId="44" fillId="0" borderId="1" xfId="0" applyNumberFormat="1" applyFont="1" applyBorder="1"/>
    <xf numFmtId="0" fontId="45" fillId="0" borderId="0" xfId="0" applyFont="1"/>
    <xf numFmtId="0" fontId="46" fillId="0" borderId="1" xfId="0" applyFont="1" applyBorder="1" applyAlignment="1">
      <alignment horizontal="center" vertical="center" wrapText="1"/>
    </xf>
    <xf numFmtId="0" fontId="45" fillId="0" borderId="0" xfId="0" applyFont="1" applyAlignment="1">
      <alignment vertical="center"/>
    </xf>
    <xf numFmtId="0" fontId="46" fillId="0" borderId="1" xfId="0" applyFont="1" applyBorder="1" applyAlignment="1">
      <alignment horizontal="center" wrapText="1"/>
    </xf>
    <xf numFmtId="174" fontId="45" fillId="0" borderId="0" xfId="0" applyNumberFormat="1" applyFont="1" applyAlignment="1">
      <alignment vertical="center"/>
    </xf>
    <xf numFmtId="174" fontId="45" fillId="0" borderId="0" xfId="0" applyNumberFormat="1" applyFont="1"/>
    <xf numFmtId="173" fontId="45" fillId="0" borderId="0" xfId="4" applyNumberFormat="1" applyFont="1" applyAlignment="1">
      <alignment vertical="center"/>
    </xf>
    <xf numFmtId="9" fontId="46" fillId="0" borderId="0" xfId="2" applyFont="1" applyAlignment="1">
      <alignment horizontal="center"/>
    </xf>
    <xf numFmtId="0" fontId="45" fillId="0" borderId="0" xfId="0" applyFont="1" applyAlignment="1">
      <alignment horizontal="center"/>
    </xf>
    <xf numFmtId="9" fontId="45" fillId="0" borderId="0" xfId="0" applyNumberFormat="1" applyFont="1" applyAlignment="1">
      <alignment horizontal="center"/>
    </xf>
    <xf numFmtId="9" fontId="45" fillId="0" borderId="0" xfId="0" applyNumberFormat="1" applyFont="1"/>
    <xf numFmtId="174" fontId="45" fillId="0" borderId="0" xfId="0" applyNumberFormat="1" applyFont="1" applyAlignment="1">
      <alignment horizontal="center"/>
    </xf>
    <xf numFmtId="173" fontId="45" fillId="0" borderId="0" xfId="4" applyNumberFormat="1" applyFont="1" applyAlignment="1">
      <alignment horizontal="center"/>
    </xf>
    <xf numFmtId="168" fontId="46" fillId="0" borderId="0" xfId="0" applyNumberFormat="1" applyFont="1" applyAlignment="1">
      <alignment horizontal="center"/>
    </xf>
    <xf numFmtId="168" fontId="45" fillId="0" borderId="0" xfId="0" applyNumberFormat="1" applyFont="1" applyAlignment="1">
      <alignment horizontal="center"/>
    </xf>
    <xf numFmtId="168" fontId="45" fillId="0" borderId="0" xfId="0" applyNumberFormat="1" applyFont="1"/>
    <xf numFmtId="174" fontId="45" fillId="0" borderId="0" xfId="4" applyNumberFormat="1" applyFont="1"/>
    <xf numFmtId="0" fontId="45" fillId="0" borderId="4" xfId="0" applyFont="1" applyBorder="1"/>
    <xf numFmtId="0" fontId="45" fillId="0" borderId="5" xfId="0" applyFont="1" applyBorder="1"/>
    <xf numFmtId="168" fontId="45" fillId="0" borderId="5" xfId="0" applyNumberFormat="1" applyFont="1" applyBorder="1" applyAlignment="1">
      <alignment horizontal="center"/>
    </xf>
    <xf numFmtId="0" fontId="45" fillId="0" borderId="5" xfId="0" applyFont="1" applyBorder="1" applyAlignment="1">
      <alignment horizontal="center"/>
    </xf>
    <xf numFmtId="168" fontId="45" fillId="0" borderId="5" xfId="0" applyNumberFormat="1" applyFont="1" applyBorder="1"/>
    <xf numFmtId="168" fontId="45" fillId="0" borderId="6" xfId="0" applyNumberFormat="1" applyFont="1" applyBorder="1" applyAlignment="1">
      <alignment horizontal="center"/>
    </xf>
    <xf numFmtId="168" fontId="46" fillId="0" borderId="5" xfId="0" applyNumberFormat="1" applyFont="1" applyBorder="1" applyAlignment="1">
      <alignment horizontal="center"/>
    </xf>
    <xf numFmtId="164" fontId="6" fillId="2" borderId="0" xfId="2" applyNumberFormat="1" applyFont="1" applyFill="1" applyBorder="1" applyAlignment="1">
      <alignment horizontal="center"/>
    </xf>
    <xf numFmtId="166" fontId="5" fillId="0" borderId="0" xfId="4" applyNumberFormat="1" applyFont="1" applyBorder="1" applyAlignment="1">
      <alignment horizontal="center"/>
    </xf>
    <xf numFmtId="164" fontId="7" fillId="0" borderId="0" xfId="1" applyNumberFormat="1" applyFont="1" applyBorder="1"/>
    <xf numFmtId="164" fontId="6" fillId="0" borderId="0" xfId="1" applyNumberFormat="1" applyFont="1" applyBorder="1"/>
    <xf numFmtId="170" fontId="6" fillId="0" borderId="0" xfId="2" applyNumberFormat="1" applyFont="1" applyBorder="1"/>
    <xf numFmtId="170" fontId="29" fillId="0" borderId="0" xfId="2" applyNumberFormat="1" applyFont="1" applyBorder="1"/>
    <xf numFmtId="170" fontId="9" fillId="0" borderId="0" xfId="2" applyNumberFormat="1" applyFont="1" applyBorder="1"/>
    <xf numFmtId="170" fontId="32" fillId="6" borderId="0" xfId="2" applyNumberFormat="1" applyFont="1" applyFill="1" applyBorder="1"/>
    <xf numFmtId="164" fontId="10" fillId="0" borderId="0" xfId="1" applyNumberFormat="1" applyFont="1" applyBorder="1"/>
    <xf numFmtId="10" fontId="6" fillId="0" borderId="0" xfId="2" applyNumberFormat="1" applyFont="1" applyBorder="1"/>
    <xf numFmtId="9" fontId="10" fillId="0" borderId="0" xfId="2" applyFont="1" applyBorder="1"/>
    <xf numFmtId="164" fontId="7" fillId="2" borderId="0" xfId="1" applyNumberFormat="1" applyFont="1" applyFill="1" applyBorder="1"/>
    <xf numFmtId="164" fontId="7" fillId="0" borderId="0" xfId="1" applyNumberFormat="1" applyFont="1" applyFill="1" applyBorder="1"/>
    <xf numFmtId="164" fontId="5" fillId="3" borderId="0" xfId="1" applyNumberFormat="1" applyFont="1" applyFill="1" applyBorder="1"/>
    <xf numFmtId="164" fontId="6" fillId="0" borderId="0" xfId="2" applyNumberFormat="1" applyFont="1" applyBorder="1"/>
    <xf numFmtId="164" fontId="11" fillId="0" borderId="0" xfId="2" applyNumberFormat="1" applyFont="1" applyBorder="1"/>
    <xf numFmtId="164" fontId="8" fillId="0" borderId="0" xfId="2" applyNumberFormat="1" applyFont="1" applyBorder="1"/>
    <xf numFmtId="179" fontId="6" fillId="0" borderId="11" xfId="5" applyNumberFormat="1" applyFont="1" applyBorder="1"/>
    <xf numFmtId="179" fontId="6" fillId="0" borderId="0" xfId="5" applyNumberFormat="1" applyFont="1"/>
    <xf numFmtId="180" fontId="6" fillId="0" borderId="1" xfId="5" applyNumberFormat="1" applyFont="1" applyBorder="1" applyAlignment="1">
      <alignment horizontal="center"/>
    </xf>
    <xf numFmtId="10" fontId="33" fillId="0" borderId="0" xfId="5" applyNumberFormat="1" applyFont="1" applyAlignment="1">
      <alignment vertical="center" wrapText="1"/>
    </xf>
    <xf numFmtId="0" fontId="10" fillId="0" borderId="0" xfId="5" applyFont="1"/>
    <xf numFmtId="43" fontId="5" fillId="0" borderId="0" xfId="5" applyNumberFormat="1" applyFont="1"/>
    <xf numFmtId="181" fontId="6" fillId="0" borderId="0" xfId="0" applyNumberFormat="1" applyFont="1"/>
    <xf numFmtId="0" fontId="6" fillId="0" borderId="0" xfId="5" applyFont="1" applyAlignment="1">
      <alignment horizontal="center"/>
    </xf>
    <xf numFmtId="9" fontId="5" fillId="0" borderId="0" xfId="2" applyFont="1" applyFill="1" applyBorder="1"/>
    <xf numFmtId="9" fontId="8" fillId="0" borderId="0" xfId="7" applyFont="1" applyFill="1"/>
    <xf numFmtId="9" fontId="28" fillId="0" borderId="0" xfId="7" applyFont="1" applyFill="1" applyBorder="1"/>
    <xf numFmtId="164" fontId="11" fillId="0" borderId="0" xfId="5" applyNumberFormat="1" applyFont="1"/>
    <xf numFmtId="0" fontId="6" fillId="0" borderId="18" xfId="5" applyFont="1" applyBorder="1"/>
    <xf numFmtId="177" fontId="6" fillId="0" borderId="18" xfId="5" applyNumberFormat="1" applyFont="1" applyBorder="1"/>
    <xf numFmtId="9" fontId="6" fillId="0" borderId="18" xfId="2" applyFont="1" applyBorder="1"/>
    <xf numFmtId="10" fontId="6" fillId="0" borderId="18" xfId="5" applyNumberFormat="1" applyFont="1" applyBorder="1"/>
    <xf numFmtId="9" fontId="6" fillId="0" borderId="18" xfId="5" applyNumberFormat="1" applyFont="1" applyBorder="1"/>
    <xf numFmtId="0" fontId="6" fillId="0" borderId="18" xfId="5" applyFont="1" applyBorder="1" applyAlignment="1">
      <alignment horizontal="center"/>
    </xf>
    <xf numFmtId="9" fontId="47" fillId="0" borderId="18" xfId="2" applyFont="1" applyBorder="1" applyAlignment="1">
      <alignment horizontal="center"/>
    </xf>
    <xf numFmtId="177" fontId="6" fillId="0" borderId="18" xfId="1" applyNumberFormat="1" applyFont="1" applyBorder="1" applyAlignment="1">
      <alignment horizontal="center"/>
    </xf>
    <xf numFmtId="177" fontId="6" fillId="0" borderId="18" xfId="5" applyNumberFormat="1" applyFont="1" applyBorder="1" applyAlignment="1">
      <alignment horizontal="left" indent="1"/>
    </xf>
    <xf numFmtId="0" fontId="31" fillId="6" borderId="18" xfId="5" applyFont="1" applyFill="1" applyBorder="1" applyAlignment="1">
      <alignment horizontal="center"/>
    </xf>
    <xf numFmtId="0" fontId="6" fillId="4" borderId="18" xfId="5" applyFont="1" applyFill="1" applyBorder="1" applyAlignment="1">
      <alignment horizontal="center"/>
    </xf>
    <xf numFmtId="177" fontId="6" fillId="4" borderId="18" xfId="5" applyNumberFormat="1" applyFont="1" applyFill="1" applyBorder="1"/>
    <xf numFmtId="9" fontId="6" fillId="4" borderId="18" xfId="5" applyNumberFormat="1" applyFont="1" applyFill="1" applyBorder="1" applyAlignment="1">
      <alignment horizontal="center"/>
    </xf>
    <xf numFmtId="0" fontId="8" fillId="0" borderId="19" xfId="5" applyFont="1" applyBorder="1" applyAlignment="1">
      <alignment horizontal="center"/>
    </xf>
    <xf numFmtId="168" fontId="6" fillId="0" borderId="0" xfId="5" applyNumberFormat="1" applyFont="1"/>
    <xf numFmtId="0" fontId="6" fillId="0" borderId="20" xfId="5" applyFont="1" applyBorder="1"/>
    <xf numFmtId="9" fontId="6" fillId="0" borderId="20" xfId="2" applyFont="1" applyBorder="1"/>
    <xf numFmtId="43" fontId="5" fillId="0" borderId="0" xfId="5" applyNumberFormat="1" applyFont="1" applyAlignment="1">
      <alignment horizontal="center"/>
    </xf>
    <xf numFmtId="0" fontId="6" fillId="0" borderId="16" xfId="5" applyFont="1" applyBorder="1"/>
    <xf numFmtId="0" fontId="48" fillId="0" borderId="0" xfId="5" applyFont="1" applyAlignment="1">
      <alignment horizontal="center"/>
    </xf>
    <xf numFmtId="0" fontId="6" fillId="0" borderId="5" xfId="5" applyFont="1" applyBorder="1"/>
    <xf numFmtId="9" fontId="6" fillId="0" borderId="5" xfId="2" applyFont="1" applyBorder="1"/>
    <xf numFmtId="164" fontId="8" fillId="0" borderId="0" xfId="5" applyNumberFormat="1" applyFont="1"/>
    <xf numFmtId="0" fontId="37" fillId="0" borderId="18" xfId="5" applyFont="1" applyBorder="1"/>
    <xf numFmtId="0" fontId="37" fillId="0" borderId="10" xfId="5" applyFont="1" applyBorder="1"/>
    <xf numFmtId="10" fontId="10" fillId="0" borderId="0" xfId="5" applyNumberFormat="1" applyFont="1"/>
    <xf numFmtId="168" fontId="6" fillId="0" borderId="0" xfId="2" applyNumberFormat="1" applyFont="1"/>
    <xf numFmtId="0" fontId="5" fillId="0" borderId="0" xfId="5" applyFont="1"/>
    <xf numFmtId="0" fontId="42" fillId="0" borderId="0" xfId="0" applyFont="1" applyAlignment="1">
      <alignment horizontal="left" indent="1"/>
    </xf>
    <xf numFmtId="176" fontId="8" fillId="0" borderId="0" xfId="2" applyNumberFormat="1" applyFont="1"/>
    <xf numFmtId="176" fontId="8" fillId="0" borderId="0" xfId="2" applyNumberFormat="1" applyFont="1" applyBorder="1"/>
    <xf numFmtId="9" fontId="8" fillId="0" borderId="0" xfId="2" applyFont="1" applyAlignment="1">
      <alignment horizontal="center"/>
    </xf>
    <xf numFmtId="169" fontId="6" fillId="0" borderId="0" xfId="2" applyNumberFormat="1" applyFont="1" applyFill="1" applyBorder="1"/>
    <xf numFmtId="169" fontId="10" fillId="0" borderId="0" xfId="2" applyNumberFormat="1" applyFont="1" applyFill="1" applyBorder="1"/>
    <xf numFmtId="0" fontId="42" fillId="0" borderId="0" xfId="0" applyFont="1" applyAlignment="1">
      <alignment horizontal="left"/>
    </xf>
    <xf numFmtId="164" fontId="6" fillId="0" borderId="0" xfId="1" applyNumberFormat="1" applyFont="1" applyFill="1" applyBorder="1"/>
    <xf numFmtId="169" fontId="5" fillId="9" borderId="0" xfId="2" applyNumberFormat="1" applyFont="1" applyFill="1"/>
    <xf numFmtId="169" fontId="8" fillId="0" borderId="0" xfId="2" applyNumberFormat="1" applyFont="1" applyFill="1" applyBorder="1"/>
    <xf numFmtId="169" fontId="22" fillId="0" borderId="0" xfId="2" applyNumberFormat="1" applyFont="1" applyFill="1" applyBorder="1"/>
    <xf numFmtId="168" fontId="8" fillId="0" borderId="0" xfId="0" applyNumberFormat="1" applyFont="1" applyAlignment="1">
      <alignment horizontal="center"/>
    </xf>
    <xf numFmtId="9" fontId="8" fillId="0" borderId="0" xfId="2" applyFont="1" applyFill="1" applyBorder="1"/>
    <xf numFmtId="9" fontId="5" fillId="9" borderId="0" xfId="0" applyNumberFormat="1" applyFont="1" applyFill="1"/>
    <xf numFmtId="9" fontId="8" fillId="0" borderId="0" xfId="2" applyFont="1"/>
    <xf numFmtId="0" fontId="51" fillId="0" borderId="1" xfId="0" applyFont="1" applyBorder="1"/>
    <xf numFmtId="0" fontId="50" fillId="0" borderId="1" xfId="0" applyFont="1" applyBorder="1" applyAlignment="1">
      <alignment horizontal="center"/>
    </xf>
    <xf numFmtId="0" fontId="51" fillId="0" borderId="1" xfId="0" applyFont="1" applyBorder="1" applyAlignment="1">
      <alignment horizontal="center"/>
    </xf>
    <xf numFmtId="0" fontId="6" fillId="0" borderId="22" xfId="5" applyFont="1" applyBorder="1"/>
    <xf numFmtId="0" fontId="6" fillId="0" borderId="17" xfId="5" applyFont="1" applyBorder="1"/>
    <xf numFmtId="164" fontId="6" fillId="0" borderId="21" xfId="5" applyNumberFormat="1" applyFont="1" applyBorder="1"/>
    <xf numFmtId="0" fontId="41" fillId="0" borderId="0" xfId="0" applyFont="1" applyAlignment="1">
      <alignment horizontal="center"/>
    </xf>
    <xf numFmtId="0" fontId="54" fillId="0" borderId="0" xfId="0" applyFont="1"/>
    <xf numFmtId="0" fontId="55" fillId="0" borderId="0" xfId="0" applyFont="1"/>
    <xf numFmtId="43" fontId="0" fillId="0" borderId="0" xfId="1" applyFont="1"/>
    <xf numFmtId="43" fontId="6" fillId="5" borderId="0" xfId="1" applyFont="1" applyFill="1"/>
    <xf numFmtId="0" fontId="8" fillId="12" borderId="0" xfId="0" applyFont="1" applyFill="1"/>
    <xf numFmtId="0" fontId="6" fillId="12" borderId="0" xfId="0" applyFont="1" applyFill="1"/>
    <xf numFmtId="0" fontId="56" fillId="12" borderId="0" xfId="0" applyFont="1" applyFill="1" applyAlignment="1">
      <alignment vertical="center"/>
    </xf>
    <xf numFmtId="164" fontId="6" fillId="12" borderId="0" xfId="0" applyNumberFormat="1" applyFont="1" applyFill="1"/>
    <xf numFmtId="0" fontId="56" fillId="12" borderId="0" xfId="0" applyFont="1" applyFill="1" applyAlignment="1">
      <alignment horizontal="left" vertical="center" indent="1"/>
    </xf>
    <xf numFmtId="164" fontId="29" fillId="12" borderId="0" xfId="0" applyNumberFormat="1" applyFont="1" applyFill="1"/>
    <xf numFmtId="0" fontId="57" fillId="12" borderId="0" xfId="0" applyFont="1" applyFill="1" applyAlignment="1">
      <alignment horizontal="left" vertical="center" indent="1"/>
    </xf>
    <xf numFmtId="9" fontId="6" fillId="12" borderId="0" xfId="2" applyFont="1" applyFill="1"/>
    <xf numFmtId="0" fontId="52" fillId="12" borderId="0" xfId="0" applyFont="1" applyFill="1"/>
    <xf numFmtId="43" fontId="6" fillId="12" borderId="0" xfId="0" applyNumberFormat="1" applyFont="1" applyFill="1"/>
    <xf numFmtId="0" fontId="53" fillId="12" borderId="0" xfId="0" applyFont="1" applyFill="1"/>
    <xf numFmtId="168" fontId="6" fillId="12" borderId="0" xfId="2" applyNumberFormat="1" applyFont="1" applyFill="1"/>
    <xf numFmtId="0" fontId="49" fillId="12" borderId="0" xfId="0" applyFont="1" applyFill="1" applyAlignment="1">
      <alignment vertical="center"/>
    </xf>
    <xf numFmtId="164" fontId="8" fillId="12" borderId="0" xfId="0" applyNumberFormat="1" applyFont="1" applyFill="1"/>
    <xf numFmtId="176" fontId="5" fillId="0" borderId="0" xfId="5" applyNumberFormat="1" applyFont="1"/>
    <xf numFmtId="10" fontId="6" fillId="0" borderId="0" xfId="5" applyNumberFormat="1" applyFont="1" applyAlignment="1">
      <alignment vertical="center" wrapText="1"/>
    </xf>
    <xf numFmtId="0" fontId="27" fillId="0" borderId="0" xfId="5" applyFont="1"/>
    <xf numFmtId="0" fontId="58" fillId="0" borderId="0" xfId="0" applyFont="1"/>
    <xf numFmtId="0" fontId="27" fillId="0" borderId="1" xfId="5" applyFont="1" applyBorder="1"/>
    <xf numFmtId="0" fontId="39" fillId="0" borderId="0" xfId="5" applyFont="1"/>
    <xf numFmtId="0" fontId="38" fillId="0" borderId="0" xfId="5" applyFont="1" applyAlignment="1">
      <alignment horizontal="center"/>
    </xf>
    <xf numFmtId="176" fontId="37" fillId="0" borderId="0" xfId="5" applyNumberFormat="1" applyFont="1"/>
    <xf numFmtId="0" fontId="27" fillId="10" borderId="0" xfId="5" applyFont="1" applyFill="1"/>
    <xf numFmtId="176" fontId="27" fillId="0" borderId="0" xfId="2" applyNumberFormat="1" applyFont="1"/>
    <xf numFmtId="0" fontId="59" fillId="0" borderId="0" xfId="5" applyFont="1"/>
    <xf numFmtId="0" fontId="27" fillId="3" borderId="0" xfId="5" applyFont="1" applyFill="1"/>
    <xf numFmtId="176" fontId="37" fillId="3" borderId="0" xfId="5" applyNumberFormat="1" applyFont="1" applyFill="1"/>
    <xf numFmtId="43" fontId="37" fillId="0" borderId="0" xfId="6" applyFont="1"/>
    <xf numFmtId="9" fontId="37" fillId="0" borderId="0" xfId="5" applyNumberFormat="1" applyFont="1"/>
    <xf numFmtId="164" fontId="27" fillId="0" borderId="0" xfId="5" applyNumberFormat="1" applyFont="1"/>
    <xf numFmtId="0" fontId="60" fillId="0" borderId="0" xfId="5" applyFont="1" applyAlignment="1">
      <alignment horizontal="center"/>
    </xf>
    <xf numFmtId="0" fontId="61" fillId="0" borderId="0" xfId="5" applyFont="1"/>
    <xf numFmtId="9" fontId="27" fillId="0" borderId="0" xfId="7" applyFont="1"/>
    <xf numFmtId="9" fontId="50" fillId="0" borderId="0" xfId="7" applyFont="1" applyBorder="1"/>
    <xf numFmtId="164" fontId="27" fillId="0" borderId="0" xfId="6" applyNumberFormat="1" applyFont="1"/>
    <xf numFmtId="164" fontId="27" fillId="0" borderId="0" xfId="6" applyNumberFormat="1" applyFont="1" applyBorder="1"/>
    <xf numFmtId="9" fontId="27" fillId="0" borderId="0" xfId="2" applyFont="1" applyAlignment="1">
      <alignment horizontal="center"/>
    </xf>
    <xf numFmtId="0" fontId="40" fillId="0" borderId="0" xfId="5" applyFont="1"/>
    <xf numFmtId="9" fontId="40" fillId="0" borderId="0" xfId="7" applyFont="1" applyFill="1"/>
    <xf numFmtId="9" fontId="62" fillId="0" borderId="0" xfId="7" applyFont="1" applyFill="1" applyBorder="1"/>
    <xf numFmtId="164" fontId="40" fillId="0" borderId="0" xfId="5" applyNumberFormat="1" applyFont="1"/>
    <xf numFmtId="0" fontId="27" fillId="0" borderId="0" xfId="5" applyFont="1" applyAlignment="1">
      <alignment horizontal="left" indent="1"/>
    </xf>
    <xf numFmtId="9" fontId="27" fillId="0" borderId="0" xfId="2" applyFont="1"/>
    <xf numFmtId="164" fontId="63" fillId="0" borderId="0" xfId="1" applyNumberFormat="1" applyFont="1"/>
    <xf numFmtId="0" fontId="27" fillId="0" borderId="0" xfId="5" applyFont="1" applyAlignment="1">
      <alignment horizontal="left"/>
    </xf>
    <xf numFmtId="9" fontId="40" fillId="0" borderId="0" xfId="2" applyFont="1"/>
    <xf numFmtId="164" fontId="40" fillId="5" borderId="0" xfId="1" applyNumberFormat="1" applyFont="1" applyFill="1" applyBorder="1"/>
    <xf numFmtId="164" fontId="40" fillId="5" borderId="0" xfId="1" applyNumberFormat="1" applyFont="1" applyFill="1"/>
    <xf numFmtId="164" fontId="37" fillId="0" borderId="0" xfId="1" applyNumberFormat="1" applyFont="1" applyFill="1"/>
    <xf numFmtId="9" fontId="27" fillId="0" borderId="0" xfId="2" applyFont="1" applyFill="1" applyBorder="1"/>
    <xf numFmtId="9" fontId="37" fillId="0" borderId="0" xfId="2" applyFont="1" applyFill="1" applyBorder="1"/>
    <xf numFmtId="9" fontId="27" fillId="0" borderId="0" xfId="5" applyNumberFormat="1" applyFont="1"/>
    <xf numFmtId="0" fontId="64" fillId="0" borderId="0" xfId="5" applyFont="1"/>
    <xf numFmtId="178" fontId="64" fillId="0" borderId="0" xfId="5" applyNumberFormat="1" applyFont="1"/>
    <xf numFmtId="0" fontId="27" fillId="0" borderId="11" xfId="5" applyFont="1" applyBorder="1"/>
    <xf numFmtId="179" fontId="27" fillId="0" borderId="11" xfId="5" applyNumberFormat="1" applyFont="1" applyBorder="1"/>
    <xf numFmtId="179" fontId="27" fillId="0" borderId="0" xfId="5" applyNumberFormat="1" applyFont="1"/>
    <xf numFmtId="164" fontId="50" fillId="0" borderId="0" xfId="1" applyNumberFormat="1" applyFont="1"/>
    <xf numFmtId="0" fontId="64" fillId="0" borderId="0" xfId="5" applyFont="1" applyAlignment="1">
      <alignment horizontal="left" indent="1"/>
    </xf>
    <xf numFmtId="0" fontId="66" fillId="0" borderId="0" xfId="5" applyFont="1" applyAlignment="1">
      <alignment horizontal="left" indent="1"/>
    </xf>
    <xf numFmtId="0" fontId="6" fillId="9" borderId="0" xfId="11" applyFont="1" applyFill="1"/>
    <xf numFmtId="0" fontId="6" fillId="0" borderId="0" xfId="11" applyFont="1"/>
    <xf numFmtId="43" fontId="6" fillId="0" borderId="0" xfId="13" applyFont="1"/>
    <xf numFmtId="0" fontId="6" fillId="0" borderId="0" xfId="11" applyFont="1" applyAlignment="1">
      <alignment horizontal="left" indent="1"/>
    </xf>
    <xf numFmtId="164" fontId="5" fillId="0" borderId="0" xfId="13" applyNumberFormat="1" applyFont="1"/>
    <xf numFmtId="10" fontId="5" fillId="0" borderId="0" xfId="11" applyNumberFormat="1" applyFont="1"/>
    <xf numFmtId="43" fontId="6" fillId="0" borderId="0" xfId="11" applyNumberFormat="1" applyFont="1"/>
    <xf numFmtId="164" fontId="7" fillId="0" borderId="0" xfId="13" applyNumberFormat="1" applyFont="1"/>
    <xf numFmtId="164" fontId="6" fillId="0" borderId="0" xfId="11" applyNumberFormat="1" applyFont="1"/>
    <xf numFmtId="164" fontId="6" fillId="0" borderId="0" xfId="13" applyNumberFormat="1" applyFont="1"/>
    <xf numFmtId="164" fontId="11" fillId="0" borderId="0" xfId="13" applyNumberFormat="1" applyFont="1"/>
    <xf numFmtId="0" fontId="8" fillId="0" borderId="0" xfId="11" applyFont="1" applyAlignment="1">
      <alignment horizontal="left" indent="1"/>
    </xf>
    <xf numFmtId="164" fontId="8" fillId="0" borderId="0" xfId="11" applyNumberFormat="1" applyFont="1"/>
    <xf numFmtId="176" fontId="8" fillId="0" borderId="0" xfId="12" applyNumberFormat="1" applyFont="1"/>
    <xf numFmtId="164" fontId="8" fillId="0" borderId="0" xfId="13" applyNumberFormat="1" applyFont="1"/>
    <xf numFmtId="0" fontId="8" fillId="0" borderId="11" xfId="11" applyFont="1" applyBorder="1" applyAlignment="1">
      <alignment horizontal="left" indent="1"/>
    </xf>
    <xf numFmtId="164" fontId="8" fillId="0" borderId="11" xfId="11" applyNumberFormat="1" applyFont="1" applyBorder="1"/>
    <xf numFmtId="176" fontId="8" fillId="0" borderId="11" xfId="12" applyNumberFormat="1" applyFont="1" applyBorder="1"/>
    <xf numFmtId="0" fontId="5" fillId="0" borderId="0" xfId="11" applyFont="1"/>
    <xf numFmtId="0" fontId="29" fillId="0" borderId="0" xfId="11" applyFont="1"/>
    <xf numFmtId="2" fontId="6" fillId="0" borderId="0" xfId="11" applyNumberFormat="1" applyFont="1"/>
    <xf numFmtId="176" fontId="5" fillId="0" borderId="0" xfId="11" applyNumberFormat="1" applyFont="1"/>
    <xf numFmtId="0" fontId="8" fillId="0" borderId="0" xfId="11" applyFont="1"/>
    <xf numFmtId="0" fontId="8" fillId="4" borderId="0" xfId="11" applyFont="1" applyFill="1"/>
    <xf numFmtId="176" fontId="6" fillId="4" borderId="0" xfId="11" applyNumberFormat="1" applyFont="1" applyFill="1"/>
    <xf numFmtId="176" fontId="6" fillId="0" borderId="0" xfId="12" applyNumberFormat="1" applyFont="1"/>
    <xf numFmtId="0" fontId="40" fillId="0" borderId="17" xfId="5" applyFont="1" applyBorder="1"/>
    <xf numFmtId="164" fontId="40" fillId="0" borderId="17" xfId="5" applyNumberFormat="1" applyFont="1" applyBorder="1"/>
    <xf numFmtId="166" fontId="65" fillId="0" borderId="0" xfId="5" applyNumberFormat="1" applyFont="1" applyAlignment="1">
      <alignment horizontal="center" vertical="center"/>
    </xf>
    <xf numFmtId="164" fontId="27" fillId="0" borderId="17" xfId="5" applyNumberFormat="1" applyFont="1" applyBorder="1"/>
    <xf numFmtId="176" fontId="22" fillId="0" borderId="0" xfId="2" applyNumberFormat="1" applyFont="1" applyFill="1" applyBorder="1" applyAlignment="1">
      <alignment horizontal="center" vertical="center" wrapText="1"/>
    </xf>
    <xf numFmtId="0" fontId="40" fillId="0" borderId="1" xfId="5" applyFont="1" applyBorder="1" applyAlignment="1">
      <alignment horizontal="center"/>
    </xf>
    <xf numFmtId="183" fontId="40" fillId="0" borderId="1" xfId="5" applyNumberFormat="1" applyFont="1" applyBorder="1" applyAlignment="1">
      <alignment horizontal="center"/>
    </xf>
    <xf numFmtId="180" fontId="40" fillId="0" borderId="1" xfId="5" applyNumberFormat="1" applyFont="1" applyBorder="1" applyAlignment="1">
      <alignment horizontal="center"/>
    </xf>
    <xf numFmtId="0" fontId="40" fillId="0" borderId="0" xfId="5" applyFont="1" applyAlignment="1">
      <alignment horizontal="center"/>
    </xf>
    <xf numFmtId="2" fontId="64" fillId="0" borderId="0" xfId="5" applyNumberFormat="1" applyFont="1"/>
    <xf numFmtId="43" fontId="6" fillId="0" borderId="18" xfId="1" applyFont="1" applyBorder="1"/>
    <xf numFmtId="43" fontId="6" fillId="4" borderId="18" xfId="1" applyFont="1" applyFill="1" applyBorder="1"/>
    <xf numFmtId="164" fontId="6" fillId="0" borderId="18" xfId="1" applyNumberFormat="1" applyFont="1" applyBorder="1" applyAlignment="1">
      <alignment horizontal="center"/>
    </xf>
    <xf numFmtId="164" fontId="6" fillId="4" borderId="18" xfId="5" applyNumberFormat="1" applyFont="1" applyFill="1" applyBorder="1"/>
    <xf numFmtId="0" fontId="62" fillId="0" borderId="1" xfId="0" applyFont="1" applyBorder="1" applyAlignment="1">
      <alignment horizontal="center" vertical="center" wrapText="1"/>
    </xf>
    <xf numFmtId="10" fontId="27" fillId="0" borderId="0" xfId="5" applyNumberFormat="1" applyFont="1"/>
    <xf numFmtId="9" fontId="27" fillId="0" borderId="0" xfId="2" applyFont="1" applyBorder="1"/>
    <xf numFmtId="164" fontId="17" fillId="0" borderId="0" xfId="1" applyNumberFormat="1" applyFont="1"/>
    <xf numFmtId="164" fontId="15" fillId="0" borderId="0" xfId="0" applyNumberFormat="1" applyFont="1"/>
    <xf numFmtId="10" fontId="5" fillId="0" borderId="0" xfId="2" applyNumberFormat="1" applyFont="1"/>
    <xf numFmtId="164" fontId="6" fillId="0" borderId="0" xfId="2" applyNumberFormat="1" applyFont="1" applyBorder="1" applyAlignment="1">
      <alignment horizontal="center"/>
    </xf>
    <xf numFmtId="164" fontId="12" fillId="5" borderId="0" xfId="0" applyNumberFormat="1" applyFont="1" applyFill="1"/>
    <xf numFmtId="9" fontId="10" fillId="0" borderId="0" xfId="2" applyFont="1" applyFill="1"/>
    <xf numFmtId="164" fontId="6" fillId="5" borderId="0" xfId="2" applyNumberFormat="1" applyFont="1" applyFill="1"/>
    <xf numFmtId="0" fontId="68" fillId="5" borderId="0" xfId="0" applyFont="1" applyFill="1"/>
    <xf numFmtId="0" fontId="9" fillId="5" borderId="0" xfId="0" applyFont="1" applyFill="1" applyAlignment="1">
      <alignment horizontal="left" indent="1"/>
    </xf>
    <xf numFmtId="0" fontId="51" fillId="6" borderId="0" xfId="0" applyFont="1" applyFill="1"/>
    <xf numFmtId="0" fontId="51" fillId="6" borderId="0" xfId="0" applyFont="1" applyFill="1" applyAlignment="1">
      <alignment horizontal="center"/>
    </xf>
    <xf numFmtId="0" fontId="40" fillId="0" borderId="0" xfId="0" applyFont="1"/>
    <xf numFmtId="9" fontId="27" fillId="0" borderId="0" xfId="0" applyNumberFormat="1" applyFont="1" applyAlignment="1">
      <alignment horizontal="center"/>
    </xf>
    <xf numFmtId="168" fontId="37" fillId="0" borderId="0" xfId="0" applyNumberFormat="1" applyFont="1"/>
    <xf numFmtId="164" fontId="27" fillId="0" borderId="0" xfId="0" applyNumberFormat="1" applyFont="1"/>
    <xf numFmtId="165" fontId="27" fillId="0" borderId="0" xfId="0" applyNumberFormat="1" applyFont="1"/>
    <xf numFmtId="166" fontId="40" fillId="0" borderId="0" xfId="0" applyNumberFormat="1" applyFont="1"/>
    <xf numFmtId="164" fontId="63" fillId="0" borderId="0" xfId="0" applyNumberFormat="1" applyFont="1"/>
    <xf numFmtId="165" fontId="63" fillId="0" borderId="0" xfId="0" applyNumberFormat="1" applyFont="1"/>
    <xf numFmtId="166" fontId="69" fillId="0" borderId="0" xfId="0" applyNumberFormat="1" applyFont="1"/>
    <xf numFmtId="0" fontId="27" fillId="0" borderId="0" xfId="0" applyFont="1" applyAlignment="1">
      <alignment horizontal="center"/>
    </xf>
    <xf numFmtId="0" fontId="40" fillId="0" borderId="11" xfId="0" applyFont="1" applyBorder="1"/>
    <xf numFmtId="0" fontId="27" fillId="0" borderId="11" xfId="0" applyFont="1" applyBorder="1" applyAlignment="1">
      <alignment horizontal="center"/>
    </xf>
    <xf numFmtId="0" fontId="27" fillId="0" borderId="11" xfId="0" applyFont="1" applyBorder="1"/>
    <xf numFmtId="164" fontId="27" fillId="0" borderId="11" xfId="1" applyNumberFormat="1" applyFont="1" applyBorder="1"/>
    <xf numFmtId="165" fontId="27" fillId="0" borderId="11" xfId="0" applyNumberFormat="1" applyFont="1" applyBorder="1"/>
    <xf numFmtId="166" fontId="40" fillId="0" borderId="11" xfId="0" applyNumberFormat="1" applyFont="1" applyBorder="1"/>
    <xf numFmtId="0" fontId="27" fillId="0" borderId="15" xfId="5" applyFont="1" applyBorder="1"/>
    <xf numFmtId="43" fontId="37" fillId="0" borderId="14" xfId="6" applyFont="1" applyBorder="1"/>
    <xf numFmtId="0" fontId="27" fillId="0" borderId="13" xfId="0" applyFont="1" applyBorder="1"/>
    <xf numFmtId="164" fontId="27" fillId="0" borderId="12" xfId="1" applyNumberFormat="1" applyFont="1" applyBorder="1"/>
    <xf numFmtId="15" fontId="62" fillId="0" borderId="1" xfId="0" quotePrefix="1" applyNumberFormat="1" applyFont="1" applyBorder="1"/>
    <xf numFmtId="15" fontId="62" fillId="0" borderId="0" xfId="0" quotePrefix="1" applyNumberFormat="1" applyFont="1"/>
    <xf numFmtId="0" fontId="50" fillId="0" borderId="0" xfId="0" applyFont="1" applyAlignment="1">
      <alignment horizontal="center" vertical="center" wrapText="1"/>
    </xf>
    <xf numFmtId="0" fontId="50" fillId="0" borderId="17" xfId="0" applyFont="1" applyBorder="1" applyAlignment="1">
      <alignment horizontal="center" vertical="center" wrapText="1"/>
    </xf>
    <xf numFmtId="174" fontId="27" fillId="0" borderId="0" xfId="4" applyNumberFormat="1" applyFont="1" applyBorder="1"/>
    <xf numFmtId="168" fontId="50" fillId="0" borderId="0" xfId="0" applyNumberFormat="1" applyFont="1" applyAlignment="1">
      <alignment horizontal="center" vertical="center"/>
    </xf>
    <xf numFmtId="0" fontId="27" fillId="9" borderId="20" xfId="0" applyFont="1" applyFill="1" applyBorder="1"/>
    <xf numFmtId="174" fontId="27" fillId="9" borderId="20" xfId="0" applyNumberFormat="1" applyFont="1" applyFill="1" applyBorder="1" applyAlignment="1">
      <alignment horizontal="center"/>
    </xf>
    <xf numFmtId="168" fontId="27" fillId="9" borderId="20" xfId="0" applyNumberFormat="1" applyFont="1" applyFill="1" applyBorder="1" applyAlignment="1">
      <alignment horizontal="center"/>
    </xf>
    <xf numFmtId="0" fontId="27" fillId="0" borderId="4" xfId="0" applyFont="1" applyBorder="1"/>
    <xf numFmtId="174" fontId="27" fillId="0" borderId="5" xfId="4" applyNumberFormat="1" applyFont="1" applyBorder="1"/>
    <xf numFmtId="0" fontId="27" fillId="0" borderId="5" xfId="0" applyFont="1" applyBorder="1"/>
    <xf numFmtId="168" fontId="27" fillId="0" borderId="5" xfId="0" applyNumberFormat="1" applyFont="1" applyBorder="1" applyAlignment="1">
      <alignment horizontal="center"/>
    </xf>
    <xf numFmtId="0" fontId="27" fillId="0" borderId="5" xfId="0" applyFont="1" applyBorder="1" applyAlignment="1">
      <alignment horizontal="center"/>
    </xf>
    <xf numFmtId="0" fontId="27" fillId="0" borderId="6" xfId="0" applyFont="1" applyBorder="1" applyAlignment="1">
      <alignment horizontal="center"/>
    </xf>
    <xf numFmtId="173" fontId="27" fillId="0" borderId="0" xfId="4" applyNumberFormat="1" applyFont="1"/>
    <xf numFmtId="0" fontId="27" fillId="0" borderId="20" xfId="0" applyFont="1" applyBorder="1"/>
    <xf numFmtId="173" fontId="27" fillId="0" borderId="20" xfId="4" applyNumberFormat="1" applyFont="1" applyBorder="1"/>
    <xf numFmtId="168" fontId="50" fillId="0" borderId="20" xfId="0" applyNumberFormat="1" applyFont="1" applyBorder="1" applyAlignment="1">
      <alignment horizontal="center" vertical="center"/>
    </xf>
    <xf numFmtId="9" fontId="5" fillId="0" borderId="0" xfId="0" applyNumberFormat="1" applyFont="1"/>
    <xf numFmtId="10" fontId="8" fillId="0" borderId="0" xfId="2" applyNumberFormat="1" applyFont="1"/>
    <xf numFmtId="173" fontId="0" fillId="0" borderId="0" xfId="4" applyNumberFormat="1" applyFont="1"/>
    <xf numFmtId="0" fontId="70" fillId="0" borderId="0" xfId="0" applyFont="1"/>
    <xf numFmtId="9" fontId="0" fillId="0" borderId="0" xfId="2" applyFont="1"/>
    <xf numFmtId="164" fontId="28" fillId="0" borderId="0" xfId="1" applyNumberFormat="1" applyFont="1" applyFill="1" applyBorder="1"/>
    <xf numFmtId="9" fontId="6" fillId="0" borderId="0" xfId="2" applyFont="1" applyFill="1" applyAlignment="1">
      <alignment horizontal="center"/>
    </xf>
    <xf numFmtId="9" fontId="6" fillId="0" borderId="0" xfId="2" applyFont="1" applyFill="1"/>
    <xf numFmtId="164" fontId="5" fillId="0" borderId="0" xfId="1" applyNumberFormat="1" applyFont="1" applyFill="1" applyBorder="1"/>
    <xf numFmtId="0" fontId="43" fillId="0" borderId="0" xfId="0" applyFont="1"/>
    <xf numFmtId="174" fontId="45" fillId="0" borderId="0" xfId="4" applyNumberFormat="1" applyFont="1" applyFill="1"/>
    <xf numFmtId="173" fontId="45" fillId="0" borderId="0" xfId="4" applyNumberFormat="1" applyFont="1" applyFill="1" applyAlignment="1">
      <alignment horizontal="center"/>
    </xf>
    <xf numFmtId="3" fontId="58" fillId="0" borderId="0" xfId="0" applyNumberFormat="1" applyFont="1"/>
    <xf numFmtId="0" fontId="58" fillId="5" borderId="0" xfId="0" applyFont="1" applyFill="1"/>
    <xf numFmtId="0" fontId="71" fillId="0" borderId="0" xfId="0" applyFont="1"/>
    <xf numFmtId="14" fontId="58" fillId="0" borderId="0" xfId="0" applyNumberFormat="1" applyFont="1"/>
    <xf numFmtId="0" fontId="72" fillId="11" borderId="0" xfId="8" applyFont="1" applyFill="1"/>
    <xf numFmtId="0" fontId="73" fillId="11" borderId="0" xfId="8" applyFont="1" applyFill="1"/>
    <xf numFmtId="0" fontId="74" fillId="0" borderId="0" xfId="8" applyFont="1"/>
    <xf numFmtId="0" fontId="75" fillId="11" borderId="0" xfId="8" applyFont="1" applyFill="1" applyAlignment="1">
      <alignment horizontal="center"/>
    </xf>
    <xf numFmtId="0" fontId="76" fillId="0" borderId="0" xfId="8" applyFont="1"/>
    <xf numFmtId="0" fontId="74" fillId="0" borderId="0" xfId="8" applyFont="1" applyAlignment="1">
      <alignment horizontal="left" indent="1"/>
    </xf>
    <xf numFmtId="1" fontId="74" fillId="0" borderId="0" xfId="8" applyNumberFormat="1" applyFont="1"/>
    <xf numFmtId="0" fontId="77" fillId="0" borderId="0" xfId="8" applyFont="1" applyAlignment="1">
      <alignment horizontal="left" indent="2"/>
    </xf>
    <xf numFmtId="0" fontId="78" fillId="0" borderId="0" xfId="8" applyFont="1"/>
    <xf numFmtId="0" fontId="77" fillId="0" borderId="22" xfId="8" applyFont="1" applyBorder="1" applyAlignment="1">
      <alignment horizontal="left" indent="2"/>
    </xf>
    <xf numFmtId="0" fontId="74" fillId="0" borderId="20" xfId="8" applyFont="1" applyBorder="1" applyAlignment="1">
      <alignment horizontal="left" indent="1"/>
    </xf>
    <xf numFmtId="165" fontId="74" fillId="0" borderId="20" xfId="8" applyNumberFormat="1" applyFont="1" applyBorder="1"/>
    <xf numFmtId="14" fontId="74" fillId="0" borderId="0" xfId="8" applyNumberFormat="1" applyFont="1"/>
    <xf numFmtId="164" fontId="74" fillId="0" borderId="0" xfId="1" applyNumberFormat="1" applyFont="1"/>
    <xf numFmtId="9" fontId="74" fillId="0" borderId="0" xfId="2" applyFont="1"/>
    <xf numFmtId="14" fontId="74" fillId="0" borderId="0" xfId="8" quotePrefix="1" applyNumberFormat="1" applyFont="1"/>
    <xf numFmtId="14" fontId="74" fillId="0" borderId="1" xfId="8" quotePrefix="1" applyNumberFormat="1" applyFont="1" applyBorder="1"/>
    <xf numFmtId="164" fontId="74" fillId="0" borderId="1" xfId="1" applyNumberFormat="1" applyFont="1" applyBorder="1"/>
    <xf numFmtId="9" fontId="74" fillId="0" borderId="1" xfId="2" applyFont="1" applyBorder="1"/>
    <xf numFmtId="9" fontId="74" fillId="0" borderId="0" xfId="8" applyNumberFormat="1" applyFont="1"/>
    <xf numFmtId="182" fontId="74" fillId="0" borderId="0" xfId="9" applyNumberFormat="1" applyFont="1"/>
    <xf numFmtId="182" fontId="74" fillId="0" borderId="17" xfId="9" applyNumberFormat="1" applyFont="1" applyBorder="1"/>
    <xf numFmtId="182" fontId="74" fillId="0" borderId="21" xfId="9" applyNumberFormat="1" applyFont="1" applyBorder="1"/>
    <xf numFmtId="164" fontId="74" fillId="0" borderId="0" xfId="10" applyNumberFormat="1" applyFont="1" applyBorder="1"/>
    <xf numFmtId="0" fontId="74" fillId="12" borderId="0" xfId="8" applyFont="1" applyFill="1"/>
    <xf numFmtId="164" fontId="74" fillId="12" borderId="0" xfId="1" applyNumberFormat="1" applyFont="1" applyFill="1"/>
    <xf numFmtId="0" fontId="78" fillId="12" borderId="0" xfId="8" applyFont="1" applyFill="1"/>
    <xf numFmtId="0" fontId="74" fillId="12" borderId="0" xfId="8" applyFont="1" applyFill="1" applyAlignment="1">
      <alignment horizontal="left" indent="1"/>
    </xf>
    <xf numFmtId="0" fontId="77" fillId="12" borderId="22" xfId="8" applyFont="1" applyFill="1" applyBorder="1" applyAlignment="1">
      <alignment horizontal="left" indent="2"/>
    </xf>
    <xf numFmtId="182" fontId="74" fillId="12" borderId="17" xfId="9" applyNumberFormat="1" applyFont="1" applyFill="1" applyBorder="1"/>
    <xf numFmtId="182" fontId="74" fillId="12" borderId="21" xfId="9" applyNumberFormat="1" applyFont="1" applyFill="1" applyBorder="1"/>
    <xf numFmtId="16" fontId="75" fillId="11" borderId="0" xfId="8" quotePrefix="1" applyNumberFormat="1" applyFont="1" applyFill="1" applyAlignment="1">
      <alignment horizontal="center"/>
    </xf>
    <xf numFmtId="0" fontId="75" fillId="11" borderId="0" xfId="8" quotePrefix="1" applyFont="1" applyFill="1" applyAlignment="1">
      <alignment horizontal="center"/>
    </xf>
    <xf numFmtId="164" fontId="74" fillId="0" borderId="0" xfId="8" applyNumberFormat="1" applyFont="1"/>
    <xf numFmtId="0" fontId="6" fillId="12" borderId="2" xfId="0" applyFont="1" applyFill="1" applyBorder="1" applyAlignment="1">
      <alignment horizontal="left" indent="1"/>
    </xf>
    <xf numFmtId="164" fontId="6" fillId="12" borderId="2" xfId="0" applyNumberFormat="1" applyFont="1" applyFill="1" applyBorder="1"/>
    <xf numFmtId="0" fontId="6" fillId="12" borderId="2" xfId="0" applyFont="1" applyFill="1" applyBorder="1"/>
    <xf numFmtId="164" fontId="10" fillId="12" borderId="2" xfId="1" applyNumberFormat="1" applyFont="1" applyFill="1" applyBorder="1"/>
    <xf numFmtId="0" fontId="6" fillId="12" borderId="0" xfId="0" applyFont="1" applyFill="1" applyAlignment="1">
      <alignment horizontal="left" indent="1"/>
    </xf>
    <xf numFmtId="9" fontId="6" fillId="12" borderId="0" xfId="2" applyFont="1" applyFill="1" applyBorder="1"/>
    <xf numFmtId="9" fontId="6" fillId="12" borderId="0" xfId="2" applyFont="1" applyFill="1" applyBorder="1" applyAlignment="1">
      <alignment horizontal="center"/>
    </xf>
    <xf numFmtId="0" fontId="6" fillId="12" borderId="3" xfId="0" applyFont="1" applyFill="1" applyBorder="1" applyAlignment="1">
      <alignment horizontal="left" indent="1"/>
    </xf>
    <xf numFmtId="164" fontId="6" fillId="12" borderId="3" xfId="2" applyNumberFormat="1" applyFont="1" applyFill="1" applyBorder="1" applyAlignment="1">
      <alignment horizontal="center"/>
    </xf>
    <xf numFmtId="0" fontId="6" fillId="12" borderId="3" xfId="0" applyFont="1" applyFill="1" applyBorder="1"/>
    <xf numFmtId="0" fontId="8" fillId="0" borderId="20" xfId="0" applyFont="1" applyBorder="1" applyAlignment="1">
      <alignment horizontal="center"/>
    </xf>
    <xf numFmtId="0" fontId="34" fillId="0" borderId="0" xfId="0" applyFont="1" applyAlignment="1">
      <alignment horizontal="center"/>
    </xf>
    <xf numFmtId="166" fontId="67" fillId="0" borderId="4" xfId="5" applyNumberFormat="1" applyFont="1" applyBorder="1" applyAlignment="1">
      <alignment horizontal="left" vertical="center"/>
    </xf>
    <xf numFmtId="166" fontId="67" fillId="0" borderId="5" xfId="5" applyNumberFormat="1" applyFont="1" applyBorder="1" applyAlignment="1">
      <alignment horizontal="left" vertical="center"/>
    </xf>
    <xf numFmtId="166" fontId="67" fillId="0" borderId="6" xfId="5" applyNumberFormat="1" applyFont="1" applyBorder="1" applyAlignment="1">
      <alignment horizontal="left" vertical="center"/>
    </xf>
    <xf numFmtId="166" fontId="36" fillId="0" borderId="15" xfId="5" applyNumberFormat="1" applyFont="1" applyBorder="1" applyAlignment="1">
      <alignment horizontal="left" vertical="center"/>
    </xf>
    <xf numFmtId="0" fontId="36" fillId="0" borderId="14" xfId="5" applyFont="1" applyBorder="1" applyAlignment="1">
      <alignment horizontal="left" vertical="center"/>
    </xf>
    <xf numFmtId="0" fontId="36" fillId="0" borderId="13" xfId="5" applyFont="1" applyBorder="1" applyAlignment="1">
      <alignment horizontal="left" vertical="center"/>
    </xf>
    <xf numFmtId="0" fontId="36" fillId="0" borderId="12" xfId="5" applyFont="1" applyBorder="1" applyAlignment="1">
      <alignment horizontal="left" vertical="center"/>
    </xf>
    <xf numFmtId="0" fontId="62" fillId="0" borderId="1" xfId="0" applyFont="1" applyBorder="1" applyAlignment="1">
      <alignment horizontal="center" vertical="center" wrapText="1"/>
    </xf>
    <xf numFmtId="0" fontId="51" fillId="6" borderId="0" xfId="0" applyFont="1" applyFill="1" applyAlignment="1">
      <alignment horizontal="center"/>
    </xf>
  </cellXfs>
  <cellStyles count="14">
    <cellStyle name="Comma" xfId="1" builtinId="3"/>
    <cellStyle name="Comma 2" xfId="6" xr:uid="{ED572F3D-9711-40A4-9A4B-42D5C343A038}"/>
    <cellStyle name="Comma 3" xfId="10" xr:uid="{38825654-DC65-46EB-A4EC-E193224EDADD}"/>
    <cellStyle name="Comma 4" xfId="13" xr:uid="{08154FF4-230B-4B4E-8CAB-0ACB2739F923}"/>
    <cellStyle name="Currency" xfId="4" builtinId="4"/>
    <cellStyle name="Hyperlink" xfId="3" builtinId="8"/>
    <cellStyle name="Normal" xfId="0" builtinId="0"/>
    <cellStyle name="Normal 2" xfId="5" xr:uid="{70EC0512-4B2E-4C34-AFA5-311E6E8803AD}"/>
    <cellStyle name="Normal 3" xfId="8" xr:uid="{7E28F4C8-FC73-41A8-8D20-7CA6496BE2A0}"/>
    <cellStyle name="Normal 4" xfId="11" xr:uid="{55571398-A8D0-4658-8C7F-69062E27B3C8}"/>
    <cellStyle name="Percent" xfId="2" builtinId="5"/>
    <cellStyle name="Percent 2" xfId="7" xr:uid="{F2834C2B-B772-4834-87A0-2CEB649B9B17}"/>
    <cellStyle name="Percent 3" xfId="9" xr:uid="{27D44F12-1425-4474-80FA-A64118F4D29E}"/>
    <cellStyle name="Percent 4" xfId="12" xr:uid="{B3931196-D21E-4C18-A0F6-5D2530E7B2C3}"/>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FFFF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ichStyles" Target="richData/richStyles.xml"/><Relationship Id="rId30"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Comps!$AF$5</c:f>
              <c:strCache>
                <c:ptCount val="1"/>
                <c:pt idx="0">
                  <c:v>AERO</c:v>
                </c:pt>
              </c:strCache>
            </c:strRef>
          </c:tx>
          <c:spPr>
            <a:ln w="28575" cap="rnd">
              <a:solidFill>
                <a:schemeClr val="tx1"/>
              </a:solidFill>
              <a:prstDash val="solid"/>
              <a:round/>
            </a:ln>
            <a:effectLst/>
          </c:spPr>
          <c:marker>
            <c:symbol val="none"/>
          </c:marker>
          <c:cat>
            <c:numRef>
              <c:f>Comps!$S$6:$S$214</c:f>
              <c:numCache>
                <c:formatCode>m/d/yyyy</c:formatCode>
                <c:ptCount val="209"/>
                <c:pt idx="0">
                  <c:v>44562</c:v>
                </c:pt>
                <c:pt idx="1">
                  <c:v>44569</c:v>
                </c:pt>
                <c:pt idx="2">
                  <c:v>44576</c:v>
                </c:pt>
                <c:pt idx="3">
                  <c:v>44583</c:v>
                </c:pt>
                <c:pt idx="4">
                  <c:v>44590</c:v>
                </c:pt>
                <c:pt idx="5">
                  <c:v>44597</c:v>
                </c:pt>
                <c:pt idx="6">
                  <c:v>44604</c:v>
                </c:pt>
                <c:pt idx="7">
                  <c:v>44611</c:v>
                </c:pt>
                <c:pt idx="8">
                  <c:v>44618</c:v>
                </c:pt>
                <c:pt idx="9">
                  <c:v>44625</c:v>
                </c:pt>
                <c:pt idx="10">
                  <c:v>44632</c:v>
                </c:pt>
                <c:pt idx="11">
                  <c:v>44639</c:v>
                </c:pt>
                <c:pt idx="12">
                  <c:v>44646</c:v>
                </c:pt>
                <c:pt idx="13">
                  <c:v>44653</c:v>
                </c:pt>
                <c:pt idx="14">
                  <c:v>44660</c:v>
                </c:pt>
                <c:pt idx="15">
                  <c:v>44667</c:v>
                </c:pt>
                <c:pt idx="16">
                  <c:v>44674</c:v>
                </c:pt>
                <c:pt idx="17">
                  <c:v>44681</c:v>
                </c:pt>
                <c:pt idx="18">
                  <c:v>44688</c:v>
                </c:pt>
                <c:pt idx="19">
                  <c:v>44695</c:v>
                </c:pt>
                <c:pt idx="20">
                  <c:v>44702</c:v>
                </c:pt>
                <c:pt idx="21">
                  <c:v>44709</c:v>
                </c:pt>
                <c:pt idx="22">
                  <c:v>44716</c:v>
                </c:pt>
                <c:pt idx="23">
                  <c:v>44723</c:v>
                </c:pt>
                <c:pt idx="24">
                  <c:v>44730</c:v>
                </c:pt>
                <c:pt idx="25">
                  <c:v>44737</c:v>
                </c:pt>
                <c:pt idx="26">
                  <c:v>44744</c:v>
                </c:pt>
                <c:pt idx="27">
                  <c:v>44751</c:v>
                </c:pt>
                <c:pt idx="28">
                  <c:v>44758</c:v>
                </c:pt>
                <c:pt idx="29">
                  <c:v>44765</c:v>
                </c:pt>
                <c:pt idx="30">
                  <c:v>44772</c:v>
                </c:pt>
                <c:pt idx="31">
                  <c:v>44779</c:v>
                </c:pt>
                <c:pt idx="32">
                  <c:v>44786</c:v>
                </c:pt>
                <c:pt idx="33">
                  <c:v>44793</c:v>
                </c:pt>
                <c:pt idx="34">
                  <c:v>44800</c:v>
                </c:pt>
                <c:pt idx="35">
                  <c:v>44807</c:v>
                </c:pt>
                <c:pt idx="36">
                  <c:v>44814</c:v>
                </c:pt>
                <c:pt idx="37">
                  <c:v>44821</c:v>
                </c:pt>
                <c:pt idx="38">
                  <c:v>44828</c:v>
                </c:pt>
                <c:pt idx="39">
                  <c:v>44835</c:v>
                </c:pt>
                <c:pt idx="40">
                  <c:v>44842</c:v>
                </c:pt>
                <c:pt idx="41">
                  <c:v>44849</c:v>
                </c:pt>
                <c:pt idx="42">
                  <c:v>44856</c:v>
                </c:pt>
                <c:pt idx="43">
                  <c:v>44863</c:v>
                </c:pt>
                <c:pt idx="44">
                  <c:v>44870</c:v>
                </c:pt>
                <c:pt idx="45">
                  <c:v>44877</c:v>
                </c:pt>
                <c:pt idx="46">
                  <c:v>44884</c:v>
                </c:pt>
                <c:pt idx="47">
                  <c:v>44891</c:v>
                </c:pt>
                <c:pt idx="48">
                  <c:v>44898</c:v>
                </c:pt>
                <c:pt idx="49">
                  <c:v>44905</c:v>
                </c:pt>
                <c:pt idx="50">
                  <c:v>44912</c:v>
                </c:pt>
                <c:pt idx="51">
                  <c:v>44919</c:v>
                </c:pt>
                <c:pt idx="52">
                  <c:v>44926</c:v>
                </c:pt>
                <c:pt idx="53">
                  <c:v>44933</c:v>
                </c:pt>
                <c:pt idx="54">
                  <c:v>44940</c:v>
                </c:pt>
                <c:pt idx="55">
                  <c:v>44947</c:v>
                </c:pt>
                <c:pt idx="56">
                  <c:v>44954</c:v>
                </c:pt>
                <c:pt idx="57">
                  <c:v>44961</c:v>
                </c:pt>
                <c:pt idx="58">
                  <c:v>44968</c:v>
                </c:pt>
                <c:pt idx="59">
                  <c:v>44975</c:v>
                </c:pt>
                <c:pt idx="60">
                  <c:v>44982</c:v>
                </c:pt>
                <c:pt idx="61">
                  <c:v>44989</c:v>
                </c:pt>
                <c:pt idx="62">
                  <c:v>44996</c:v>
                </c:pt>
                <c:pt idx="63">
                  <c:v>45003</c:v>
                </c:pt>
                <c:pt idx="64">
                  <c:v>45010</c:v>
                </c:pt>
                <c:pt idx="65">
                  <c:v>45017</c:v>
                </c:pt>
                <c:pt idx="66">
                  <c:v>45024</c:v>
                </c:pt>
                <c:pt idx="67">
                  <c:v>45031</c:v>
                </c:pt>
                <c:pt idx="68">
                  <c:v>45038</c:v>
                </c:pt>
                <c:pt idx="69">
                  <c:v>45045</c:v>
                </c:pt>
                <c:pt idx="70">
                  <c:v>45052</c:v>
                </c:pt>
                <c:pt idx="71">
                  <c:v>45059</c:v>
                </c:pt>
                <c:pt idx="72">
                  <c:v>45066</c:v>
                </c:pt>
                <c:pt idx="73">
                  <c:v>45073</c:v>
                </c:pt>
                <c:pt idx="74">
                  <c:v>45080</c:v>
                </c:pt>
                <c:pt idx="75">
                  <c:v>45087</c:v>
                </c:pt>
                <c:pt idx="76">
                  <c:v>45094</c:v>
                </c:pt>
                <c:pt idx="77">
                  <c:v>45101</c:v>
                </c:pt>
                <c:pt idx="78">
                  <c:v>45108</c:v>
                </c:pt>
                <c:pt idx="79">
                  <c:v>45115</c:v>
                </c:pt>
                <c:pt idx="80">
                  <c:v>45122</c:v>
                </c:pt>
                <c:pt idx="81">
                  <c:v>45129</c:v>
                </c:pt>
                <c:pt idx="82">
                  <c:v>45136</c:v>
                </c:pt>
                <c:pt idx="83">
                  <c:v>45143</c:v>
                </c:pt>
                <c:pt idx="84">
                  <c:v>45150</c:v>
                </c:pt>
                <c:pt idx="85">
                  <c:v>45157</c:v>
                </c:pt>
                <c:pt idx="86">
                  <c:v>45164</c:v>
                </c:pt>
                <c:pt idx="87">
                  <c:v>45171</c:v>
                </c:pt>
                <c:pt idx="88">
                  <c:v>45178</c:v>
                </c:pt>
                <c:pt idx="89">
                  <c:v>45185</c:v>
                </c:pt>
                <c:pt idx="90">
                  <c:v>45192</c:v>
                </c:pt>
                <c:pt idx="91">
                  <c:v>45199</c:v>
                </c:pt>
                <c:pt idx="92">
                  <c:v>45206</c:v>
                </c:pt>
                <c:pt idx="93">
                  <c:v>45213</c:v>
                </c:pt>
                <c:pt idx="94">
                  <c:v>45220</c:v>
                </c:pt>
                <c:pt idx="95">
                  <c:v>45227</c:v>
                </c:pt>
                <c:pt idx="96">
                  <c:v>45234</c:v>
                </c:pt>
                <c:pt idx="97">
                  <c:v>45241</c:v>
                </c:pt>
                <c:pt idx="98">
                  <c:v>45248</c:v>
                </c:pt>
                <c:pt idx="99">
                  <c:v>45255</c:v>
                </c:pt>
                <c:pt idx="100">
                  <c:v>45262</c:v>
                </c:pt>
                <c:pt idx="101">
                  <c:v>45269</c:v>
                </c:pt>
                <c:pt idx="102">
                  <c:v>45276</c:v>
                </c:pt>
                <c:pt idx="103">
                  <c:v>45283</c:v>
                </c:pt>
                <c:pt idx="104">
                  <c:v>45290</c:v>
                </c:pt>
                <c:pt idx="105">
                  <c:v>45297</c:v>
                </c:pt>
                <c:pt idx="106">
                  <c:v>45304</c:v>
                </c:pt>
                <c:pt idx="107">
                  <c:v>45311</c:v>
                </c:pt>
                <c:pt idx="108">
                  <c:v>45318</c:v>
                </c:pt>
                <c:pt idx="109">
                  <c:v>45325</c:v>
                </c:pt>
                <c:pt idx="110">
                  <c:v>45332</c:v>
                </c:pt>
                <c:pt idx="111">
                  <c:v>45339</c:v>
                </c:pt>
                <c:pt idx="112">
                  <c:v>45346</c:v>
                </c:pt>
                <c:pt idx="113">
                  <c:v>45353</c:v>
                </c:pt>
                <c:pt idx="114">
                  <c:v>45360</c:v>
                </c:pt>
                <c:pt idx="115">
                  <c:v>45367</c:v>
                </c:pt>
                <c:pt idx="116">
                  <c:v>45374</c:v>
                </c:pt>
                <c:pt idx="117">
                  <c:v>45381</c:v>
                </c:pt>
                <c:pt idx="118">
                  <c:v>45388</c:v>
                </c:pt>
                <c:pt idx="119">
                  <c:v>45395</c:v>
                </c:pt>
                <c:pt idx="120">
                  <c:v>45402</c:v>
                </c:pt>
                <c:pt idx="121">
                  <c:v>45409</c:v>
                </c:pt>
                <c:pt idx="122">
                  <c:v>45416</c:v>
                </c:pt>
                <c:pt idx="123">
                  <c:v>45423</c:v>
                </c:pt>
                <c:pt idx="124">
                  <c:v>45430</c:v>
                </c:pt>
                <c:pt idx="125">
                  <c:v>45437</c:v>
                </c:pt>
                <c:pt idx="126">
                  <c:v>45444</c:v>
                </c:pt>
                <c:pt idx="127">
                  <c:v>45451</c:v>
                </c:pt>
                <c:pt idx="128">
                  <c:v>45458</c:v>
                </c:pt>
                <c:pt idx="129">
                  <c:v>45465</c:v>
                </c:pt>
                <c:pt idx="130">
                  <c:v>45472</c:v>
                </c:pt>
                <c:pt idx="131">
                  <c:v>45479</c:v>
                </c:pt>
                <c:pt idx="132">
                  <c:v>45486</c:v>
                </c:pt>
                <c:pt idx="133">
                  <c:v>45493</c:v>
                </c:pt>
                <c:pt idx="134">
                  <c:v>45500</c:v>
                </c:pt>
                <c:pt idx="135">
                  <c:v>45507</c:v>
                </c:pt>
                <c:pt idx="136">
                  <c:v>45514</c:v>
                </c:pt>
                <c:pt idx="137">
                  <c:v>45521</c:v>
                </c:pt>
                <c:pt idx="138">
                  <c:v>45528</c:v>
                </c:pt>
                <c:pt idx="139">
                  <c:v>45535</c:v>
                </c:pt>
                <c:pt idx="140">
                  <c:v>45542</c:v>
                </c:pt>
                <c:pt idx="141">
                  <c:v>45549</c:v>
                </c:pt>
                <c:pt idx="142">
                  <c:v>45556</c:v>
                </c:pt>
                <c:pt idx="143">
                  <c:v>45563</c:v>
                </c:pt>
                <c:pt idx="144">
                  <c:v>45570</c:v>
                </c:pt>
                <c:pt idx="145">
                  <c:v>45577</c:v>
                </c:pt>
                <c:pt idx="146">
                  <c:v>45584</c:v>
                </c:pt>
                <c:pt idx="147">
                  <c:v>45591</c:v>
                </c:pt>
                <c:pt idx="148">
                  <c:v>45598</c:v>
                </c:pt>
                <c:pt idx="149">
                  <c:v>45605</c:v>
                </c:pt>
                <c:pt idx="150">
                  <c:v>45612</c:v>
                </c:pt>
                <c:pt idx="151">
                  <c:v>45619</c:v>
                </c:pt>
                <c:pt idx="152">
                  <c:v>45626</c:v>
                </c:pt>
                <c:pt idx="153">
                  <c:v>45633</c:v>
                </c:pt>
                <c:pt idx="154">
                  <c:v>45640</c:v>
                </c:pt>
                <c:pt idx="155">
                  <c:v>45647</c:v>
                </c:pt>
                <c:pt idx="156">
                  <c:v>45654</c:v>
                </c:pt>
                <c:pt idx="157">
                  <c:v>45661</c:v>
                </c:pt>
                <c:pt idx="158">
                  <c:v>45668</c:v>
                </c:pt>
                <c:pt idx="159">
                  <c:v>45675</c:v>
                </c:pt>
                <c:pt idx="160">
                  <c:v>45682</c:v>
                </c:pt>
                <c:pt idx="161">
                  <c:v>45689</c:v>
                </c:pt>
                <c:pt idx="162">
                  <c:v>45696</c:v>
                </c:pt>
                <c:pt idx="163">
                  <c:v>45703</c:v>
                </c:pt>
                <c:pt idx="164">
                  <c:v>45710</c:v>
                </c:pt>
                <c:pt idx="165">
                  <c:v>45717</c:v>
                </c:pt>
                <c:pt idx="166">
                  <c:v>45724</c:v>
                </c:pt>
                <c:pt idx="167">
                  <c:v>45731</c:v>
                </c:pt>
                <c:pt idx="168">
                  <c:v>45738</c:v>
                </c:pt>
                <c:pt idx="169">
                  <c:v>45745</c:v>
                </c:pt>
                <c:pt idx="170">
                  <c:v>45752</c:v>
                </c:pt>
                <c:pt idx="171">
                  <c:v>45759</c:v>
                </c:pt>
                <c:pt idx="172">
                  <c:v>45766</c:v>
                </c:pt>
                <c:pt idx="173">
                  <c:v>45773</c:v>
                </c:pt>
                <c:pt idx="174">
                  <c:v>45780</c:v>
                </c:pt>
                <c:pt idx="175">
                  <c:v>45787</c:v>
                </c:pt>
                <c:pt idx="176">
                  <c:v>45794</c:v>
                </c:pt>
                <c:pt idx="177">
                  <c:v>45801</c:v>
                </c:pt>
                <c:pt idx="178">
                  <c:v>45808</c:v>
                </c:pt>
                <c:pt idx="179">
                  <c:v>45815</c:v>
                </c:pt>
                <c:pt idx="180">
                  <c:v>45822</c:v>
                </c:pt>
                <c:pt idx="181">
                  <c:v>45829</c:v>
                </c:pt>
                <c:pt idx="182">
                  <c:v>45836</c:v>
                </c:pt>
                <c:pt idx="183">
                  <c:v>45843</c:v>
                </c:pt>
                <c:pt idx="184">
                  <c:v>45850</c:v>
                </c:pt>
                <c:pt idx="185">
                  <c:v>45857</c:v>
                </c:pt>
                <c:pt idx="186">
                  <c:v>45864</c:v>
                </c:pt>
                <c:pt idx="187">
                  <c:v>45871</c:v>
                </c:pt>
                <c:pt idx="188">
                  <c:v>45878</c:v>
                </c:pt>
                <c:pt idx="189">
                  <c:v>45885</c:v>
                </c:pt>
                <c:pt idx="190">
                  <c:v>45892</c:v>
                </c:pt>
                <c:pt idx="191">
                  <c:v>45899</c:v>
                </c:pt>
                <c:pt idx="192">
                  <c:v>45906</c:v>
                </c:pt>
                <c:pt idx="193">
                  <c:v>45913</c:v>
                </c:pt>
                <c:pt idx="194">
                  <c:v>45920</c:v>
                </c:pt>
                <c:pt idx="195">
                  <c:v>45927</c:v>
                </c:pt>
                <c:pt idx="196">
                  <c:v>45934</c:v>
                </c:pt>
                <c:pt idx="197">
                  <c:v>45941</c:v>
                </c:pt>
                <c:pt idx="198">
                  <c:v>45948</c:v>
                </c:pt>
                <c:pt idx="199">
                  <c:v>45955</c:v>
                </c:pt>
                <c:pt idx="200">
                  <c:v>45962</c:v>
                </c:pt>
                <c:pt idx="201">
                  <c:v>45969</c:v>
                </c:pt>
                <c:pt idx="202">
                  <c:v>45976</c:v>
                </c:pt>
                <c:pt idx="203">
                  <c:v>45983</c:v>
                </c:pt>
                <c:pt idx="204">
                  <c:v>45990</c:v>
                </c:pt>
                <c:pt idx="205">
                  <c:v>45997</c:v>
                </c:pt>
                <c:pt idx="206">
                  <c:v>46004</c:v>
                </c:pt>
                <c:pt idx="207">
                  <c:v>46011</c:v>
                </c:pt>
                <c:pt idx="208">
                  <c:v>46018</c:v>
                </c:pt>
              </c:numCache>
            </c:numRef>
          </c:cat>
          <c:val>
            <c:numRef>
              <c:f>Comps!$AF$6:$AF$214</c:f>
              <c:numCache>
                <c:formatCode>0%</c:formatCode>
                <c:ptCount val="209"/>
                <c:pt idx="0">
                  <c:v>1</c:v>
                </c:pt>
                <c:pt idx="1">
                  <c:v>1.0071633237822351</c:v>
                </c:pt>
                <c:pt idx="2">
                  <c:v>0.97707736389684818</c:v>
                </c:pt>
                <c:pt idx="3">
                  <c:v>0.97134670487106012</c:v>
                </c:pt>
                <c:pt idx="4">
                  <c:v>1.0071633237822351</c:v>
                </c:pt>
                <c:pt idx="5">
                  <c:v>0.99713467048710602</c:v>
                </c:pt>
                <c:pt idx="6">
                  <c:v>0.91690544412607455</c:v>
                </c:pt>
                <c:pt idx="7">
                  <c:v>0.72063037249283668</c:v>
                </c:pt>
                <c:pt idx="8">
                  <c:v>0.53123209169054442</c:v>
                </c:pt>
                <c:pt idx="9">
                  <c:v>0.4555873925501433</c:v>
                </c:pt>
                <c:pt idx="10">
                  <c:v>0.48137535816618915</c:v>
                </c:pt>
                <c:pt idx="11">
                  <c:v>0.47106017191977084</c:v>
                </c:pt>
                <c:pt idx="12">
                  <c:v>0.43610315186246423</c:v>
                </c:pt>
                <c:pt idx="13">
                  <c:v>0.50315186246418342</c:v>
                </c:pt>
                <c:pt idx="14">
                  <c:v>0.52320916905444137</c:v>
                </c:pt>
                <c:pt idx="15">
                  <c:v>0.51117478510028658</c:v>
                </c:pt>
                <c:pt idx="16">
                  <c:v>0.42750716332378225</c:v>
                </c:pt>
                <c:pt idx="17">
                  <c:v>0.44699140401146131</c:v>
                </c:pt>
                <c:pt idx="18">
                  <c:v>0.44641833810888254</c:v>
                </c:pt>
                <c:pt idx="19">
                  <c:v>0.44412607449856734</c:v>
                </c:pt>
                <c:pt idx="20">
                  <c:v>0.42808022922636102</c:v>
                </c:pt>
                <c:pt idx="21">
                  <c:v>0.4825214899713467</c:v>
                </c:pt>
                <c:pt idx="22">
                  <c:v>0.46704871060171926</c:v>
                </c:pt>
                <c:pt idx="23">
                  <c:v>0.48137535816618915</c:v>
                </c:pt>
                <c:pt idx="24">
                  <c:v>0.44641833810888254</c:v>
                </c:pt>
                <c:pt idx="25">
                  <c:v>0.44469914040114616</c:v>
                </c:pt>
                <c:pt idx="26">
                  <c:v>0.48538681948424073</c:v>
                </c:pt>
                <c:pt idx="27">
                  <c:v>0.44928366762177652</c:v>
                </c:pt>
                <c:pt idx="28">
                  <c:v>0.48538681948424073</c:v>
                </c:pt>
                <c:pt idx="29">
                  <c:v>0.54212034383954166</c:v>
                </c:pt>
                <c:pt idx="30">
                  <c:v>0.53237822349570196</c:v>
                </c:pt>
                <c:pt idx="31">
                  <c:v>0.48137535816618915</c:v>
                </c:pt>
                <c:pt idx="32">
                  <c:v>0.44412607449856734</c:v>
                </c:pt>
                <c:pt idx="33">
                  <c:v>0.41891117478510026</c:v>
                </c:pt>
                <c:pt idx="34">
                  <c:v>0.41833810888252149</c:v>
                </c:pt>
                <c:pt idx="35">
                  <c:v>0.41146131805157593</c:v>
                </c:pt>
                <c:pt idx="36">
                  <c:v>0.36790830945558739</c:v>
                </c:pt>
                <c:pt idx="37">
                  <c:v>0.3197707736389685</c:v>
                </c:pt>
                <c:pt idx="38">
                  <c:v>0.29627507163323785</c:v>
                </c:pt>
                <c:pt idx="39">
                  <c:v>0.30429799426934095</c:v>
                </c:pt>
                <c:pt idx="40">
                  <c:v>0.30372492836676218</c:v>
                </c:pt>
                <c:pt idx="41">
                  <c:v>0.3220630372492837</c:v>
                </c:pt>
                <c:pt idx="42">
                  <c:v>0.33810888252149002</c:v>
                </c:pt>
                <c:pt idx="43">
                  <c:v>0.32148997134670493</c:v>
                </c:pt>
                <c:pt idx="44">
                  <c:v>0.3724928366762178</c:v>
                </c:pt>
                <c:pt idx="45">
                  <c:v>0.35415472779369628</c:v>
                </c:pt>
                <c:pt idx="46">
                  <c:v>0.36676217765042984</c:v>
                </c:pt>
                <c:pt idx="47">
                  <c:v>0.38968481375358166</c:v>
                </c:pt>
                <c:pt idx="48">
                  <c:v>0.41146131805157593</c:v>
                </c:pt>
                <c:pt idx="49">
                  <c:v>0.41776504297994271</c:v>
                </c:pt>
                <c:pt idx="50">
                  <c:v>0.42120343839541546</c:v>
                </c:pt>
                <c:pt idx="51">
                  <c:v>0.41088825214899716</c:v>
                </c:pt>
                <c:pt idx="52">
                  <c:v>0.46590257879656166</c:v>
                </c:pt>
                <c:pt idx="53">
                  <c:v>0.49111747851002868</c:v>
                </c:pt>
                <c:pt idx="54">
                  <c:v>0.49570200573065909</c:v>
                </c:pt>
                <c:pt idx="55">
                  <c:v>0.51117478510028658</c:v>
                </c:pt>
                <c:pt idx="56">
                  <c:v>0.4825214899713467</c:v>
                </c:pt>
                <c:pt idx="57">
                  <c:v>0.44584527220630377</c:v>
                </c:pt>
                <c:pt idx="58">
                  <c:v>0.46590257879656166</c:v>
                </c:pt>
                <c:pt idx="59">
                  <c:v>0.4871060171919771</c:v>
                </c:pt>
                <c:pt idx="60">
                  <c:v>0.49799426934097418</c:v>
                </c:pt>
                <c:pt idx="61">
                  <c:v>0.47564469914040119</c:v>
                </c:pt>
                <c:pt idx="62">
                  <c:v>0.41432664756446996</c:v>
                </c:pt>
                <c:pt idx="63">
                  <c:v>0.39369627507163324</c:v>
                </c:pt>
                <c:pt idx="64">
                  <c:v>0.42808022922636102</c:v>
                </c:pt>
                <c:pt idx="65">
                  <c:v>0.47163323782234962</c:v>
                </c:pt>
                <c:pt idx="66">
                  <c:v>0.47965616045845272</c:v>
                </c:pt>
                <c:pt idx="67">
                  <c:v>0.49340974212034383</c:v>
                </c:pt>
                <c:pt idx="68">
                  <c:v>0.46303724928366763</c:v>
                </c:pt>
                <c:pt idx="69">
                  <c:v>0.45214899713467049</c:v>
                </c:pt>
                <c:pt idx="70">
                  <c:v>0.4544412607449857</c:v>
                </c:pt>
                <c:pt idx="71">
                  <c:v>0.44469914040114616</c:v>
                </c:pt>
                <c:pt idx="72">
                  <c:v>0.4263610315186247</c:v>
                </c:pt>
                <c:pt idx="73">
                  <c:v>0.40114613180515762</c:v>
                </c:pt>
                <c:pt idx="74">
                  <c:v>0.39656160458452722</c:v>
                </c:pt>
                <c:pt idx="75">
                  <c:v>0.40802292263610318</c:v>
                </c:pt>
                <c:pt idx="76">
                  <c:v>0.41031518624641838</c:v>
                </c:pt>
                <c:pt idx="77">
                  <c:v>0.41375358166189113</c:v>
                </c:pt>
                <c:pt idx="78">
                  <c:v>0.39025787965616043</c:v>
                </c:pt>
                <c:pt idx="79">
                  <c:v>0.40630372492836675</c:v>
                </c:pt>
                <c:pt idx="80">
                  <c:v>0.38567335243553014</c:v>
                </c:pt>
                <c:pt idx="81">
                  <c:v>0.38108882521489973</c:v>
                </c:pt>
                <c:pt idx="82">
                  <c:v>0.38108882521489973</c:v>
                </c:pt>
                <c:pt idx="83">
                  <c:v>0.38452722063037248</c:v>
                </c:pt>
                <c:pt idx="84">
                  <c:v>0.36905444126074505</c:v>
                </c:pt>
                <c:pt idx="85">
                  <c:v>0.35873925501432663</c:v>
                </c:pt>
                <c:pt idx="86">
                  <c:v>0.38968481375358166</c:v>
                </c:pt>
                <c:pt idx="87">
                  <c:v>0.39598853868194844</c:v>
                </c:pt>
                <c:pt idx="88">
                  <c:v>0.39426934097421207</c:v>
                </c:pt>
                <c:pt idx="89">
                  <c:v>0.36217765042979944</c:v>
                </c:pt>
                <c:pt idx="90">
                  <c:v>0.32263610315186247</c:v>
                </c:pt>
                <c:pt idx="91">
                  <c:v>0.29742120343839545</c:v>
                </c:pt>
                <c:pt idx="92">
                  <c:v>0.30601719197707739</c:v>
                </c:pt>
                <c:pt idx="93">
                  <c:v>0.29111747851002867</c:v>
                </c:pt>
                <c:pt idx="94">
                  <c:v>0.30257879656160463</c:v>
                </c:pt>
                <c:pt idx="95">
                  <c:v>0.36045845272206306</c:v>
                </c:pt>
                <c:pt idx="96">
                  <c:v>0.34613180515759312</c:v>
                </c:pt>
                <c:pt idx="97">
                  <c:v>0.4355300859598854</c:v>
                </c:pt>
                <c:pt idx="98">
                  <c:v>0.4355300859598854</c:v>
                </c:pt>
                <c:pt idx="99">
                  <c:v>0.44985673352435529</c:v>
                </c:pt>
                <c:pt idx="100">
                  <c:v>0.4601719197707736</c:v>
                </c:pt>
                <c:pt idx="101">
                  <c:v>0.47908309455587389</c:v>
                </c:pt>
                <c:pt idx="102">
                  <c:v>0.49340974212034383</c:v>
                </c:pt>
                <c:pt idx="103">
                  <c:v>0.5060171919770774</c:v>
                </c:pt>
                <c:pt idx="104">
                  <c:v>0.4991404011461319</c:v>
                </c:pt>
                <c:pt idx="105">
                  <c:v>0.49169054441260746</c:v>
                </c:pt>
                <c:pt idx="106">
                  <c:v>0.51575931232091687</c:v>
                </c:pt>
                <c:pt idx="107">
                  <c:v>0.4767908309455588</c:v>
                </c:pt>
                <c:pt idx="108">
                  <c:v>0.44871060171919774</c:v>
                </c:pt>
                <c:pt idx="109">
                  <c:v>0.45501432664756453</c:v>
                </c:pt>
                <c:pt idx="110">
                  <c:v>0.45100286532951289</c:v>
                </c:pt>
                <c:pt idx="111">
                  <c:v>0.44527220630372494</c:v>
                </c:pt>
                <c:pt idx="112">
                  <c:v>0.44355300859598856</c:v>
                </c:pt>
                <c:pt idx="113">
                  <c:v>0.46590257879656166</c:v>
                </c:pt>
                <c:pt idx="114">
                  <c:v>0.47908309455587389</c:v>
                </c:pt>
                <c:pt idx="115">
                  <c:v>0.47220630372492839</c:v>
                </c:pt>
                <c:pt idx="116">
                  <c:v>0.48424068767908307</c:v>
                </c:pt>
                <c:pt idx="117">
                  <c:v>0.52034383954154728</c:v>
                </c:pt>
                <c:pt idx="118">
                  <c:v>0.50716332378223494</c:v>
                </c:pt>
                <c:pt idx="119">
                  <c:v>0.47851002865329512</c:v>
                </c:pt>
                <c:pt idx="120">
                  <c:v>0.49684813753581664</c:v>
                </c:pt>
                <c:pt idx="121">
                  <c:v>0.51977077363896851</c:v>
                </c:pt>
                <c:pt idx="122">
                  <c:v>0.53237822349570196</c:v>
                </c:pt>
                <c:pt idx="123">
                  <c:v>0.55358166189111746</c:v>
                </c:pt>
                <c:pt idx="124">
                  <c:v>0.55644699140401155</c:v>
                </c:pt>
                <c:pt idx="125">
                  <c:v>0.56160458452722073</c:v>
                </c:pt>
                <c:pt idx="126">
                  <c:v>0.55931232091690541</c:v>
                </c:pt>
                <c:pt idx="127">
                  <c:v>0.55243553008595991</c:v>
                </c:pt>
                <c:pt idx="128">
                  <c:v>0.55128939828080226</c:v>
                </c:pt>
                <c:pt idx="129">
                  <c:v>0.5363896848137536</c:v>
                </c:pt>
                <c:pt idx="130">
                  <c:v>0.56561604584527214</c:v>
                </c:pt>
                <c:pt idx="131">
                  <c:v>0.56389684813753582</c:v>
                </c:pt>
                <c:pt idx="132">
                  <c:v>0.56160458452722073</c:v>
                </c:pt>
                <c:pt idx="133">
                  <c:v>0.53352435530085962</c:v>
                </c:pt>
                <c:pt idx="134">
                  <c:v>0.53295128939828085</c:v>
                </c:pt>
                <c:pt idx="135">
                  <c:v>0.55014326647564471</c:v>
                </c:pt>
                <c:pt idx="136">
                  <c:v>0.52722063037249278</c:v>
                </c:pt>
                <c:pt idx="137">
                  <c:v>0.54212034383954166</c:v>
                </c:pt>
                <c:pt idx="138">
                  <c:v>0.55300859598853869</c:v>
                </c:pt>
                <c:pt idx="139">
                  <c:v>0.5386819484240688</c:v>
                </c:pt>
                <c:pt idx="140">
                  <c:v>0.55243553008595991</c:v>
                </c:pt>
                <c:pt idx="141">
                  <c:v>0.56733524355300868</c:v>
                </c:pt>
                <c:pt idx="142">
                  <c:v>0.57736389684813749</c:v>
                </c:pt>
                <c:pt idx="143">
                  <c:v>0.56160458452722073</c:v>
                </c:pt>
                <c:pt idx="144">
                  <c:v>0.52722063037249278</c:v>
                </c:pt>
                <c:pt idx="145">
                  <c:v>0.47048710601719207</c:v>
                </c:pt>
                <c:pt idx="146">
                  <c:v>0.44871060171919774</c:v>
                </c:pt>
                <c:pt idx="147">
                  <c:v>0.43037249283667622</c:v>
                </c:pt>
                <c:pt idx="148">
                  <c:v>0.44756446991404009</c:v>
                </c:pt>
                <c:pt idx="149">
                  <c:v>0.43266475644699143</c:v>
                </c:pt>
                <c:pt idx="150">
                  <c:v>0.43151862464183383</c:v>
                </c:pt>
                <c:pt idx="151">
                  <c:v>0.44011461318051576</c:v>
                </c:pt>
                <c:pt idx="152">
                  <c:v>0.4355300859598854</c:v>
                </c:pt>
                <c:pt idx="153">
                  <c:v>0.42464183381088827</c:v>
                </c:pt>
                <c:pt idx="154">
                  <c:v>0.40916905444126073</c:v>
                </c:pt>
                <c:pt idx="155">
                  <c:v>0.41432664756446996</c:v>
                </c:pt>
                <c:pt idx="156">
                  <c:v>0.41948424068767914</c:v>
                </c:pt>
                <c:pt idx="157">
                  <c:v>0.41719197707736394</c:v>
                </c:pt>
                <c:pt idx="158">
                  <c:v>0.41948424068767914</c:v>
                </c:pt>
                <c:pt idx="159">
                  <c:v>0.42865329512893985</c:v>
                </c:pt>
                <c:pt idx="160">
                  <c:v>0.46590257879656166</c:v>
                </c:pt>
                <c:pt idx="161">
                  <c:v>0.48882521489971342</c:v>
                </c:pt>
                <c:pt idx="162">
                  <c:v>0.47507163323782231</c:v>
                </c:pt>
                <c:pt idx="163">
                  <c:v>0.47564469914040119</c:v>
                </c:pt>
                <c:pt idx="164">
                  <c:v>0.50143266475644699</c:v>
                </c:pt>
                <c:pt idx="165">
                  <c:v>0.53065902578796564</c:v>
                </c:pt>
                <c:pt idx="166">
                  <c:v>0.50143266475644699</c:v>
                </c:pt>
                <c:pt idx="167">
                  <c:v>0.51633237822349576</c:v>
                </c:pt>
                <c:pt idx="168">
                  <c:v>0.50716332378223494</c:v>
                </c:pt>
                <c:pt idx="169">
                  <c:v>0.44412607449856734</c:v>
                </c:pt>
                <c:pt idx="170">
                  <c:v>0.4040114613180516</c:v>
                </c:pt>
                <c:pt idx="171">
                  <c:v>0.40458452722063037</c:v>
                </c:pt>
                <c:pt idx="172">
                  <c:v>0.43209169054441265</c:v>
                </c:pt>
                <c:pt idx="173">
                  <c:v>0.48882521489971342</c:v>
                </c:pt>
                <c:pt idx="174">
                  <c:v>0.55759312320916909</c:v>
                </c:pt>
                <c:pt idx="175">
                  <c:v>0.57879656160458448</c:v>
                </c:pt>
                <c:pt idx="176">
                  <c:v>0.56103151862464185</c:v>
                </c:pt>
                <c:pt idx="177">
                  <c:v>0.52607449856733524</c:v>
                </c:pt>
                <c:pt idx="178">
                  <c:v>0.54613180515759308</c:v>
                </c:pt>
                <c:pt idx="179">
                  <c:v>0.56103151862464185</c:v>
                </c:pt>
                <c:pt idx="180">
                  <c:v>0.63610315186246424</c:v>
                </c:pt>
                <c:pt idx="181">
                  <c:v>0.73352435530085969</c:v>
                </c:pt>
                <c:pt idx="182">
                  <c:v>0.73352435530085969</c:v>
                </c:pt>
                <c:pt idx="183">
                  <c:v>0.72063037249283668</c:v>
                </c:pt>
                <c:pt idx="184">
                  <c:v>0.79512893982808031</c:v>
                </c:pt>
                <c:pt idx="185">
                  <c:v>0.84240687679083093</c:v>
                </c:pt>
                <c:pt idx="186">
                  <c:v>0.81375358166189116</c:v>
                </c:pt>
                <c:pt idx="187">
                  <c:v>0.79656160458452729</c:v>
                </c:pt>
                <c:pt idx="188">
                  <c:v>0.7449856733524356</c:v>
                </c:pt>
                <c:pt idx="189">
                  <c:v>0.74068767908309463</c:v>
                </c:pt>
                <c:pt idx="190">
                  <c:v>0.72492836676217765</c:v>
                </c:pt>
                <c:pt idx="191">
                  <c:v>0.77507163323782235</c:v>
                </c:pt>
                <c:pt idx="192">
                  <c:v>0.77650429799426945</c:v>
                </c:pt>
                <c:pt idx="193">
                  <c:v>0.82664756446991416</c:v>
                </c:pt>
                <c:pt idx="194">
                  <c:v>0.79799426934097428</c:v>
                </c:pt>
                <c:pt idx="195">
                  <c:v>0.77220630372492838</c:v>
                </c:pt>
                <c:pt idx="196">
                  <c:v>0.77650429799426945</c:v>
                </c:pt>
                <c:pt idx="197">
                  <c:v>0.72492836676217765</c:v>
                </c:pt>
                <c:pt idx="198">
                  <c:v>0.85243553008595996</c:v>
                </c:pt>
                <c:pt idx="199">
                  <c:v>0.91260744985673359</c:v>
                </c:pt>
                <c:pt idx="200">
                  <c:v>0.83381088825214911</c:v>
                </c:pt>
                <c:pt idx="201">
                  <c:v>0.66332378223495703</c:v>
                </c:pt>
                <c:pt idx="202">
                  <c:v>0.64183381088825209</c:v>
                </c:pt>
                <c:pt idx="203">
                  <c:v>0.70916905444126077</c:v>
                </c:pt>
                <c:pt idx="204">
                  <c:v>0.74785100286532957</c:v>
                </c:pt>
                <c:pt idx="205">
                  <c:v>0.70630372492836679</c:v>
                </c:pt>
                <c:pt idx="206">
                  <c:v>0.75931232091690548</c:v>
                </c:pt>
                <c:pt idx="207">
                  <c:v>0.77793696275071633</c:v>
                </c:pt>
                <c:pt idx="208">
                  <c:v>0.81088825214899718</c:v>
                </c:pt>
              </c:numCache>
            </c:numRef>
          </c:val>
          <c:smooth val="0"/>
          <c:extLst>
            <c:ext xmlns:c16="http://schemas.microsoft.com/office/drawing/2014/chart" uri="{C3380CC4-5D6E-409C-BE32-E72D297353CC}">
              <c16:uniqueId val="{00000000-8C58-48B8-86DB-EE912F92F8CB}"/>
            </c:ext>
          </c:extLst>
        </c:ser>
        <c:ser>
          <c:idx val="1"/>
          <c:order val="1"/>
          <c:tx>
            <c:strRef>
              <c:f>Comps!$AG$5</c:f>
              <c:strCache>
                <c:ptCount val="1"/>
                <c:pt idx="0">
                  <c:v>DCO</c:v>
                </c:pt>
              </c:strCache>
            </c:strRef>
          </c:tx>
          <c:spPr>
            <a:ln w="28575" cap="rnd">
              <a:solidFill>
                <a:schemeClr val="tx1"/>
              </a:solidFill>
              <a:prstDash val="sysDot"/>
              <a:round/>
            </a:ln>
            <a:effectLst/>
          </c:spPr>
          <c:marker>
            <c:symbol val="none"/>
          </c:marker>
          <c:cat>
            <c:numRef>
              <c:f>Comps!$S$6:$S$214</c:f>
              <c:numCache>
                <c:formatCode>m/d/yyyy</c:formatCode>
                <c:ptCount val="209"/>
                <c:pt idx="0">
                  <c:v>44562</c:v>
                </c:pt>
                <c:pt idx="1">
                  <c:v>44569</c:v>
                </c:pt>
                <c:pt idx="2">
                  <c:v>44576</c:v>
                </c:pt>
                <c:pt idx="3">
                  <c:v>44583</c:v>
                </c:pt>
                <c:pt idx="4">
                  <c:v>44590</c:v>
                </c:pt>
                <c:pt idx="5">
                  <c:v>44597</c:v>
                </c:pt>
                <c:pt idx="6">
                  <c:v>44604</c:v>
                </c:pt>
                <c:pt idx="7">
                  <c:v>44611</c:v>
                </c:pt>
                <c:pt idx="8">
                  <c:v>44618</c:v>
                </c:pt>
                <c:pt idx="9">
                  <c:v>44625</c:v>
                </c:pt>
                <c:pt idx="10">
                  <c:v>44632</c:v>
                </c:pt>
                <c:pt idx="11">
                  <c:v>44639</c:v>
                </c:pt>
                <c:pt idx="12">
                  <c:v>44646</c:v>
                </c:pt>
                <c:pt idx="13">
                  <c:v>44653</c:v>
                </c:pt>
                <c:pt idx="14">
                  <c:v>44660</c:v>
                </c:pt>
                <c:pt idx="15">
                  <c:v>44667</c:v>
                </c:pt>
                <c:pt idx="16">
                  <c:v>44674</c:v>
                </c:pt>
                <c:pt idx="17">
                  <c:v>44681</c:v>
                </c:pt>
                <c:pt idx="18">
                  <c:v>44688</c:v>
                </c:pt>
                <c:pt idx="19">
                  <c:v>44695</c:v>
                </c:pt>
                <c:pt idx="20">
                  <c:v>44702</c:v>
                </c:pt>
                <c:pt idx="21">
                  <c:v>44709</c:v>
                </c:pt>
                <c:pt idx="22">
                  <c:v>44716</c:v>
                </c:pt>
                <c:pt idx="23">
                  <c:v>44723</c:v>
                </c:pt>
                <c:pt idx="24">
                  <c:v>44730</c:v>
                </c:pt>
                <c:pt idx="25">
                  <c:v>44737</c:v>
                </c:pt>
                <c:pt idx="26">
                  <c:v>44744</c:v>
                </c:pt>
                <c:pt idx="27">
                  <c:v>44751</c:v>
                </c:pt>
                <c:pt idx="28">
                  <c:v>44758</c:v>
                </c:pt>
                <c:pt idx="29">
                  <c:v>44765</c:v>
                </c:pt>
                <c:pt idx="30">
                  <c:v>44772</c:v>
                </c:pt>
                <c:pt idx="31">
                  <c:v>44779</c:v>
                </c:pt>
                <c:pt idx="32">
                  <c:v>44786</c:v>
                </c:pt>
                <c:pt idx="33">
                  <c:v>44793</c:v>
                </c:pt>
                <c:pt idx="34">
                  <c:v>44800</c:v>
                </c:pt>
                <c:pt idx="35">
                  <c:v>44807</c:v>
                </c:pt>
                <c:pt idx="36">
                  <c:v>44814</c:v>
                </c:pt>
                <c:pt idx="37">
                  <c:v>44821</c:v>
                </c:pt>
                <c:pt idx="38">
                  <c:v>44828</c:v>
                </c:pt>
                <c:pt idx="39">
                  <c:v>44835</c:v>
                </c:pt>
                <c:pt idx="40">
                  <c:v>44842</c:v>
                </c:pt>
                <c:pt idx="41">
                  <c:v>44849</c:v>
                </c:pt>
                <c:pt idx="42">
                  <c:v>44856</c:v>
                </c:pt>
                <c:pt idx="43">
                  <c:v>44863</c:v>
                </c:pt>
                <c:pt idx="44">
                  <c:v>44870</c:v>
                </c:pt>
                <c:pt idx="45">
                  <c:v>44877</c:v>
                </c:pt>
                <c:pt idx="46">
                  <c:v>44884</c:v>
                </c:pt>
                <c:pt idx="47">
                  <c:v>44891</c:v>
                </c:pt>
                <c:pt idx="48">
                  <c:v>44898</c:v>
                </c:pt>
                <c:pt idx="49">
                  <c:v>44905</c:v>
                </c:pt>
                <c:pt idx="50">
                  <c:v>44912</c:v>
                </c:pt>
                <c:pt idx="51">
                  <c:v>44919</c:v>
                </c:pt>
                <c:pt idx="52">
                  <c:v>44926</c:v>
                </c:pt>
                <c:pt idx="53">
                  <c:v>44933</c:v>
                </c:pt>
                <c:pt idx="54">
                  <c:v>44940</c:v>
                </c:pt>
                <c:pt idx="55">
                  <c:v>44947</c:v>
                </c:pt>
                <c:pt idx="56">
                  <c:v>44954</c:v>
                </c:pt>
                <c:pt idx="57">
                  <c:v>44961</c:v>
                </c:pt>
                <c:pt idx="58">
                  <c:v>44968</c:v>
                </c:pt>
                <c:pt idx="59">
                  <c:v>44975</c:v>
                </c:pt>
                <c:pt idx="60">
                  <c:v>44982</c:v>
                </c:pt>
                <c:pt idx="61">
                  <c:v>44989</c:v>
                </c:pt>
                <c:pt idx="62">
                  <c:v>44996</c:v>
                </c:pt>
                <c:pt idx="63">
                  <c:v>45003</c:v>
                </c:pt>
                <c:pt idx="64">
                  <c:v>45010</c:v>
                </c:pt>
                <c:pt idx="65">
                  <c:v>45017</c:v>
                </c:pt>
                <c:pt idx="66">
                  <c:v>45024</c:v>
                </c:pt>
                <c:pt idx="67">
                  <c:v>45031</c:v>
                </c:pt>
                <c:pt idx="68">
                  <c:v>45038</c:v>
                </c:pt>
                <c:pt idx="69">
                  <c:v>45045</c:v>
                </c:pt>
                <c:pt idx="70">
                  <c:v>45052</c:v>
                </c:pt>
                <c:pt idx="71">
                  <c:v>45059</c:v>
                </c:pt>
                <c:pt idx="72">
                  <c:v>45066</c:v>
                </c:pt>
                <c:pt idx="73">
                  <c:v>45073</c:v>
                </c:pt>
                <c:pt idx="74">
                  <c:v>45080</c:v>
                </c:pt>
                <c:pt idx="75">
                  <c:v>45087</c:v>
                </c:pt>
                <c:pt idx="76">
                  <c:v>45094</c:v>
                </c:pt>
                <c:pt idx="77">
                  <c:v>45101</c:v>
                </c:pt>
                <c:pt idx="78">
                  <c:v>45108</c:v>
                </c:pt>
                <c:pt idx="79">
                  <c:v>45115</c:v>
                </c:pt>
                <c:pt idx="80">
                  <c:v>45122</c:v>
                </c:pt>
                <c:pt idx="81">
                  <c:v>45129</c:v>
                </c:pt>
                <c:pt idx="82">
                  <c:v>45136</c:v>
                </c:pt>
                <c:pt idx="83">
                  <c:v>45143</c:v>
                </c:pt>
                <c:pt idx="84">
                  <c:v>45150</c:v>
                </c:pt>
                <c:pt idx="85">
                  <c:v>45157</c:v>
                </c:pt>
                <c:pt idx="86">
                  <c:v>45164</c:v>
                </c:pt>
                <c:pt idx="87">
                  <c:v>45171</c:v>
                </c:pt>
                <c:pt idx="88">
                  <c:v>45178</c:v>
                </c:pt>
                <c:pt idx="89">
                  <c:v>45185</c:v>
                </c:pt>
                <c:pt idx="90">
                  <c:v>45192</c:v>
                </c:pt>
                <c:pt idx="91">
                  <c:v>45199</c:v>
                </c:pt>
                <c:pt idx="92">
                  <c:v>45206</c:v>
                </c:pt>
                <c:pt idx="93">
                  <c:v>45213</c:v>
                </c:pt>
                <c:pt idx="94">
                  <c:v>45220</c:v>
                </c:pt>
                <c:pt idx="95">
                  <c:v>45227</c:v>
                </c:pt>
                <c:pt idx="96">
                  <c:v>45234</c:v>
                </c:pt>
                <c:pt idx="97">
                  <c:v>45241</c:v>
                </c:pt>
                <c:pt idx="98">
                  <c:v>45248</c:v>
                </c:pt>
                <c:pt idx="99">
                  <c:v>45255</c:v>
                </c:pt>
                <c:pt idx="100">
                  <c:v>45262</c:v>
                </c:pt>
                <c:pt idx="101">
                  <c:v>45269</c:v>
                </c:pt>
                <c:pt idx="102">
                  <c:v>45276</c:v>
                </c:pt>
                <c:pt idx="103">
                  <c:v>45283</c:v>
                </c:pt>
                <c:pt idx="104">
                  <c:v>45290</c:v>
                </c:pt>
                <c:pt idx="105">
                  <c:v>45297</c:v>
                </c:pt>
                <c:pt idx="106">
                  <c:v>45304</c:v>
                </c:pt>
                <c:pt idx="107">
                  <c:v>45311</c:v>
                </c:pt>
                <c:pt idx="108">
                  <c:v>45318</c:v>
                </c:pt>
                <c:pt idx="109">
                  <c:v>45325</c:v>
                </c:pt>
                <c:pt idx="110">
                  <c:v>45332</c:v>
                </c:pt>
                <c:pt idx="111">
                  <c:v>45339</c:v>
                </c:pt>
                <c:pt idx="112">
                  <c:v>45346</c:v>
                </c:pt>
                <c:pt idx="113">
                  <c:v>45353</c:v>
                </c:pt>
                <c:pt idx="114">
                  <c:v>45360</c:v>
                </c:pt>
                <c:pt idx="115">
                  <c:v>45367</c:v>
                </c:pt>
                <c:pt idx="116">
                  <c:v>45374</c:v>
                </c:pt>
                <c:pt idx="117">
                  <c:v>45381</c:v>
                </c:pt>
                <c:pt idx="118">
                  <c:v>45388</c:v>
                </c:pt>
                <c:pt idx="119">
                  <c:v>45395</c:v>
                </c:pt>
                <c:pt idx="120">
                  <c:v>45402</c:v>
                </c:pt>
                <c:pt idx="121">
                  <c:v>45409</c:v>
                </c:pt>
                <c:pt idx="122">
                  <c:v>45416</c:v>
                </c:pt>
                <c:pt idx="123">
                  <c:v>45423</c:v>
                </c:pt>
                <c:pt idx="124">
                  <c:v>45430</c:v>
                </c:pt>
                <c:pt idx="125">
                  <c:v>45437</c:v>
                </c:pt>
                <c:pt idx="126">
                  <c:v>45444</c:v>
                </c:pt>
                <c:pt idx="127">
                  <c:v>45451</c:v>
                </c:pt>
                <c:pt idx="128">
                  <c:v>45458</c:v>
                </c:pt>
                <c:pt idx="129">
                  <c:v>45465</c:v>
                </c:pt>
                <c:pt idx="130">
                  <c:v>45472</c:v>
                </c:pt>
                <c:pt idx="131">
                  <c:v>45479</c:v>
                </c:pt>
                <c:pt idx="132">
                  <c:v>45486</c:v>
                </c:pt>
                <c:pt idx="133">
                  <c:v>45493</c:v>
                </c:pt>
                <c:pt idx="134">
                  <c:v>45500</c:v>
                </c:pt>
                <c:pt idx="135">
                  <c:v>45507</c:v>
                </c:pt>
                <c:pt idx="136">
                  <c:v>45514</c:v>
                </c:pt>
                <c:pt idx="137">
                  <c:v>45521</c:v>
                </c:pt>
                <c:pt idx="138">
                  <c:v>45528</c:v>
                </c:pt>
                <c:pt idx="139">
                  <c:v>45535</c:v>
                </c:pt>
                <c:pt idx="140">
                  <c:v>45542</c:v>
                </c:pt>
                <c:pt idx="141">
                  <c:v>45549</c:v>
                </c:pt>
                <c:pt idx="142">
                  <c:v>45556</c:v>
                </c:pt>
                <c:pt idx="143">
                  <c:v>45563</c:v>
                </c:pt>
                <c:pt idx="144">
                  <c:v>45570</c:v>
                </c:pt>
                <c:pt idx="145">
                  <c:v>45577</c:v>
                </c:pt>
                <c:pt idx="146">
                  <c:v>45584</c:v>
                </c:pt>
                <c:pt idx="147">
                  <c:v>45591</c:v>
                </c:pt>
                <c:pt idx="148">
                  <c:v>45598</c:v>
                </c:pt>
                <c:pt idx="149">
                  <c:v>45605</c:v>
                </c:pt>
                <c:pt idx="150">
                  <c:v>45612</c:v>
                </c:pt>
                <c:pt idx="151">
                  <c:v>45619</c:v>
                </c:pt>
                <c:pt idx="152">
                  <c:v>45626</c:v>
                </c:pt>
                <c:pt idx="153">
                  <c:v>45633</c:v>
                </c:pt>
                <c:pt idx="154">
                  <c:v>45640</c:v>
                </c:pt>
                <c:pt idx="155">
                  <c:v>45647</c:v>
                </c:pt>
                <c:pt idx="156">
                  <c:v>45654</c:v>
                </c:pt>
                <c:pt idx="157">
                  <c:v>45661</c:v>
                </c:pt>
                <c:pt idx="158">
                  <c:v>45668</c:v>
                </c:pt>
                <c:pt idx="159">
                  <c:v>45675</c:v>
                </c:pt>
                <c:pt idx="160">
                  <c:v>45682</c:v>
                </c:pt>
                <c:pt idx="161">
                  <c:v>45689</c:v>
                </c:pt>
                <c:pt idx="162">
                  <c:v>45696</c:v>
                </c:pt>
                <c:pt idx="163">
                  <c:v>45703</c:v>
                </c:pt>
                <c:pt idx="164">
                  <c:v>45710</c:v>
                </c:pt>
                <c:pt idx="165">
                  <c:v>45717</c:v>
                </c:pt>
                <c:pt idx="166">
                  <c:v>45724</c:v>
                </c:pt>
                <c:pt idx="167">
                  <c:v>45731</c:v>
                </c:pt>
                <c:pt idx="168">
                  <c:v>45738</c:v>
                </c:pt>
                <c:pt idx="169">
                  <c:v>45745</c:v>
                </c:pt>
                <c:pt idx="170">
                  <c:v>45752</c:v>
                </c:pt>
                <c:pt idx="171">
                  <c:v>45759</c:v>
                </c:pt>
                <c:pt idx="172">
                  <c:v>45766</c:v>
                </c:pt>
                <c:pt idx="173">
                  <c:v>45773</c:v>
                </c:pt>
                <c:pt idx="174">
                  <c:v>45780</c:v>
                </c:pt>
                <c:pt idx="175">
                  <c:v>45787</c:v>
                </c:pt>
                <c:pt idx="176">
                  <c:v>45794</c:v>
                </c:pt>
                <c:pt idx="177">
                  <c:v>45801</c:v>
                </c:pt>
                <c:pt idx="178">
                  <c:v>45808</c:v>
                </c:pt>
                <c:pt idx="179">
                  <c:v>45815</c:v>
                </c:pt>
                <c:pt idx="180">
                  <c:v>45822</c:v>
                </c:pt>
                <c:pt idx="181">
                  <c:v>45829</c:v>
                </c:pt>
                <c:pt idx="182">
                  <c:v>45836</c:v>
                </c:pt>
                <c:pt idx="183">
                  <c:v>45843</c:v>
                </c:pt>
                <c:pt idx="184">
                  <c:v>45850</c:v>
                </c:pt>
                <c:pt idx="185">
                  <c:v>45857</c:v>
                </c:pt>
                <c:pt idx="186">
                  <c:v>45864</c:v>
                </c:pt>
                <c:pt idx="187">
                  <c:v>45871</c:v>
                </c:pt>
                <c:pt idx="188">
                  <c:v>45878</c:v>
                </c:pt>
                <c:pt idx="189">
                  <c:v>45885</c:v>
                </c:pt>
                <c:pt idx="190">
                  <c:v>45892</c:v>
                </c:pt>
                <c:pt idx="191">
                  <c:v>45899</c:v>
                </c:pt>
                <c:pt idx="192">
                  <c:v>45906</c:v>
                </c:pt>
                <c:pt idx="193">
                  <c:v>45913</c:v>
                </c:pt>
                <c:pt idx="194">
                  <c:v>45920</c:v>
                </c:pt>
                <c:pt idx="195">
                  <c:v>45927</c:v>
                </c:pt>
                <c:pt idx="196">
                  <c:v>45934</c:v>
                </c:pt>
                <c:pt idx="197">
                  <c:v>45941</c:v>
                </c:pt>
                <c:pt idx="198">
                  <c:v>45948</c:v>
                </c:pt>
                <c:pt idx="199">
                  <c:v>45955</c:v>
                </c:pt>
                <c:pt idx="200">
                  <c:v>45962</c:v>
                </c:pt>
                <c:pt idx="201">
                  <c:v>45969</c:v>
                </c:pt>
                <c:pt idx="202">
                  <c:v>45976</c:v>
                </c:pt>
                <c:pt idx="203">
                  <c:v>45983</c:v>
                </c:pt>
                <c:pt idx="204">
                  <c:v>45990</c:v>
                </c:pt>
                <c:pt idx="205">
                  <c:v>45997</c:v>
                </c:pt>
                <c:pt idx="206">
                  <c:v>46004</c:v>
                </c:pt>
                <c:pt idx="207">
                  <c:v>46011</c:v>
                </c:pt>
                <c:pt idx="208">
                  <c:v>46018</c:v>
                </c:pt>
              </c:numCache>
            </c:numRef>
          </c:cat>
          <c:val>
            <c:numRef>
              <c:f>Comps!$AG$6:$AG$214</c:f>
              <c:numCache>
                <c:formatCode>0%</c:formatCode>
                <c:ptCount val="209"/>
                <c:pt idx="0">
                  <c:v>1</c:v>
                </c:pt>
                <c:pt idx="1">
                  <c:v>0.96935518195360704</c:v>
                </c:pt>
                <c:pt idx="2">
                  <c:v>0.92040859757395188</c:v>
                </c:pt>
                <c:pt idx="3">
                  <c:v>0.90210683124068947</c:v>
                </c:pt>
                <c:pt idx="4">
                  <c:v>0.92700574590338369</c:v>
                </c:pt>
                <c:pt idx="5">
                  <c:v>0.93551819536071501</c:v>
                </c:pt>
                <c:pt idx="6">
                  <c:v>0.98042136624813792</c:v>
                </c:pt>
                <c:pt idx="7">
                  <c:v>1.0442647371781231</c:v>
                </c:pt>
                <c:pt idx="8">
                  <c:v>1.068312406895084</c:v>
                </c:pt>
                <c:pt idx="9">
                  <c:v>1.0778889125345819</c:v>
                </c:pt>
                <c:pt idx="10">
                  <c:v>1.0815067035539476</c:v>
                </c:pt>
                <c:pt idx="11">
                  <c:v>1.1389657373909343</c:v>
                </c:pt>
                <c:pt idx="12">
                  <c:v>1.1344967014258354</c:v>
                </c:pt>
                <c:pt idx="13">
                  <c:v>1.1083209193445414</c:v>
                </c:pt>
                <c:pt idx="14">
                  <c:v>1.1793998723132582</c:v>
                </c:pt>
                <c:pt idx="15">
                  <c:v>1.1817407959140243</c:v>
                </c:pt>
                <c:pt idx="16">
                  <c:v>1.0868269844647798</c:v>
                </c:pt>
                <c:pt idx="17">
                  <c:v>1.0672483507129176</c:v>
                </c:pt>
                <c:pt idx="18">
                  <c:v>0.98127261119387099</c:v>
                </c:pt>
                <c:pt idx="19">
                  <c:v>0.8699723345392637</c:v>
                </c:pt>
                <c:pt idx="20">
                  <c:v>0.93934879761651413</c:v>
                </c:pt>
                <c:pt idx="21">
                  <c:v>0.97510108533730577</c:v>
                </c:pt>
                <c:pt idx="22">
                  <c:v>0.99744626516280055</c:v>
                </c:pt>
                <c:pt idx="23">
                  <c:v>0.92594168972121715</c:v>
                </c:pt>
                <c:pt idx="24">
                  <c:v>0.92998510321344974</c:v>
                </c:pt>
                <c:pt idx="25">
                  <c:v>0.93339008299638215</c:v>
                </c:pt>
                <c:pt idx="26">
                  <c:v>0.90912960204298776</c:v>
                </c:pt>
                <c:pt idx="27">
                  <c:v>0.90551181102362199</c:v>
                </c:pt>
                <c:pt idx="28">
                  <c:v>0.92296233241115122</c:v>
                </c:pt>
                <c:pt idx="29">
                  <c:v>1.007448393275165</c:v>
                </c:pt>
                <c:pt idx="30">
                  <c:v>0.97084486060864006</c:v>
                </c:pt>
                <c:pt idx="31">
                  <c:v>1.0566077888912533</c:v>
                </c:pt>
                <c:pt idx="32">
                  <c:v>1.0042562247286655</c:v>
                </c:pt>
                <c:pt idx="33">
                  <c:v>0.97063204937220682</c:v>
                </c:pt>
                <c:pt idx="34">
                  <c:v>0.92211108746541814</c:v>
                </c:pt>
                <c:pt idx="35">
                  <c:v>0.94913811449244523</c:v>
                </c:pt>
                <c:pt idx="36">
                  <c:v>0.89295594807405831</c:v>
                </c:pt>
                <c:pt idx="37">
                  <c:v>0.84847839965950189</c:v>
                </c:pt>
                <c:pt idx="38">
                  <c:v>0.84400936369440294</c:v>
                </c:pt>
                <c:pt idx="39">
                  <c:v>0.88529474356246007</c:v>
                </c:pt>
                <c:pt idx="40">
                  <c:v>0.8746541817407959</c:v>
                </c:pt>
                <c:pt idx="41">
                  <c:v>0.96190678867844226</c:v>
                </c:pt>
                <c:pt idx="42">
                  <c:v>1.0163864652053627</c:v>
                </c:pt>
                <c:pt idx="43">
                  <c:v>0.99616939774420088</c:v>
                </c:pt>
                <c:pt idx="44">
                  <c:v>1.0883166631198127</c:v>
                </c:pt>
                <c:pt idx="45">
                  <c:v>1.084060438391147</c:v>
                </c:pt>
                <c:pt idx="46">
                  <c:v>1.087891040646946</c:v>
                </c:pt>
                <c:pt idx="47">
                  <c:v>1.1012981485422431</c:v>
                </c:pt>
                <c:pt idx="48">
                  <c:v>1.0359650989572249</c:v>
                </c:pt>
                <c:pt idx="49">
                  <c:v>1.0374547776122578</c:v>
                </c:pt>
                <c:pt idx="50">
                  <c:v>1.0346882315386252</c:v>
                </c:pt>
                <c:pt idx="51">
                  <c:v>1.0632049372206853</c:v>
                </c:pt>
                <c:pt idx="52">
                  <c:v>1.1123643328367738</c:v>
                </c:pt>
                <c:pt idx="53">
                  <c:v>1.2215364971270481</c:v>
                </c:pt>
                <c:pt idx="54">
                  <c:v>1.1517344115769312</c:v>
                </c:pt>
                <c:pt idx="55">
                  <c:v>1.1957863375186208</c:v>
                </c:pt>
                <c:pt idx="56">
                  <c:v>1.1989785060651204</c:v>
                </c:pt>
                <c:pt idx="57">
                  <c:v>1.1947222813364544</c:v>
                </c:pt>
                <c:pt idx="58">
                  <c:v>1.1406682272824005</c:v>
                </c:pt>
                <c:pt idx="59">
                  <c:v>1.1808895509682911</c:v>
                </c:pt>
                <c:pt idx="60">
                  <c:v>1.1881251330070226</c:v>
                </c:pt>
                <c:pt idx="61">
                  <c:v>1.1347095126622686</c:v>
                </c:pt>
                <c:pt idx="62">
                  <c:v>1.0672483507129176</c:v>
                </c:pt>
                <c:pt idx="63">
                  <c:v>1.1202383485848053</c:v>
                </c:pt>
                <c:pt idx="64">
                  <c:v>1.1642902745264949</c:v>
                </c:pt>
                <c:pt idx="65">
                  <c:v>1.1108746541817409</c:v>
                </c:pt>
                <c:pt idx="66">
                  <c:v>1.1076824856352414</c:v>
                </c:pt>
                <c:pt idx="67">
                  <c:v>1.1030006384337092</c:v>
                </c:pt>
                <c:pt idx="68">
                  <c:v>1.0640561821664183</c:v>
                </c:pt>
                <c:pt idx="69">
                  <c:v>1.037667588848691</c:v>
                </c:pt>
                <c:pt idx="70">
                  <c:v>1.0183017663332623</c:v>
                </c:pt>
                <c:pt idx="71">
                  <c:v>0.88848691210895936</c:v>
                </c:pt>
                <c:pt idx="72">
                  <c:v>0.86741859970206414</c:v>
                </c:pt>
                <c:pt idx="73">
                  <c:v>0.92338795488401781</c:v>
                </c:pt>
                <c:pt idx="74">
                  <c:v>0.97403702915513946</c:v>
                </c:pt>
                <c:pt idx="75">
                  <c:v>0.94147690998084699</c:v>
                </c:pt>
                <c:pt idx="76">
                  <c:v>0.93296446052351567</c:v>
                </c:pt>
                <c:pt idx="77">
                  <c:v>0.92721855713981693</c:v>
                </c:pt>
                <c:pt idx="78">
                  <c:v>0.96126835496914231</c:v>
                </c:pt>
                <c:pt idx="79">
                  <c:v>0.98872100446903599</c:v>
                </c:pt>
                <c:pt idx="80">
                  <c:v>1.0583102787827197</c:v>
                </c:pt>
                <c:pt idx="81">
                  <c:v>1.0414981911044903</c:v>
                </c:pt>
                <c:pt idx="82">
                  <c:v>0.93807193019791435</c:v>
                </c:pt>
                <c:pt idx="83">
                  <c:v>0.97382421791870599</c:v>
                </c:pt>
                <c:pt idx="84">
                  <c:v>0.93339008299638215</c:v>
                </c:pt>
                <c:pt idx="85">
                  <c:v>0.94147690998084699</c:v>
                </c:pt>
                <c:pt idx="86">
                  <c:v>0.96488614598850819</c:v>
                </c:pt>
                <c:pt idx="87">
                  <c:v>0.92296233241115122</c:v>
                </c:pt>
                <c:pt idx="88">
                  <c:v>0.95850180889550962</c:v>
                </c:pt>
                <c:pt idx="89">
                  <c:v>0.91402426048095342</c:v>
                </c:pt>
                <c:pt idx="90">
                  <c:v>0.92594168972121715</c:v>
                </c:pt>
                <c:pt idx="91">
                  <c:v>0.93530538412428177</c:v>
                </c:pt>
                <c:pt idx="92">
                  <c:v>0.98446477974037017</c:v>
                </c:pt>
                <c:pt idx="93">
                  <c:v>0.98084698872100451</c:v>
                </c:pt>
                <c:pt idx="94">
                  <c:v>0.99616939774420088</c:v>
                </c:pt>
                <c:pt idx="95">
                  <c:v>1.0321344967014259</c:v>
                </c:pt>
                <c:pt idx="96">
                  <c:v>1.0165992764417962</c:v>
                </c:pt>
                <c:pt idx="97">
                  <c:v>1.049585018088955</c:v>
                </c:pt>
                <c:pt idx="98">
                  <c:v>1.0763992338795487</c:v>
                </c:pt>
                <c:pt idx="99">
                  <c:v>1.0817195147903809</c:v>
                </c:pt>
                <c:pt idx="100">
                  <c:v>1.1017237710151095</c:v>
                </c:pt>
                <c:pt idx="101">
                  <c:v>1.083422004681847</c:v>
                </c:pt>
                <c:pt idx="102">
                  <c:v>1.1012981485422431</c:v>
                </c:pt>
                <c:pt idx="103">
                  <c:v>1.1078952968716749</c:v>
                </c:pt>
                <c:pt idx="104">
                  <c:v>1.0987444137050437</c:v>
                </c:pt>
                <c:pt idx="105">
                  <c:v>1.0685252181315172</c:v>
                </c:pt>
                <c:pt idx="106">
                  <c:v>1.0468184720153224</c:v>
                </c:pt>
                <c:pt idx="107">
                  <c:v>1.0776761012981486</c:v>
                </c:pt>
                <c:pt idx="108">
                  <c:v>1.0710789529687166</c:v>
                </c:pt>
                <c:pt idx="109">
                  <c:v>1.0687380293679505</c:v>
                </c:pt>
                <c:pt idx="110">
                  <c:v>1.0455416045967227</c:v>
                </c:pt>
                <c:pt idx="111">
                  <c:v>1.0389444562672909</c:v>
                </c:pt>
                <c:pt idx="112">
                  <c:v>1.0321344967014259</c:v>
                </c:pt>
                <c:pt idx="113">
                  <c:v>1.05639497765482</c:v>
                </c:pt>
                <c:pt idx="114">
                  <c:v>1.0693764630772504</c:v>
                </c:pt>
                <c:pt idx="115">
                  <c:v>1.0674611619493508</c:v>
                </c:pt>
                <c:pt idx="116">
                  <c:v>1.0917216429027452</c:v>
                </c:pt>
                <c:pt idx="117">
                  <c:v>1.033836986592892</c:v>
                </c:pt>
                <c:pt idx="118">
                  <c:v>1.1670568206001277</c:v>
                </c:pt>
                <c:pt idx="119">
                  <c:v>1.1070440519259417</c:v>
                </c:pt>
                <c:pt idx="120">
                  <c:v>1.147903809321132</c:v>
                </c:pt>
                <c:pt idx="121">
                  <c:v>1.1896148116620557</c:v>
                </c:pt>
                <c:pt idx="122">
                  <c:v>1.2247286656735474</c:v>
                </c:pt>
                <c:pt idx="123">
                  <c:v>1.2366460949138114</c:v>
                </c:pt>
                <c:pt idx="124">
                  <c:v>1.2443072994254096</c:v>
                </c:pt>
                <c:pt idx="125">
                  <c:v>1.2381357735688443</c:v>
                </c:pt>
                <c:pt idx="126">
                  <c:v>1.2338795488401786</c:v>
                </c:pt>
                <c:pt idx="127">
                  <c:v>1.2087678229410512</c:v>
                </c:pt>
                <c:pt idx="128">
                  <c:v>1.234730793785912</c:v>
                </c:pt>
                <c:pt idx="129">
                  <c:v>1.235582038731645</c:v>
                </c:pt>
                <c:pt idx="130">
                  <c:v>1.2177058948712491</c:v>
                </c:pt>
                <c:pt idx="131">
                  <c:v>1.2692062140881037</c:v>
                </c:pt>
                <c:pt idx="132">
                  <c:v>1.2849542455841669</c:v>
                </c:pt>
                <c:pt idx="133">
                  <c:v>1.3660353266652479</c:v>
                </c:pt>
                <c:pt idx="134">
                  <c:v>1.2866567354756331</c:v>
                </c:pt>
                <c:pt idx="135">
                  <c:v>1.3130453287933603</c:v>
                </c:pt>
                <c:pt idx="136">
                  <c:v>1.3670993828474143</c:v>
                </c:pt>
                <c:pt idx="137">
                  <c:v>1.3813577356884441</c:v>
                </c:pt>
                <c:pt idx="138">
                  <c:v>1.3849755267078101</c:v>
                </c:pt>
                <c:pt idx="139">
                  <c:v>1.3017663332623963</c:v>
                </c:pt>
                <c:pt idx="140">
                  <c:v>1.3777399446690783</c:v>
                </c:pt>
                <c:pt idx="141">
                  <c:v>1.3868908278357097</c:v>
                </c:pt>
                <c:pt idx="142">
                  <c:v>1.3851883379442436</c:v>
                </c:pt>
                <c:pt idx="143">
                  <c:v>1.3905086188550755</c:v>
                </c:pt>
                <c:pt idx="144">
                  <c:v>1.3775271334326453</c:v>
                </c:pt>
                <c:pt idx="145">
                  <c:v>1.3792296233241115</c:v>
                </c:pt>
                <c:pt idx="146">
                  <c:v>1.3194296658863587</c:v>
                </c:pt>
                <c:pt idx="147">
                  <c:v>1.2604809533943391</c:v>
                </c:pt>
                <c:pt idx="148">
                  <c:v>1.4488188976377951</c:v>
                </c:pt>
                <c:pt idx="149">
                  <c:v>1.4175356458821025</c:v>
                </c:pt>
                <c:pt idx="150">
                  <c:v>1.4105128750798042</c:v>
                </c:pt>
                <c:pt idx="151">
                  <c:v>1.4258352841030006</c:v>
                </c:pt>
                <c:pt idx="152">
                  <c:v>1.3549691423707171</c:v>
                </c:pt>
                <c:pt idx="153">
                  <c:v>1.3553947648435836</c:v>
                </c:pt>
                <c:pt idx="154">
                  <c:v>1.3170887422855926</c:v>
                </c:pt>
                <c:pt idx="155">
                  <c:v>1.294956373696531</c:v>
                </c:pt>
                <c:pt idx="156">
                  <c:v>1.3622047244094488</c:v>
                </c:pt>
                <c:pt idx="157">
                  <c:v>1.3722068525218132</c:v>
                </c:pt>
                <c:pt idx="158">
                  <c:v>1.4586082145137265</c:v>
                </c:pt>
                <c:pt idx="159">
                  <c:v>1.4792509044477549</c:v>
                </c:pt>
                <c:pt idx="160">
                  <c:v>1.4552032347307937</c:v>
                </c:pt>
                <c:pt idx="161">
                  <c:v>1.4122153649712703</c:v>
                </c:pt>
                <c:pt idx="162">
                  <c:v>1.3307086614173229</c:v>
                </c:pt>
                <c:pt idx="163">
                  <c:v>1.3036816343902957</c:v>
                </c:pt>
                <c:pt idx="164">
                  <c:v>1.2474994679719089</c:v>
                </c:pt>
                <c:pt idx="165">
                  <c:v>1.2038731645030858</c:v>
                </c:pt>
                <c:pt idx="166">
                  <c:v>1.276228984890402</c:v>
                </c:pt>
                <c:pt idx="167">
                  <c:v>1.2519685039370079</c:v>
                </c:pt>
                <c:pt idx="168">
                  <c:v>1.2443072994254096</c:v>
                </c:pt>
                <c:pt idx="169">
                  <c:v>1.1547137688869971</c:v>
                </c:pt>
                <c:pt idx="170">
                  <c:v>1.1823792296233242</c:v>
                </c:pt>
                <c:pt idx="171">
                  <c:v>1.2045115982123855</c:v>
                </c:pt>
                <c:pt idx="172">
                  <c:v>1.2151521600340498</c:v>
                </c:pt>
                <c:pt idx="173">
                  <c:v>1.2555862949563736</c:v>
                </c:pt>
                <c:pt idx="174">
                  <c:v>1.3883805064907426</c:v>
                </c:pt>
                <c:pt idx="175">
                  <c:v>1.446477974037029</c:v>
                </c:pt>
                <c:pt idx="176">
                  <c:v>1.4415833155990634</c:v>
                </c:pt>
                <c:pt idx="177">
                  <c:v>1.4977654820174504</c:v>
                </c:pt>
                <c:pt idx="178">
                  <c:v>1.5699084911683336</c:v>
                </c:pt>
                <c:pt idx="179">
                  <c:v>1.62864439242392</c:v>
                </c:pt>
                <c:pt idx="180">
                  <c:v>1.7146201319429664</c:v>
                </c:pt>
                <c:pt idx="181">
                  <c:v>1.8359225367099381</c:v>
                </c:pt>
                <c:pt idx="182">
                  <c:v>1.8069802085550115</c:v>
                </c:pt>
                <c:pt idx="183">
                  <c:v>1.8240051074696741</c:v>
                </c:pt>
                <c:pt idx="184">
                  <c:v>1.9267929346669506</c:v>
                </c:pt>
                <c:pt idx="185">
                  <c:v>1.9248776335390509</c:v>
                </c:pt>
                <c:pt idx="186">
                  <c:v>1.906363055969355</c:v>
                </c:pt>
                <c:pt idx="187">
                  <c:v>1.9016812087678228</c:v>
                </c:pt>
                <c:pt idx="188">
                  <c:v>1.9493509257288784</c:v>
                </c:pt>
                <c:pt idx="189">
                  <c:v>1.9757395190466056</c:v>
                </c:pt>
                <c:pt idx="190">
                  <c:v>1.9412640987444136</c:v>
                </c:pt>
                <c:pt idx="191">
                  <c:v>1.9248776335390509</c:v>
                </c:pt>
                <c:pt idx="192">
                  <c:v>1.9797829325388381</c:v>
                </c:pt>
                <c:pt idx="193">
                  <c:v>1.9997871887635665</c:v>
                </c:pt>
                <c:pt idx="194">
                  <c:v>1.9878697595233026</c:v>
                </c:pt>
                <c:pt idx="195">
                  <c:v>2.0174505213875289</c:v>
                </c:pt>
                <c:pt idx="196">
                  <c:v>1.9395616088529473</c:v>
                </c:pt>
                <c:pt idx="197">
                  <c:v>1.9565865077676099</c:v>
                </c:pt>
                <c:pt idx="198">
                  <c:v>2.1430091508831666</c:v>
                </c:pt>
                <c:pt idx="199">
                  <c:v>1.9525430942753776</c:v>
                </c:pt>
                <c:pt idx="200">
                  <c:v>1.905511811023622</c:v>
                </c:pt>
                <c:pt idx="201">
                  <c:v>1.9444562672909129</c:v>
                </c:pt>
                <c:pt idx="202">
                  <c:v>1.8389018940200041</c:v>
                </c:pt>
                <c:pt idx="203">
                  <c:v>1.951266226856778</c:v>
                </c:pt>
                <c:pt idx="204">
                  <c:v>1.9033836986592891</c:v>
                </c:pt>
                <c:pt idx="205">
                  <c:v>2.0051074696743987</c:v>
                </c:pt>
                <c:pt idx="206">
                  <c:v>2.0055330921472652</c:v>
                </c:pt>
                <c:pt idx="207">
                  <c:v>2.0527771866354541</c:v>
                </c:pt>
                <c:pt idx="208">
                  <c:v>2.0244732921898274</c:v>
                </c:pt>
              </c:numCache>
            </c:numRef>
          </c:val>
          <c:smooth val="0"/>
          <c:extLst>
            <c:ext xmlns:c16="http://schemas.microsoft.com/office/drawing/2014/chart" uri="{C3380CC4-5D6E-409C-BE32-E72D297353CC}">
              <c16:uniqueId val="{00000001-8C58-48B8-86DB-EE912F92F8CB}"/>
            </c:ext>
          </c:extLst>
        </c:ser>
        <c:dLbls>
          <c:showLegendKey val="0"/>
          <c:showVal val="0"/>
          <c:showCatName val="0"/>
          <c:showSerName val="0"/>
          <c:showPercent val="0"/>
          <c:showBubbleSize val="0"/>
        </c:dLbls>
        <c:smooth val="0"/>
        <c:axId val="1643105167"/>
        <c:axId val="1308130640"/>
      </c:lineChart>
      <c:dateAx>
        <c:axId val="16431051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08130640"/>
        <c:crosses val="autoZero"/>
        <c:auto val="1"/>
        <c:lblOffset val="100"/>
        <c:baseTimeUnit val="days"/>
        <c:majorUnit val="6"/>
        <c:majorTimeUnit val="months"/>
      </c:dateAx>
      <c:valAx>
        <c:axId val="1308130640"/>
        <c:scaling>
          <c:orientation val="minMax"/>
        </c:scaling>
        <c:delete val="0"/>
        <c:axPos val="l"/>
        <c:majorGridlines>
          <c:spPr>
            <a:ln w="9525" cap="flat" cmpd="sng" algn="ctr">
              <a:noFill/>
              <a:round/>
            </a:ln>
            <a:effectLst>
              <a:outerShdw blurRad="50800" dist="50800" dir="5400000" algn="ctr" rotWithShape="0">
                <a:srgbClr val="000000"/>
              </a:outerShdw>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4310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1'!$C$56</c:f>
              <c:strCache>
                <c:ptCount val="1"/>
                <c:pt idx="0">
                  <c:v>Revenue</c:v>
                </c:pt>
              </c:strCache>
            </c:strRef>
          </c:tx>
          <c:spPr>
            <a:solidFill>
              <a:schemeClr val="tx1">
                <a:lumMod val="50000"/>
                <a:lumOff val="50000"/>
                <a:alpha val="99000"/>
              </a:schemeClr>
            </a:solidFill>
            <a:ln>
              <a:solidFill>
                <a:schemeClr val="tx1"/>
              </a:solidFill>
            </a:ln>
            <a:effectLst/>
          </c:spPr>
          <c:invertIfNegative val="0"/>
          <c:dPt>
            <c:idx val="5"/>
            <c:invertIfNegative val="0"/>
            <c:bubble3D val="0"/>
            <c:spPr>
              <a:pattFill prst="dkUpDiag">
                <a:fgClr>
                  <a:schemeClr val="tx1">
                    <a:lumMod val="50000"/>
                    <a:lumOff val="50000"/>
                  </a:schemeClr>
                </a:fgClr>
                <a:bgClr>
                  <a:schemeClr val="bg1"/>
                </a:bgClr>
              </a:pattFill>
              <a:ln>
                <a:solidFill>
                  <a:schemeClr val="tx1"/>
                </a:solidFill>
              </a:ln>
              <a:effectLst/>
            </c:spPr>
            <c:extLst>
              <c:ext xmlns:c16="http://schemas.microsoft.com/office/drawing/2014/chart" uri="{C3380CC4-5D6E-409C-BE32-E72D297353CC}">
                <c16:uniqueId val="{00000000-014E-44B5-BA3F-75774095A9AD}"/>
              </c:ext>
            </c:extLst>
          </c:dPt>
          <c:dPt>
            <c:idx val="6"/>
            <c:invertIfNegative val="0"/>
            <c:bubble3D val="0"/>
            <c:spPr>
              <a:pattFill prst="dkUpDiag">
                <a:fgClr>
                  <a:schemeClr val="tx1">
                    <a:lumMod val="50000"/>
                    <a:lumOff val="50000"/>
                  </a:schemeClr>
                </a:fgClr>
                <a:bgClr>
                  <a:schemeClr val="bg1"/>
                </a:bgClr>
              </a:pattFill>
              <a:ln>
                <a:solidFill>
                  <a:schemeClr val="tx1"/>
                </a:solidFill>
              </a:ln>
              <a:effectLst/>
            </c:spPr>
            <c:extLst>
              <c:ext xmlns:c16="http://schemas.microsoft.com/office/drawing/2014/chart" uri="{C3380CC4-5D6E-409C-BE32-E72D297353CC}">
                <c16:uniqueId val="{00000001-014E-44B5-BA3F-75774095A9AD}"/>
              </c:ext>
            </c:extLst>
          </c:dPt>
          <c:cat>
            <c:strRef>
              <c:f>'Figure 1'!$B$57:$B$63</c:f>
              <c:strCache>
                <c:ptCount val="7"/>
                <c:pt idx="0">
                  <c:v>2021</c:v>
                </c:pt>
                <c:pt idx="1">
                  <c:v>2022</c:v>
                </c:pt>
                <c:pt idx="2">
                  <c:v>2023</c:v>
                </c:pt>
                <c:pt idx="3">
                  <c:v>2024</c:v>
                </c:pt>
                <c:pt idx="4">
                  <c:v>2025</c:v>
                </c:pt>
                <c:pt idx="5">
                  <c:v>2026E</c:v>
                </c:pt>
                <c:pt idx="6">
                  <c:v>2027E</c:v>
                </c:pt>
              </c:strCache>
            </c:strRef>
          </c:cat>
          <c:val>
            <c:numRef>
              <c:f>'Figure 1'!$C$57:$C$63</c:f>
              <c:numCache>
                <c:formatCode>_(* #,##0_);_(* \(#,##0\);_(* "-"??_);_(@_)</c:formatCode>
                <c:ptCount val="7"/>
                <c:pt idx="0">
                  <c:v>284.96499999999997</c:v>
                </c:pt>
                <c:pt idx="1">
                  <c:v>636.42700000000002</c:v>
                </c:pt>
                <c:pt idx="2">
                  <c:v>704.529</c:v>
                </c:pt>
                <c:pt idx="3">
                  <c:v>815.61900000000003</c:v>
                </c:pt>
                <c:pt idx="4">
                  <c:v>881.27200000000005</c:v>
                </c:pt>
                <c:pt idx="5">
                  <c:v>950</c:v>
                </c:pt>
                <c:pt idx="6">
                  <c:v>1016.5000000000001</c:v>
                </c:pt>
              </c:numCache>
            </c:numRef>
          </c:val>
          <c:extLst>
            <c:ext xmlns:c16="http://schemas.microsoft.com/office/drawing/2014/chart" uri="{C3380CC4-5D6E-409C-BE32-E72D297353CC}">
              <c16:uniqueId val="{00000000-1750-43DB-8BA3-C044BDE7206B}"/>
            </c:ext>
          </c:extLst>
        </c:ser>
        <c:dLbls>
          <c:showLegendKey val="0"/>
          <c:showVal val="0"/>
          <c:showCatName val="0"/>
          <c:showSerName val="0"/>
          <c:showPercent val="0"/>
          <c:showBubbleSize val="0"/>
        </c:dLbls>
        <c:gapWidth val="150"/>
        <c:axId val="1940702080"/>
        <c:axId val="1940694880"/>
      </c:barChart>
      <c:lineChart>
        <c:grouping val="standard"/>
        <c:varyColors val="0"/>
        <c:ser>
          <c:idx val="1"/>
          <c:order val="1"/>
          <c:tx>
            <c:strRef>
              <c:f>'Figure 1'!$D$56</c:f>
              <c:strCache>
                <c:ptCount val="1"/>
                <c:pt idx="0">
                  <c:v>EBITDA Margin</c:v>
                </c:pt>
              </c:strCache>
            </c:strRef>
          </c:tx>
          <c:spPr>
            <a:ln w="28575" cap="rnd">
              <a:solidFill>
                <a:schemeClr val="tx1"/>
              </a:solidFill>
              <a:round/>
            </a:ln>
            <a:effectLst/>
          </c:spPr>
          <c:marker>
            <c:symbol val="circle"/>
            <c:size val="5"/>
            <c:spPr>
              <a:solidFill>
                <a:schemeClr val="tx1"/>
              </a:solidFill>
              <a:ln w="9525">
                <a:solidFill>
                  <a:schemeClr val="tx1"/>
                </a:solidFill>
              </a:ln>
              <a:effectLst/>
            </c:spPr>
          </c:marker>
          <c:cat>
            <c:strRef>
              <c:f>'Figure 1'!$B$57:$B$63</c:f>
              <c:strCache>
                <c:ptCount val="7"/>
                <c:pt idx="0">
                  <c:v>2021</c:v>
                </c:pt>
                <c:pt idx="1">
                  <c:v>2022</c:v>
                </c:pt>
                <c:pt idx="2">
                  <c:v>2023</c:v>
                </c:pt>
                <c:pt idx="3">
                  <c:v>2024</c:v>
                </c:pt>
                <c:pt idx="4">
                  <c:v>2025</c:v>
                </c:pt>
                <c:pt idx="5">
                  <c:v>2026E</c:v>
                </c:pt>
                <c:pt idx="6">
                  <c:v>2027E</c:v>
                </c:pt>
              </c:strCache>
            </c:strRef>
          </c:cat>
          <c:val>
            <c:numRef>
              <c:f>'Figure 1'!$D$57:$D$63</c:f>
              <c:numCache>
                <c:formatCode>0%</c:formatCode>
                <c:ptCount val="7"/>
                <c:pt idx="0">
                  <c:v>0.12326776972610672</c:v>
                </c:pt>
                <c:pt idx="1">
                  <c:v>0.10324514830451882</c:v>
                </c:pt>
                <c:pt idx="2">
                  <c:v>0.10442295491030178</c:v>
                </c:pt>
                <c:pt idx="3">
                  <c:v>0.15575286990616943</c:v>
                </c:pt>
                <c:pt idx="4">
                  <c:v>0.18134128850116649</c:v>
                </c:pt>
                <c:pt idx="5">
                  <c:v>0.18</c:v>
                </c:pt>
                <c:pt idx="6">
                  <c:v>0.2</c:v>
                </c:pt>
              </c:numCache>
            </c:numRef>
          </c:val>
          <c:smooth val="0"/>
          <c:extLst>
            <c:ext xmlns:c16="http://schemas.microsoft.com/office/drawing/2014/chart" uri="{C3380CC4-5D6E-409C-BE32-E72D297353CC}">
              <c16:uniqueId val="{00000001-1750-43DB-8BA3-C044BDE7206B}"/>
            </c:ext>
          </c:extLst>
        </c:ser>
        <c:ser>
          <c:idx val="2"/>
          <c:order val="2"/>
          <c:tx>
            <c:strRef>
              <c:f>'Figure 1'!$E$56</c:f>
              <c:strCache>
                <c:ptCount val="1"/>
                <c:pt idx="0">
                  <c:v>EBIT Margin</c:v>
                </c:pt>
              </c:strCache>
            </c:strRef>
          </c:tx>
          <c:spPr>
            <a:ln w="28575" cap="rnd">
              <a:solidFill>
                <a:schemeClr val="tx1"/>
              </a:solidFill>
              <a:prstDash val="sysDash"/>
              <a:round/>
            </a:ln>
            <a:effectLst/>
          </c:spPr>
          <c:marker>
            <c:symbol val="circle"/>
            <c:size val="5"/>
            <c:spPr>
              <a:solidFill>
                <a:schemeClr val="tx1"/>
              </a:solidFill>
              <a:ln w="9525">
                <a:solidFill>
                  <a:schemeClr val="tx1"/>
                </a:solidFill>
                <a:prstDash val="sysDash"/>
              </a:ln>
              <a:effectLst/>
            </c:spPr>
          </c:marker>
          <c:cat>
            <c:strRef>
              <c:f>'Figure 1'!$B$57:$B$63</c:f>
              <c:strCache>
                <c:ptCount val="7"/>
                <c:pt idx="0">
                  <c:v>2021</c:v>
                </c:pt>
                <c:pt idx="1">
                  <c:v>2022</c:v>
                </c:pt>
                <c:pt idx="2">
                  <c:v>2023</c:v>
                </c:pt>
                <c:pt idx="3">
                  <c:v>2024</c:v>
                </c:pt>
                <c:pt idx="4">
                  <c:v>2025</c:v>
                </c:pt>
                <c:pt idx="5">
                  <c:v>2026E</c:v>
                </c:pt>
                <c:pt idx="6">
                  <c:v>2027E</c:v>
                </c:pt>
              </c:strCache>
            </c:strRef>
          </c:cat>
          <c:val>
            <c:numRef>
              <c:f>'Figure 1'!$E$57:$E$63</c:f>
              <c:numCache>
                <c:formatCode>0%</c:formatCode>
                <c:ptCount val="7"/>
                <c:pt idx="0">
                  <c:v>-6.6594143140385656E-2</c:v>
                </c:pt>
                <c:pt idx="1">
                  <c:v>-3.7254861908749944E-2</c:v>
                </c:pt>
                <c:pt idx="2">
                  <c:v>-1.2714877599076829E-2</c:v>
                </c:pt>
                <c:pt idx="3">
                  <c:v>5.3990895258693092E-2</c:v>
                </c:pt>
                <c:pt idx="4">
                  <c:v>8.2500068083406708E-2</c:v>
                </c:pt>
                <c:pt idx="5">
                  <c:v>8.5000000000000006E-2</c:v>
                </c:pt>
                <c:pt idx="6">
                  <c:v>0.11000000000000001</c:v>
                </c:pt>
              </c:numCache>
            </c:numRef>
          </c:val>
          <c:smooth val="0"/>
          <c:extLst>
            <c:ext xmlns:c16="http://schemas.microsoft.com/office/drawing/2014/chart" uri="{C3380CC4-5D6E-409C-BE32-E72D297353CC}">
              <c16:uniqueId val="{00000002-1750-43DB-8BA3-C044BDE7206B}"/>
            </c:ext>
          </c:extLst>
        </c:ser>
        <c:ser>
          <c:idx val="3"/>
          <c:order val="3"/>
          <c:tx>
            <c:strRef>
              <c:f>'Figure 1'!$F$56</c:f>
              <c:strCache>
                <c:ptCount val="1"/>
                <c:pt idx="0">
                  <c:v>Cpex % Revenue</c:v>
                </c:pt>
              </c:strCache>
            </c:strRef>
          </c:tx>
          <c:spPr>
            <a:ln w="28575" cap="rnd">
              <a:solidFill>
                <a:schemeClr val="tx1"/>
              </a:solidFill>
              <a:prstDash val="sysDot"/>
              <a:round/>
            </a:ln>
            <a:effectLst/>
          </c:spPr>
          <c:marker>
            <c:symbol val="circle"/>
            <c:size val="5"/>
            <c:spPr>
              <a:solidFill>
                <a:schemeClr val="tx1"/>
              </a:solidFill>
              <a:ln w="9525">
                <a:solidFill>
                  <a:schemeClr val="tx1"/>
                </a:solidFill>
                <a:prstDash val="sysDot"/>
              </a:ln>
              <a:effectLst/>
            </c:spPr>
          </c:marker>
          <c:cat>
            <c:strRef>
              <c:f>'Figure 1'!$B$57:$B$63</c:f>
              <c:strCache>
                <c:ptCount val="7"/>
                <c:pt idx="0">
                  <c:v>2021</c:v>
                </c:pt>
                <c:pt idx="1">
                  <c:v>2022</c:v>
                </c:pt>
                <c:pt idx="2">
                  <c:v>2023</c:v>
                </c:pt>
                <c:pt idx="3">
                  <c:v>2024</c:v>
                </c:pt>
                <c:pt idx="4">
                  <c:v>2025</c:v>
                </c:pt>
                <c:pt idx="5">
                  <c:v>2026E</c:v>
                </c:pt>
                <c:pt idx="6">
                  <c:v>2027E</c:v>
                </c:pt>
              </c:strCache>
            </c:strRef>
          </c:cat>
          <c:val>
            <c:numRef>
              <c:f>'Figure 1'!$F$57:$F$63</c:f>
              <c:numCache>
                <c:formatCode>0%</c:formatCode>
                <c:ptCount val="7"/>
                <c:pt idx="0">
                  <c:v>0.3536820311266296</c:v>
                </c:pt>
                <c:pt idx="1">
                  <c:v>0.12133677546678566</c:v>
                </c:pt>
                <c:pt idx="2">
                  <c:v>7.6675339127275102E-2</c:v>
                </c:pt>
                <c:pt idx="3">
                  <c:v>8.9848323788435533E-2</c:v>
                </c:pt>
                <c:pt idx="4">
                  <c:v>7.7343884748409114E-2</c:v>
                </c:pt>
                <c:pt idx="5">
                  <c:v>7.0000000000000007E-2</c:v>
                </c:pt>
                <c:pt idx="6">
                  <c:v>7.0000000000000007E-2</c:v>
                </c:pt>
              </c:numCache>
            </c:numRef>
          </c:val>
          <c:smooth val="0"/>
          <c:extLst>
            <c:ext xmlns:c16="http://schemas.microsoft.com/office/drawing/2014/chart" uri="{C3380CC4-5D6E-409C-BE32-E72D297353CC}">
              <c16:uniqueId val="{00000003-1750-43DB-8BA3-C044BDE7206B}"/>
            </c:ext>
          </c:extLst>
        </c:ser>
        <c:dLbls>
          <c:showLegendKey val="0"/>
          <c:showVal val="0"/>
          <c:showCatName val="0"/>
          <c:showSerName val="0"/>
          <c:showPercent val="0"/>
          <c:showBubbleSize val="0"/>
        </c:dLbls>
        <c:marker val="1"/>
        <c:smooth val="0"/>
        <c:axId val="1940714560"/>
        <c:axId val="1940714080"/>
      </c:lineChart>
      <c:catAx>
        <c:axId val="194070208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40694880"/>
        <c:crossesAt val="0"/>
        <c:auto val="1"/>
        <c:lblAlgn val="ctr"/>
        <c:lblOffset val="100"/>
        <c:noMultiLvlLbl val="0"/>
      </c:catAx>
      <c:valAx>
        <c:axId val="1940694880"/>
        <c:scaling>
          <c:orientation val="minMax"/>
        </c:scaling>
        <c:delete val="0"/>
        <c:axPos val="l"/>
        <c:majorGridlines>
          <c:spPr>
            <a:ln w="9525" cap="flat" cmpd="sng" algn="ctr">
              <a:noFill/>
              <a:round/>
            </a:ln>
            <a:effectLst/>
          </c:spPr>
        </c:majorGridlines>
        <c:numFmt formatCode="_(* #,##0_);_(* \(#,##0\);_(* &quot;-&quot;??_);_(@_)" sourceLinked="1"/>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Calibri" panose="020F0502020204030204" pitchFamily="34" charset="0"/>
                <a:cs typeface="Times New Roman" panose="02020603050405020304" pitchFamily="18" charset="0"/>
              </a:defRPr>
            </a:pPr>
            <a:endParaRPr lang="en-US"/>
          </a:p>
        </c:txPr>
        <c:crossAx val="1940702080"/>
        <c:crosses val="autoZero"/>
        <c:crossBetween val="between"/>
      </c:valAx>
      <c:valAx>
        <c:axId val="1940714080"/>
        <c:scaling>
          <c:orientation val="minMax"/>
        </c:scaling>
        <c:delete val="0"/>
        <c:axPos val="r"/>
        <c:numFmt formatCode="0%" sourceLinked="1"/>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40714560"/>
        <c:crosses val="max"/>
        <c:crossBetween val="between"/>
      </c:valAx>
      <c:catAx>
        <c:axId val="1940714560"/>
        <c:scaling>
          <c:orientation val="minMax"/>
        </c:scaling>
        <c:delete val="1"/>
        <c:axPos val="b"/>
        <c:numFmt formatCode="General" sourceLinked="1"/>
        <c:majorTickMark val="out"/>
        <c:minorTickMark val="none"/>
        <c:tickLblPos val="nextTo"/>
        <c:crossAx val="1940714080"/>
        <c:crosses val="autoZero"/>
        <c:auto val="1"/>
        <c:lblAlgn val="ctr"/>
        <c:lblOffset val="100"/>
        <c:noMultiLvlLbl val="0"/>
      </c:cat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Calibri" panose="020F0502020204030204" pitchFamily="34" charset="0"/>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752216</xdr:colOff>
      <xdr:row>50</xdr:row>
      <xdr:rowOff>161924</xdr:rowOff>
    </xdr:from>
    <xdr:to>
      <xdr:col>5</xdr:col>
      <xdr:colOff>4944707</xdr:colOff>
      <xdr:row>68</xdr:row>
      <xdr:rowOff>183369</xdr:rowOff>
    </xdr:to>
    <xdr:pic>
      <xdr:nvPicPr>
        <xdr:cNvPr id="2" name="Picture 1">
          <a:extLst>
            <a:ext uri="{FF2B5EF4-FFF2-40B4-BE49-F238E27FC236}">
              <a16:creationId xmlns:a16="http://schemas.microsoft.com/office/drawing/2014/main" id="{7B15291C-6EB5-6748-42D7-CF563EBA0AF8}"/>
            </a:ext>
          </a:extLst>
        </xdr:cNvPr>
        <xdr:cNvPicPr>
          <a:picLocks noChangeAspect="1"/>
        </xdr:cNvPicPr>
      </xdr:nvPicPr>
      <xdr:blipFill>
        <a:blip xmlns:r="http://schemas.openxmlformats.org/officeDocument/2006/relationships" r:embed="rId1"/>
        <a:stretch>
          <a:fillRect/>
        </a:stretch>
      </xdr:blipFill>
      <xdr:spPr>
        <a:xfrm>
          <a:off x="3685916" y="9744074"/>
          <a:ext cx="4954491" cy="3450445"/>
        </a:xfrm>
        <a:prstGeom prst="rect">
          <a:avLst/>
        </a:prstGeom>
      </xdr:spPr>
    </xdr:pic>
    <xdr:clientData/>
  </xdr:twoCellAnchor>
  <xdr:twoCellAnchor editAs="oneCell">
    <xdr:from>
      <xdr:col>0</xdr:col>
      <xdr:colOff>0</xdr:colOff>
      <xdr:row>49</xdr:row>
      <xdr:rowOff>95250</xdr:rowOff>
    </xdr:from>
    <xdr:to>
      <xdr:col>4</xdr:col>
      <xdr:colOff>167373</xdr:colOff>
      <xdr:row>67</xdr:row>
      <xdr:rowOff>123825</xdr:rowOff>
    </xdr:to>
    <xdr:pic>
      <xdr:nvPicPr>
        <xdr:cNvPr id="3" name="Picture 2">
          <a:extLst>
            <a:ext uri="{FF2B5EF4-FFF2-40B4-BE49-F238E27FC236}">
              <a16:creationId xmlns:a16="http://schemas.microsoft.com/office/drawing/2014/main" id="{0C7376AB-294E-9E8A-1071-7A6DB2857FAC}"/>
            </a:ext>
          </a:extLst>
        </xdr:cNvPr>
        <xdr:cNvPicPr>
          <a:picLocks noChangeAspect="1"/>
        </xdr:cNvPicPr>
      </xdr:nvPicPr>
      <xdr:blipFill>
        <a:blip xmlns:r="http://schemas.openxmlformats.org/officeDocument/2006/relationships" r:embed="rId2"/>
        <a:stretch>
          <a:fillRect/>
        </a:stretch>
      </xdr:blipFill>
      <xdr:spPr>
        <a:xfrm>
          <a:off x="0" y="9486900"/>
          <a:ext cx="3101073" cy="3457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273327</xdr:colOff>
      <xdr:row>214</xdr:row>
      <xdr:rowOff>119270</xdr:rowOff>
    </xdr:from>
    <xdr:to>
      <xdr:col>25</xdr:col>
      <xdr:colOff>554936</xdr:colOff>
      <xdr:row>229</xdr:row>
      <xdr:rowOff>4970</xdr:rowOff>
    </xdr:to>
    <xdr:graphicFrame macro="">
      <xdr:nvGraphicFramePr>
        <xdr:cNvPr id="2" name="Chart 1">
          <a:extLst>
            <a:ext uri="{FF2B5EF4-FFF2-40B4-BE49-F238E27FC236}">
              <a16:creationId xmlns:a16="http://schemas.microsoft.com/office/drawing/2014/main" id="{61A9ED67-2AA0-80DD-CA9E-3888DF9C4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1212274</xdr:colOff>
      <xdr:row>17</xdr:row>
      <xdr:rowOff>39360</xdr:rowOff>
    </xdr:from>
    <xdr:ext cx="4093387" cy="2127057"/>
    <xdr:sp macro="" textlink="">
      <xdr:nvSpPr>
        <xdr:cNvPr id="3" name="TextBox 2">
          <a:extLst>
            <a:ext uri="{FF2B5EF4-FFF2-40B4-BE49-F238E27FC236}">
              <a16:creationId xmlns:a16="http://schemas.microsoft.com/office/drawing/2014/main" id="{165D2242-F1A6-213B-B637-7B609AA2F148}"/>
            </a:ext>
          </a:extLst>
        </xdr:cNvPr>
        <xdr:cNvSpPr txBox="1"/>
      </xdr:nvSpPr>
      <xdr:spPr>
        <a:xfrm>
          <a:off x="1314609" y="3676178"/>
          <a:ext cx="4093387" cy="2127057"/>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chemeClr val="tx1"/>
              </a:solidFill>
              <a:effectLst/>
              <a:latin typeface="+mn-lt"/>
              <a:ea typeface="+mn-ea"/>
              <a:cs typeface="+mn-cs"/>
            </a:rPr>
            <a:t>Montana vs. MRO Players</a:t>
          </a:r>
          <a:endParaRPr lang="en-US" sz="1000">
            <a:solidFill>
              <a:schemeClr val="tx1"/>
            </a:solidFill>
            <a:effectLst/>
            <a:latin typeface="+mn-lt"/>
            <a:ea typeface="+mn-ea"/>
            <a:cs typeface="+mn-cs"/>
          </a:endParaRPr>
        </a:p>
        <a:p>
          <a:r>
            <a:rPr lang="en-US" sz="1000">
              <a:solidFill>
                <a:schemeClr val="tx1"/>
              </a:solidFill>
              <a:effectLst/>
              <a:latin typeface="+mn-lt"/>
              <a:ea typeface="+mn-ea"/>
              <a:cs typeface="+mn-cs"/>
            </a:rPr>
            <a:t>An addendum involving MRO players is merited. Companies involved in maintenance, repair, and overhaul (MRO) e.g., Standard Aero, Safran, MTU Aero engines, have higher margins and cash flow visibility. As such, they are priced at a premium to aerostructures businesses. Still, investors should scrutinize this assumptions. </a:t>
          </a:r>
        </a:p>
        <a:p>
          <a:r>
            <a:rPr lang="en-US" sz="1000">
              <a:solidFill>
                <a:schemeClr val="tx1"/>
              </a:solidFill>
              <a:effectLst/>
              <a:latin typeface="+mn-lt"/>
              <a:ea typeface="+mn-ea"/>
              <a:cs typeface="+mn-cs"/>
            </a:rPr>
            <a:t>May/June of 2026 is such a moment. The spike in oil prices has encouraged early retirements of older aircraft and engine models. With fewer legacy models operating, the addressable market for MRO players is contracted. In other words, they are exposed to oil price shocks in ways that aerostructures are not. Boeing and Airbus will continue to deliver airplanes regardless of whether Tehran and Washington agree on a ceasefire.</a:t>
          </a:r>
        </a:p>
        <a:p>
          <a:endParaRPr lang="en-US" sz="10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10</xdr:col>
      <xdr:colOff>79129</xdr:colOff>
      <xdr:row>48</xdr:row>
      <xdr:rowOff>116658</xdr:rowOff>
    </xdr:from>
    <xdr:to>
      <xdr:col>17</xdr:col>
      <xdr:colOff>400017</xdr:colOff>
      <xdr:row>65</xdr:row>
      <xdr:rowOff>118124</xdr:rowOff>
    </xdr:to>
    <xdr:graphicFrame macro="">
      <xdr:nvGraphicFramePr>
        <xdr:cNvPr id="2" name="Chart 1">
          <a:extLst>
            <a:ext uri="{FF2B5EF4-FFF2-40B4-BE49-F238E27FC236}">
              <a16:creationId xmlns:a16="http://schemas.microsoft.com/office/drawing/2014/main" id="{7C23059B-CD8D-8FC4-FE4B-6501F030F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8283</xdr:colOff>
      <xdr:row>9</xdr:row>
      <xdr:rowOff>0</xdr:rowOff>
    </xdr:from>
    <xdr:to>
      <xdr:col>3</xdr:col>
      <xdr:colOff>19707</xdr:colOff>
      <xdr:row>29</xdr:row>
      <xdr:rowOff>165652</xdr:rowOff>
    </xdr:to>
    <xdr:cxnSp macro="">
      <xdr:nvCxnSpPr>
        <xdr:cNvPr id="5" name="Straight Connector 4">
          <a:extLst>
            <a:ext uri="{FF2B5EF4-FFF2-40B4-BE49-F238E27FC236}">
              <a16:creationId xmlns:a16="http://schemas.microsoft.com/office/drawing/2014/main" id="{4E08F158-7B31-28F9-2901-EDE233C0C86C}"/>
            </a:ext>
          </a:extLst>
        </xdr:cNvPr>
        <xdr:cNvCxnSpPr/>
      </xdr:nvCxnSpPr>
      <xdr:spPr>
        <a:xfrm flipH="1">
          <a:off x="2476500" y="2046375"/>
          <a:ext cx="11424" cy="29977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8283</xdr:colOff>
      <xdr:row>9</xdr:row>
      <xdr:rowOff>0</xdr:rowOff>
    </xdr:from>
    <xdr:to>
      <xdr:col>3</xdr:col>
      <xdr:colOff>19707</xdr:colOff>
      <xdr:row>29</xdr:row>
      <xdr:rowOff>165652</xdr:rowOff>
    </xdr:to>
    <xdr:cxnSp macro="">
      <xdr:nvCxnSpPr>
        <xdr:cNvPr id="2" name="Straight Connector 1">
          <a:extLst>
            <a:ext uri="{FF2B5EF4-FFF2-40B4-BE49-F238E27FC236}">
              <a16:creationId xmlns:a16="http://schemas.microsoft.com/office/drawing/2014/main" id="{6E35CD39-0865-45A4-BB46-2DAD2274B9E3}"/>
            </a:ext>
          </a:extLst>
        </xdr:cNvPr>
        <xdr:cNvCxnSpPr/>
      </xdr:nvCxnSpPr>
      <xdr:spPr>
        <a:xfrm flipH="1">
          <a:off x="2122833" y="1514475"/>
          <a:ext cx="11424" cy="328032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3</xdr:col>
      <xdr:colOff>176265</xdr:colOff>
      <xdr:row>29</xdr:row>
      <xdr:rowOff>74107</xdr:rowOff>
    </xdr:from>
    <xdr:ext cx="264560" cy="1564146"/>
    <xdr:sp macro="" textlink="">
      <xdr:nvSpPr>
        <xdr:cNvPr id="2" name="TextBox 1">
          <a:extLst>
            <a:ext uri="{FF2B5EF4-FFF2-40B4-BE49-F238E27FC236}">
              <a16:creationId xmlns:a16="http://schemas.microsoft.com/office/drawing/2014/main" id="{BB36B0D8-B60A-461D-A080-0CCD70CB696E}"/>
            </a:ext>
          </a:extLst>
        </xdr:cNvPr>
        <xdr:cNvSpPr txBox="1"/>
      </xdr:nvSpPr>
      <xdr:spPr>
        <a:xfrm rot="16200000">
          <a:off x="1841047" y="5667375"/>
          <a:ext cx="15641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Perpetual growth rate (g)</a:t>
          </a:r>
        </a:p>
      </xdr:txBody>
    </xdr:sp>
    <xdr:clientData/>
  </xdr:oneCellAnchor>
  <xdr:oneCellAnchor>
    <xdr:from>
      <xdr:col>5</xdr:col>
      <xdr:colOff>367295</xdr:colOff>
      <xdr:row>28</xdr:row>
      <xdr:rowOff>94622</xdr:rowOff>
    </xdr:from>
    <xdr:ext cx="553228" cy="264560"/>
    <xdr:sp macro="" textlink="">
      <xdr:nvSpPr>
        <xdr:cNvPr id="3" name="TextBox 2">
          <a:extLst>
            <a:ext uri="{FF2B5EF4-FFF2-40B4-BE49-F238E27FC236}">
              <a16:creationId xmlns:a16="http://schemas.microsoft.com/office/drawing/2014/main" id="{98D77B4E-37D6-424C-A6EA-22C621DF19B3}"/>
            </a:ext>
          </a:extLst>
        </xdr:cNvPr>
        <xdr:cNvSpPr txBox="1"/>
      </xdr:nvSpPr>
      <xdr:spPr>
        <a:xfrm>
          <a:off x="4358270" y="4847597"/>
          <a:ext cx="5532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WACC</a:t>
          </a:r>
        </a:p>
      </xdr:txBody>
    </xdr:sp>
    <xdr:clientData/>
  </xdr:oneCellAnchor>
  <xdr:twoCellAnchor>
    <xdr:from>
      <xdr:col>3</xdr:col>
      <xdr:colOff>19707</xdr:colOff>
      <xdr:row>10</xdr:row>
      <xdr:rowOff>124810</xdr:rowOff>
    </xdr:from>
    <xdr:to>
      <xdr:col>3</xdr:col>
      <xdr:colOff>19707</xdr:colOff>
      <xdr:row>24</xdr:row>
      <xdr:rowOff>137948</xdr:rowOff>
    </xdr:to>
    <xdr:cxnSp macro="">
      <xdr:nvCxnSpPr>
        <xdr:cNvPr id="4" name="Straight Connector 3">
          <a:extLst>
            <a:ext uri="{FF2B5EF4-FFF2-40B4-BE49-F238E27FC236}">
              <a16:creationId xmlns:a16="http://schemas.microsoft.com/office/drawing/2014/main" id="{FB9585D0-C5E6-4527-AAE2-1D6218301265}"/>
            </a:ext>
          </a:extLst>
        </xdr:cNvPr>
        <xdr:cNvCxnSpPr/>
      </xdr:nvCxnSpPr>
      <xdr:spPr>
        <a:xfrm>
          <a:off x="2334282" y="2048860"/>
          <a:ext cx="0" cy="22229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oneCellAnchor>
    <xdr:from>
      <xdr:col>3</xdr:col>
      <xdr:colOff>176265</xdr:colOff>
      <xdr:row>29</xdr:row>
      <xdr:rowOff>74107</xdr:rowOff>
    </xdr:from>
    <xdr:ext cx="264560" cy="1564146"/>
    <xdr:sp macro="" textlink="">
      <xdr:nvSpPr>
        <xdr:cNvPr id="2" name="TextBox 1">
          <a:extLst>
            <a:ext uri="{FF2B5EF4-FFF2-40B4-BE49-F238E27FC236}">
              <a16:creationId xmlns:a16="http://schemas.microsoft.com/office/drawing/2014/main" id="{A534CC11-A0D0-4513-BDD5-8DD95D54D009}"/>
            </a:ext>
          </a:extLst>
        </xdr:cNvPr>
        <xdr:cNvSpPr txBox="1"/>
      </xdr:nvSpPr>
      <xdr:spPr>
        <a:xfrm rot="16200000">
          <a:off x="1841047" y="5667375"/>
          <a:ext cx="15641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Perpetual growth rate (g)</a:t>
          </a:r>
        </a:p>
      </xdr:txBody>
    </xdr:sp>
    <xdr:clientData/>
  </xdr:oneCellAnchor>
  <xdr:oneCellAnchor>
    <xdr:from>
      <xdr:col>5</xdr:col>
      <xdr:colOff>367295</xdr:colOff>
      <xdr:row>28</xdr:row>
      <xdr:rowOff>94622</xdr:rowOff>
    </xdr:from>
    <xdr:ext cx="553228" cy="264560"/>
    <xdr:sp macro="" textlink="">
      <xdr:nvSpPr>
        <xdr:cNvPr id="3" name="TextBox 2">
          <a:extLst>
            <a:ext uri="{FF2B5EF4-FFF2-40B4-BE49-F238E27FC236}">
              <a16:creationId xmlns:a16="http://schemas.microsoft.com/office/drawing/2014/main" id="{20EC46B4-2336-4865-9F8D-9AC5FED345FF}"/>
            </a:ext>
          </a:extLst>
        </xdr:cNvPr>
        <xdr:cNvSpPr txBox="1"/>
      </xdr:nvSpPr>
      <xdr:spPr>
        <a:xfrm>
          <a:off x="4358270" y="4847597"/>
          <a:ext cx="5532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WACC</a:t>
          </a:r>
        </a:p>
      </xdr:txBody>
    </xdr:sp>
    <xdr:clientData/>
  </xdr:oneCellAnchor>
  <xdr:twoCellAnchor>
    <xdr:from>
      <xdr:col>3</xdr:col>
      <xdr:colOff>19707</xdr:colOff>
      <xdr:row>10</xdr:row>
      <xdr:rowOff>124810</xdr:rowOff>
    </xdr:from>
    <xdr:to>
      <xdr:col>3</xdr:col>
      <xdr:colOff>19707</xdr:colOff>
      <xdr:row>24</xdr:row>
      <xdr:rowOff>137948</xdr:rowOff>
    </xdr:to>
    <xdr:cxnSp macro="">
      <xdr:nvCxnSpPr>
        <xdr:cNvPr id="4" name="Straight Connector 3">
          <a:extLst>
            <a:ext uri="{FF2B5EF4-FFF2-40B4-BE49-F238E27FC236}">
              <a16:creationId xmlns:a16="http://schemas.microsoft.com/office/drawing/2014/main" id="{43290B5B-75A3-4EBE-80A6-034EAD0DB4EB}"/>
            </a:ext>
          </a:extLst>
        </xdr:cNvPr>
        <xdr:cNvCxnSpPr/>
      </xdr:nvCxnSpPr>
      <xdr:spPr>
        <a:xfrm>
          <a:off x="2334282" y="2048860"/>
          <a:ext cx="0" cy="22229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3</xdr:col>
      <xdr:colOff>176265</xdr:colOff>
      <xdr:row>30</xdr:row>
      <xdr:rowOff>74107</xdr:rowOff>
    </xdr:from>
    <xdr:ext cx="264560" cy="1564146"/>
    <xdr:sp macro="" textlink="">
      <xdr:nvSpPr>
        <xdr:cNvPr id="2" name="TextBox 1">
          <a:extLst>
            <a:ext uri="{FF2B5EF4-FFF2-40B4-BE49-F238E27FC236}">
              <a16:creationId xmlns:a16="http://schemas.microsoft.com/office/drawing/2014/main" id="{633A2BC0-15A0-47F9-BCAA-CFE8FD5EE1F6}"/>
            </a:ext>
          </a:extLst>
        </xdr:cNvPr>
        <xdr:cNvSpPr txBox="1"/>
      </xdr:nvSpPr>
      <xdr:spPr>
        <a:xfrm rot="16200000">
          <a:off x="1993447" y="5829300"/>
          <a:ext cx="15641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Perpetual growth rate (g)</a:t>
          </a:r>
        </a:p>
      </xdr:txBody>
    </xdr:sp>
    <xdr:clientData/>
  </xdr:oneCellAnchor>
  <xdr:oneCellAnchor>
    <xdr:from>
      <xdr:col>5</xdr:col>
      <xdr:colOff>367295</xdr:colOff>
      <xdr:row>29</xdr:row>
      <xdr:rowOff>94622</xdr:rowOff>
    </xdr:from>
    <xdr:ext cx="553228" cy="264560"/>
    <xdr:sp macro="" textlink="">
      <xdr:nvSpPr>
        <xdr:cNvPr id="3" name="TextBox 2">
          <a:extLst>
            <a:ext uri="{FF2B5EF4-FFF2-40B4-BE49-F238E27FC236}">
              <a16:creationId xmlns:a16="http://schemas.microsoft.com/office/drawing/2014/main" id="{0829594A-566C-4BFA-8B7B-4344D9BB54ED}"/>
            </a:ext>
          </a:extLst>
        </xdr:cNvPr>
        <xdr:cNvSpPr txBox="1"/>
      </xdr:nvSpPr>
      <xdr:spPr>
        <a:xfrm>
          <a:off x="4510670" y="5009522"/>
          <a:ext cx="5532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WACC</a:t>
          </a:r>
        </a:p>
      </xdr:txBody>
    </xdr:sp>
    <xdr:clientData/>
  </xdr:oneCellAnchor>
  <xdr:twoCellAnchor>
    <xdr:from>
      <xdr:col>3</xdr:col>
      <xdr:colOff>8283</xdr:colOff>
      <xdr:row>10</xdr:row>
      <xdr:rowOff>124810</xdr:rowOff>
    </xdr:from>
    <xdr:to>
      <xdr:col>3</xdr:col>
      <xdr:colOff>19707</xdr:colOff>
      <xdr:row>29</xdr:row>
      <xdr:rowOff>165652</xdr:rowOff>
    </xdr:to>
    <xdr:cxnSp macro="">
      <xdr:nvCxnSpPr>
        <xdr:cNvPr id="4" name="Straight Connector 3">
          <a:extLst>
            <a:ext uri="{FF2B5EF4-FFF2-40B4-BE49-F238E27FC236}">
              <a16:creationId xmlns:a16="http://schemas.microsoft.com/office/drawing/2014/main" id="{4382D0A1-FC9B-45C5-92E9-F4472DECD92E}"/>
            </a:ext>
          </a:extLst>
        </xdr:cNvPr>
        <xdr:cNvCxnSpPr/>
      </xdr:nvCxnSpPr>
      <xdr:spPr>
        <a:xfrm flipH="1">
          <a:off x="2475258" y="2048860"/>
          <a:ext cx="11424" cy="303169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29</xdr:col>
      <xdr:colOff>23196</xdr:colOff>
      <xdr:row>32</xdr:row>
      <xdr:rowOff>67509</xdr:rowOff>
    </xdr:to>
    <xdr:pic>
      <xdr:nvPicPr>
        <xdr:cNvPr id="2" name="Picture 1">
          <a:extLst>
            <a:ext uri="{FF2B5EF4-FFF2-40B4-BE49-F238E27FC236}">
              <a16:creationId xmlns:a16="http://schemas.microsoft.com/office/drawing/2014/main" id="{E6AB8B54-D4C9-7125-439D-7DBE318A556E}"/>
            </a:ext>
          </a:extLst>
        </xdr:cNvPr>
        <xdr:cNvPicPr>
          <a:picLocks noChangeAspect="1"/>
        </xdr:cNvPicPr>
      </xdr:nvPicPr>
      <xdr:blipFill>
        <a:blip xmlns:r="http://schemas.openxmlformats.org/officeDocument/2006/relationships" r:embed="rId1"/>
        <a:stretch>
          <a:fillRect/>
        </a:stretch>
      </xdr:blipFill>
      <xdr:spPr>
        <a:xfrm>
          <a:off x="609600" y="190500"/>
          <a:ext cx="17299814" cy="59730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dc8c86c708ee123/Documents/corporate%20financials/Working%20Progress/FACC%20Ag%2003162026.xlsx" TargetMode="External"/><Relationship Id="rId1" Type="http://schemas.openxmlformats.org/officeDocument/2006/relationships/externalLinkPath" Target="Working%20Progress/FACC%20Ag%200316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dc8c86c708ee123/Documents/corporate%20financials/Working%20Progress/FGA%20Figeac%2004282026.xlsx" TargetMode="External"/><Relationship Id="rId1" Type="http://schemas.openxmlformats.org/officeDocument/2006/relationships/externalLinkPath" Target="Working%20Progress/FGA%20Figeac%200428202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9dc8c86c708ee123/Documents/corporate%20financials/Working%20Progress/DCO%2003112026.xlsx" TargetMode="External"/><Relationship Id="rId1" Type="http://schemas.openxmlformats.org/officeDocument/2006/relationships/externalLinkPath" Target="Working%20Progress/DCO%200311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d.docs.live.net/9dc8c86c708ee123/Documents/corporate%20financials/Working%20Progress/SARO_Standard_%2004082026.xlsx" TargetMode="External"/><Relationship Id="rId1" Type="http://schemas.openxmlformats.org/officeDocument/2006/relationships/externalLinkPath" Target="Working%20Progress/SARO_Standard_%20040820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d.docs.live.net/9dc8c86c708ee123/Documents/corporate%20financials/Working%20Progress/SNR%20Senior%20PLC%2004142026.xlsx" TargetMode="External"/><Relationship Id="rId1" Type="http://schemas.openxmlformats.org/officeDocument/2006/relationships/externalLinkPath" Target="Working%20Progress/SNR%20Senior%20PLC%20041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Analysts"/>
    </sheetNames>
    <sheetDataSet>
      <sheetData sheetId="0">
        <row r="6">
          <cell r="C6">
            <v>22.866700000000002</v>
          </cell>
        </row>
        <row r="7">
          <cell r="D7">
            <v>739.05060000000003</v>
          </cell>
        </row>
        <row r="10">
          <cell r="C10">
            <v>145.43100000000001</v>
          </cell>
        </row>
        <row r="13">
          <cell r="D13">
            <v>10.945961740853095</v>
          </cell>
        </row>
      </sheetData>
      <sheetData sheetId="1">
        <row r="59">
          <cell r="I59">
            <v>0.42598036001365708</v>
          </cell>
        </row>
        <row r="82">
          <cell r="P82">
            <v>984.40499999999997</v>
          </cell>
        </row>
        <row r="93">
          <cell r="P93">
            <v>4.2995515057318877E-2</v>
          </cell>
        </row>
        <row r="96">
          <cell r="P96">
            <v>8.2044483723670639E-2</v>
          </cell>
        </row>
        <row r="171">
          <cell r="P171">
            <v>1.8006686064508146</v>
          </cell>
        </row>
        <row r="220">
          <cell r="P220">
            <v>13.534249999999979</v>
          </cell>
        </row>
        <row r="244">
          <cell r="I244">
            <v>1.3248874847773522</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Model"/>
      <sheetName val="Main"/>
      <sheetName val="Claude input "/>
      <sheetName val="Table 5"/>
    </sheetNames>
    <sheetDataSet>
      <sheetData sheetId="0">
        <row r="18">
          <cell r="C18">
            <v>11.602664661735618</v>
          </cell>
        </row>
      </sheetData>
      <sheetData sheetId="1">
        <row r="144">
          <cell r="W144">
            <v>486.8</v>
          </cell>
        </row>
        <row r="157">
          <cell r="V157">
            <v>5.1205495134516318E-2</v>
          </cell>
        </row>
        <row r="159">
          <cell r="V159">
            <v>0.15561305094447625</v>
          </cell>
        </row>
        <row r="221">
          <cell r="V221">
            <v>7.034764035801464</v>
          </cell>
        </row>
        <row r="255">
          <cell r="V255">
            <v>572.72400000000005</v>
          </cell>
        </row>
        <row r="276">
          <cell r="V276">
            <v>32.643000000000001</v>
          </cell>
        </row>
      </sheetData>
      <sheetData sheetId="2">
        <row r="7">
          <cell r="C7">
            <v>509.65249999999997</v>
          </cell>
        </row>
        <row r="13">
          <cell r="C13">
            <v>346.83299999999997</v>
          </cell>
        </row>
        <row r="18">
          <cell r="C18">
            <v>11.602664661735618</v>
          </cell>
          <cell r="D18">
            <v>11.354475657156788</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FiHi"/>
      <sheetName val="Model"/>
      <sheetName val="Claude output - toggle "/>
    </sheetNames>
    <sheetDataSet>
      <sheetData sheetId="0">
        <row r="6">
          <cell r="C6">
            <v>2482.178042</v>
          </cell>
        </row>
        <row r="10">
          <cell r="C10">
            <v>303.59100000000001</v>
          </cell>
        </row>
        <row r="14">
          <cell r="C14">
            <v>22.831973895046676</v>
          </cell>
        </row>
      </sheetData>
      <sheetData sheetId="1"/>
      <sheetData sheetId="2">
        <row r="95">
          <cell r="C95">
            <v>824.65800000000002</v>
          </cell>
        </row>
        <row r="106">
          <cell r="C106">
            <v>9.1017124674713665E-2</v>
          </cell>
        </row>
        <row r="108">
          <cell r="C108">
            <v>0.13183040727186301</v>
          </cell>
        </row>
        <row r="154">
          <cell r="C154">
            <v>2.7641079887779969</v>
          </cell>
        </row>
        <row r="190">
          <cell r="C190">
            <v>-58.396000000000001</v>
          </cell>
        </row>
        <row r="203">
          <cell r="C203">
            <v>585.1400000000001</v>
          </cell>
        </row>
      </sheetData>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Model"/>
      <sheetName val="Analysts"/>
      <sheetName val="Guidance"/>
    </sheetNames>
    <sheetDataSet>
      <sheetData sheetId="0" refreshError="1">
        <row r="7">
          <cell r="C7">
            <v>8163348.7920000004</v>
          </cell>
        </row>
        <row r="15">
          <cell r="C15">
            <v>13.254410643220609</v>
          </cell>
        </row>
      </sheetData>
      <sheetData sheetId="1" refreshError="1">
        <row r="16">
          <cell r="G16">
            <v>6062513</v>
          </cell>
        </row>
        <row r="27">
          <cell r="G27">
            <v>0.12554579264407351</v>
          </cell>
        </row>
        <row r="93">
          <cell r="G93">
            <v>0.83027625949879857</v>
          </cell>
        </row>
        <row r="131">
          <cell r="G131">
            <v>234297</v>
          </cell>
        </row>
      </sheetData>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Sheet2"/>
    </sheetNames>
    <sheetDataSet>
      <sheetData sheetId="0">
        <row r="12">
          <cell r="C12">
            <v>13.429954896907216</v>
          </cell>
        </row>
        <row r="13">
          <cell r="D13">
            <v>13.915779639175257</v>
          </cell>
        </row>
      </sheetData>
      <sheetData sheetId="1">
        <row r="74">
          <cell r="C74">
            <v>0.40836181961609258</v>
          </cell>
        </row>
        <row r="76">
          <cell r="C76">
            <v>1.5115979381443301</v>
          </cell>
        </row>
      </sheetData>
    </sheetDataSet>
  </externalBook>
</externalLink>
</file>

<file path=xl/persons/person.xml><?xml version="1.0" encoding="utf-8"?>
<personList xmlns="http://schemas.microsoft.com/office/spreadsheetml/2018/threadedcomments" xmlns:x="http://schemas.openxmlformats.org/spreadsheetml/2006/main">
  <person displayName="Joaquin Goquiolay" id="{BC1B0602-7584-4B42-B3E6-5D52F373ED6D}" userId="9dc8c86c708ee123"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7">
  <rv s="0">
    <v>https://www.bing.com/financeapi/forcetrigger?t=c23yu2&amp;q=XSWX%3aAERO&amp;form=skydnc</v>
    <v>Learn more on Bing</v>
  </rv>
  <rv s="1">
    <v>en-US</v>
    <v>c23yu2</v>
    <v>268435456</v>
    <v>1</v>
    <v>Powered by Refinitiv</v>
    <v>0</v>
    <v>Montana Aerospace AG (XSWX:AERO)</v>
    <v>2</v>
    <v>3</v>
    <v>Finance</v>
    <v>4</v>
    <v>35.299999999999997</v>
    <v>19.18</v>
    <v>1.4835</v>
    <v>0.45</v>
    <v>1.4119999999999998E-3</v>
    <v>2.1635000000000001E-2</v>
    <v>0.03</v>
    <v>CHF</v>
    <v>Montana Aerospace AG is Switzerland-based manufacturer of aircraft parts and auxiliary equipment. The Company specializes in critical structural parts and assemblies with a focus on lightweight solutions made of aluminum, titanium, hard metals and composite materials.Its product portfolio extends from structural components more than 20 meters long for the fuselage, wings and landing gear to critical engine components subject to high thermal and mechanical loads, and functional components for the cabin interior.</v>
    <v>6468</v>
    <v>SIX Swiss Exchange</v>
    <v>XSWX</v>
    <v>XSWX</v>
    <v>Alzbachstrasse 27, REINACH, AARGAU, 5734 CH</v>
    <v>21.6</v>
    <v>Aerospace &amp; Defense</v>
    <v>Stock</v>
    <v>46184.755219907405</v>
    <v>0</v>
    <v>20.8</v>
    <v>2171220000</v>
    <v>Montana Aerospace AG</v>
    <v>Montana Aerospace AG</v>
    <v>20.8</v>
    <v>708.33330000000001</v>
    <v>20.8</v>
    <v>21.25</v>
    <v>21.28</v>
    <v>62680300</v>
    <v>AERO</v>
    <v>Montana Aerospace AG (XSWX:AERO)</v>
    <v>122955</v>
    <v>144520</v>
    <v>2019</v>
  </rv>
  <rv s="2">
    <v>1</v>
  </rv>
  <rv s="3">
    <v>en-US</v>
    <v>avv7r7</v>
    <v>268435456</v>
    <v>1</v>
    <v>Powered by Refinitiv</v>
    <v>5</v>
    <v>CHF/USD</v>
    <v>6</v>
    <v>7</v>
    <v>Finance</v>
    <v>8</v>
    <v>1.3149</v>
    <v>1.212</v>
    <v>-2.0000000000000001E-4</v>
    <v>-1.5900000000000002E-4</v>
    <v>USD</v>
    <v>CHF</v>
    <v>1.2589999999999999</v>
    <v>Currency Pair</v>
    <v>46184.980555555558</v>
    <v>1.2577</v>
    <v>Swiss Franc/US Dollar FX Cross Rate</v>
    <v>1.2579</v>
    <v>1.2577</v>
    <v>1.2575000000000001</v>
    <v>CHFUSD</v>
    <v>CHF/USD</v>
  </rv>
  <rv s="2">
    <v>3</v>
  </rv>
  <rv s="3">
    <v>en-US</v>
    <v>avuzw7</v>
    <v>268435456</v>
    <v>1</v>
    <v>Powered by Refinitiv</v>
    <v>5</v>
    <v>CHF/EUR</v>
    <v>6</v>
    <v>9</v>
    <v>Finance</v>
    <v>8</v>
    <v>1.1135999999999999</v>
    <v>1.0567</v>
    <v>-2.0000000000000001E-4</v>
    <v>-1.8419999999999998E-4</v>
    <v>EUR</v>
    <v>CHF</v>
    <v>1.087</v>
    <v>Currency Pair</v>
    <v>46184.980624999997</v>
    <v>1.0864</v>
    <v>Swiss Franc/Euro FX Cross Rate</v>
    <v>1.0861000000000001</v>
    <v>1.0860000000000001</v>
    <v>1.0858000000000001</v>
    <v>CHFEUR</v>
    <v>CHF/EUR</v>
  </rv>
  <rv s="2">
    <v>5</v>
  </rv>
  <rv s="3">
    <v>en-US</v>
    <v>av932w</v>
    <v>268435456</v>
    <v>1</v>
    <v>Powered by Refinitiv</v>
    <v>5</v>
    <v>EUR/USD</v>
    <v>6</v>
    <v>7</v>
    <v>Finance</v>
    <v>8</v>
    <v>1.2078</v>
    <v>1.1369</v>
    <v>-5.0000000000000001E-4</v>
    <v>-4.3189999999999998E-4</v>
    <v>USD</v>
    <v>EUR</v>
    <v>1.1586000000000001</v>
    <v>Currency Pair</v>
    <v>46184.980624999997</v>
    <v>1.1574</v>
    <v>Euro/US Dollar FX Spot Rate</v>
    <v>1.1577</v>
    <v>1.1577</v>
    <v>1.1572</v>
    <v>EURUSD</v>
    <v>EUR/USD</v>
  </rv>
  <rv s="2">
    <v>7</v>
  </rv>
  <rv s="0">
    <v>https://www.bing.com/financeapi/forcetrigger?t=a1qthw&amp;q=XNYS%3aDCO&amp;form=skydnc</v>
    <v>Learn more on Bing</v>
  </rv>
  <rv s="4">
    <v>en-US</v>
    <v>a1qthw</v>
    <v>268435456</v>
    <v>1</v>
    <v>Powered by Refinitiv</v>
    <v>10</v>
    <v>DUCOMMUN INCORPORATED (XNYS:DCO)</v>
    <v>2</v>
    <v>11</v>
    <v>Finance</v>
    <v>12</v>
    <v>165.16499999999999</v>
    <v>73.77</v>
    <v>1.0503</v>
    <v>11.05</v>
    <v>0.02</v>
    <v>7.1776999999999994E-2</v>
    <v>3.3</v>
    <v>USD</v>
    <v>Ducommun Incorporated provides value-added manufacturing solutions to customers in the aerospace, defense and industrial markets. It specializes in two core areas-Electronic Systems and Structural Systems to produce complex products and components for commercial aircraft platforms, mission-critical military and space programs, and sophisticated industrial applications. Electronic Systems designs, engineers and manufactures high-reliability electronic and electromechanical products used in worldwide technology-driven markets, including aerospace and defense and industrial end-use markets. Electronic Systems product offerings primarily range from prototype development to complex assemblies. Structural Systems designs, engineers and manufactures large, complex contoured aerostructure components and assemblies and supplies composite and metal bonded structures and assemblies. Structural Systems products are primarily used on commercial aircraft, military fixed-wing aircraft, and others.</v>
    <v>2130</v>
    <v>New York Stock Exchange</v>
    <v>XNYS</v>
    <v>XNYS</v>
    <v>600 Anton Boulevard, Suite 1100, COSTA MESA, CA, 92626 US</v>
    <v>165.16499999999999</v>
    <v>Aerospace &amp; Defense</v>
    <v>Stock</v>
    <v>46184.962371967187</v>
    <v>9</v>
    <v>155.80000000000001</v>
    <v>2489117400</v>
    <v>DUCOMMUN INCORPORATED</v>
    <v>DUCOMMUN INCORPORATED</v>
    <v>155.80000000000001</v>
    <v>153.94999999999999</v>
    <v>165</v>
    <v>168.3</v>
    <v>15085560</v>
    <v>DCO</v>
    <v>DUCOMMUN INCORPORATED (XNYS:DCO)</v>
    <v>337659</v>
    <v>225901</v>
    <v>1970</v>
  </rv>
  <rv s="2">
    <v>10</v>
  </rv>
  <rv s="0">
    <v>https://www.bing.com/financeapi/forcetrigger?t=aaj2h7&amp;q=XWBO%3aFACC&amp;form=skydnc</v>
    <v>Learn more on Bing</v>
  </rv>
  <rv s="5">
    <v>en-US</v>
    <v>aaj2h7</v>
    <v>268435456</v>
    <v>1</v>
    <v>Powered by Refinitiv</v>
    <v>13</v>
    <v>FACC AG (XWBO:FACC)</v>
    <v>2</v>
    <v>14</v>
    <v>Finance</v>
    <v>15</v>
    <v>0.7198</v>
    <v>-0.06</v>
    <v>-3.8560000000000001E-3</v>
    <v>EUR</v>
    <v>FACC AG is an Austria-based company engaged in the aerospace and defense industry. The Company specializes in the manufacture of aircraft parts and components. It divides its business into three divisions: Aerostructures, Engines &amp; Nacelles, and Interior. The Aerostructures division covers control surfaces, fairings and wing components. The Engines &amp; Nacelles division provides engine and nacelles components. The Interior division offers interior design services for commercial aircraft, business jets/private jets, freighters and helicopters. The Company’s services range from on-site support with field engineering, spares service, and repairs to assembly training of customer staff for components and systems delivered by the Company. The Company’s products are manufactured at four production sites in Austria.</v>
    <v>4017</v>
    <v>Wiener Boerse</v>
    <v>XWBO</v>
    <v>XWBO</v>
    <v>Fischerstrasse 9, OBEROESTERREICH, 4910 AT</v>
    <v>16.04</v>
    <v>Aerospace &amp; Defense</v>
    <v>Stock</v>
    <v>46184</v>
    <v>12</v>
    <v>15.34</v>
    <v>523837600</v>
    <v>FACC AG</v>
    <v>FACC AG</v>
    <v>15.4</v>
    <v>25.833300000000001</v>
    <v>15.56</v>
    <v>15.5</v>
    <v>45790000</v>
    <v>FACC</v>
    <v>FACC AG (XWBO:FACC)</v>
    <v>19827</v>
    <v>60470</v>
  </rv>
  <rv s="2">
    <v>13</v>
  </rv>
  <rv s="0">
    <v>https://www.bing.com/financeapi/forcetrigger?t=ae8op2&amp;q=XPAR%3aFGA&amp;form=skydnc</v>
    <v>Learn more on Bing</v>
  </rv>
  <rv s="1">
    <v>en-US</v>
    <v>ae8op2</v>
    <v>268435456</v>
    <v>1</v>
    <v>Powered by Refinitiv</v>
    <v>0</v>
    <v>Figeac Aero SARL (XPAR:FGA)</v>
    <v>2</v>
    <v>16</v>
    <v>Finance</v>
    <v>4</v>
    <v>13.05</v>
    <v>9.02</v>
    <v>0.71240000000000003</v>
    <v>-0.14000000000000001</v>
    <v>-1.9193999999999999E-2</v>
    <v>-1.3258000000000001E-2</v>
    <v>-0.2</v>
    <v>EUR</v>
    <v>Figeac Aero SARL is a France-based company engaged in the manufacture of parts and components for aerospace industry. It offers a range of products and services such as design, manufacture, and assembly of subassemblies; manufacture of structural parts, ranging from small fittings to large panels; supply of engine parts, such as vertical lathe, blades, and milling of aluminum and hard materials; and manufacture of precision parts, such as landing gear and thrust inverters. The Company's customer base includes Airbus, Embraer, ATR, Boeing, Bombardier, Eurocopter and Gulfstream, among others. It is a member of the Figeac Aero Group, comprising companies engaged in provision of aerospace-related products and services. It operates through Groupe Sonaca and PECISS, industrial technology services company based in Tunisia.</v>
    <v>3582</v>
    <v>Euronext Paris</v>
    <v>XPAR</v>
    <v>XPAR</v>
    <v>ZI de l'Aiguille, FIGEAC, OCCITANIE, 46100 FR</v>
    <v>10.42</v>
    <v>Aerospace &amp; Defense</v>
    <v>Stock</v>
    <v>46184.666666666664</v>
    <v>15</v>
    <v>9.75</v>
    <v>509652500</v>
    <v>Figeac Aero SARL</v>
    <v>Figeac Aero SARL</v>
    <v>10.4</v>
    <v>0</v>
    <v>10.56</v>
    <v>10.42</v>
    <v>10.220000000000001</v>
    <v>44344900</v>
    <v>FGA</v>
    <v>Figeac Aero SARL (XPAR:FGA)</v>
    <v>66643</v>
    <v>29060</v>
    <v>1989</v>
  </rv>
  <rv s="2">
    <v>16</v>
  </rv>
  <rv s="0">
    <v>https://www.bing.com/financeapi/forcetrigger?t=aodscw&amp;q=XLON%3aSNR&amp;form=skydnc</v>
    <v>Learn more on Bing</v>
  </rv>
  <rv s="6">
    <v>en-US</v>
    <v>aodscw</v>
    <v>268435456</v>
    <v>1</v>
    <v>Powered by Refinitiv</v>
    <v>17</v>
    <v>SENIOR PLC (XLON:SNR)</v>
    <v>2</v>
    <v>18</v>
    <v>Finance</v>
    <v>19</v>
    <v>318.15300000000002</v>
    <v>159.80000000000001</v>
    <v>1.7665999999999999</v>
    <v>0</v>
    <v>0</v>
    <v>GBp</v>
    <v>Senior plc is an international engineering and manufacturing group with operations in 10 countries. The Company is a manufacturer of high technology components and systems. It designs and manufactures high technology components and systems for the principal original equipment manufacturers in the world aerospace and defense, land vehicle, and power and energy markets. Its divisions include Aerospace and Flexonics. Aerospace division’s portfolio spans a range of fluid conveyance and thermal management components and sub-systems, as well as complex structural parts and assemblies, for fixed-wing and rotary aircraft, aero-engines, spacecraft, and a variety of other industrial applications. Flexonics division’s portfolio spans a range of fluid conveyance and thermal management components and sub-systems, as well as complex precision-machined parts, for conventional and advanced land vehicle propulsion systems, petrochemical, renewable energy, and a variety of other industrial applications.</v>
    <v>4974</v>
    <v>London Stock Exchange</v>
    <v>XLON</v>
    <v>XLON</v>
    <v>59 / 61 HIGH STREET, RICKMANSWORTH, HERTFORDSHIRE, WD3 1RH GB</v>
    <v>287.5</v>
    <v>Aerospace &amp; Defense</v>
    <v>Stock</v>
    <v>46184.649469918753</v>
    <v>18</v>
    <v>287</v>
    <v>962564500</v>
    <v>SENIOR PLC</v>
    <v>SENIOR PLC</v>
    <v>287</v>
    <v>43.4848</v>
    <v>287</v>
    <v>287</v>
    <v>419418100</v>
    <v>SNR</v>
    <v>SENIOR PLC (XLON:SNR)</v>
    <v>657650</v>
    <v>4591680</v>
    <v>1933</v>
  </rv>
  <rv s="2">
    <v>19</v>
  </rv>
  <rv s="0">
    <v>https://www.bing.com/financeapi/forcetrigger?t=a1v14c&amp;q=XNYS%3aHXL&amp;form=skydnc</v>
    <v>Learn more on Bing</v>
  </rv>
  <rv s="1">
    <v>en-US</v>
    <v>a1v14c</v>
    <v>268435456</v>
    <v>1</v>
    <v>Powered by Refinitiv</v>
    <v>0</v>
    <v>HEXCEL CORPORATION (XNYS:HXL)</v>
    <v>2</v>
    <v>20</v>
    <v>Finance</v>
    <v>12</v>
    <v>98.26</v>
    <v>53.87</v>
    <v>1.0438000000000001</v>
    <v>5.79</v>
    <v>-3.6980000000000003E-3</v>
    <v>6.3230000000000008E-2</v>
    <v>-0.36</v>
    <v>USD</v>
    <v>Hexcel Corporation is engaged in providing advanced lightweight composites technology. The Company’s product range includes carbon fiber, specialty reinforcements, prepregs and other fiber-reinforced matrix materials, honeycomb, resins, engineered core and composite structures for use in commercial aerospace, space and defense, and industrial applications. The Company operates through two segments: Composite Materials and Engineered Products. The Composite Materials segment comprises its carbon fiber, specialty reinforcements, resin systems, prepregs and other fiber-reinforced matrix materials, and honeycomb core product lines and pultruded profiles. The Engineered Products segment comprises lightweight high strength composite structures, radio frequency/electromagnetic interference (RF/EMI) and microwave absorbing materials, engineered core and specialty machined honeycomb products with added functionality and thermoplastic additive manufacturing.</v>
    <v>5563</v>
    <v>New York Stock Exchange</v>
    <v>XNYS</v>
    <v>XNYS</v>
    <v>281 Tresser Blvd Fl 16, STAMFORD, CT, 06901-3238 US</v>
    <v>97.73</v>
    <v>Aerospace &amp; Defense</v>
    <v>Stock</v>
    <v>46184.963769258597</v>
    <v>21</v>
    <v>92.54</v>
    <v>7343590244</v>
    <v>HEXCEL CORPORATION</v>
    <v>HEXCEL CORPORATION</v>
    <v>92.54</v>
    <v>64.506699999999995</v>
    <v>91.57</v>
    <v>97.36</v>
    <v>97</v>
    <v>75427180</v>
    <v>HXL</v>
    <v>HEXCEL CORPORATION (XNYS:HXL)</v>
    <v>840852</v>
    <v>875869</v>
    <v>1983</v>
  </rv>
  <rv s="2">
    <v>22</v>
  </rv>
  <rv s="0">
    <v>https://www.bing.com/financeapi/forcetrigger?t=aobrkr&amp;q=XLON%3aMRO&amp;form=skydnc</v>
    <v>Learn more on Bing</v>
  </rv>
  <rv s="6">
    <v>en-US</v>
    <v>aobrkr</v>
    <v>268435456</v>
    <v>1</v>
    <v>Powered by Refinitiv</v>
    <v>17</v>
    <v>MELROSE INDUSTRIES PLC (XLON:MRO)</v>
    <v>2</v>
    <v>18</v>
    <v>Finance</v>
    <v>19</v>
    <v>685</v>
    <v>443.35899999999998</v>
    <v>1.1845000000000001</v>
    <v>-0.6</v>
    <v>-1.3370000000000001E-3</v>
    <v>GBp</v>
    <v>Melrose Industries PLC is a United Kingdom-based pure-play aerospace company. The Company provides advanced aerospace components and systems to all major original equipment manufacturer (OEMs), across both civil and defense markets. The Company operates through two divisions: Engines and Structures. Engines segment is a global tier one supplier to the aerospace engines market, including structural engineered components; parts repair; commercial and aftermarket contracts. Structures segment is a multi-technology global tier one supplier of both civil and defense air frames, including lightweight composite and metallic structures: electrical distribution systems and components. Its business includes GKN Aerospace, is a tier one supplier of airframe and engine structures, landing gear, electrical interconnection systems, transparencies, and aftermarket services.</v>
    <v>13844</v>
    <v>London Stock Exchange</v>
    <v>XLON</v>
    <v>XLON</v>
    <v>1st Floor, Stratton House, 5 Stratton Street, LONDON, ENGLAND, W1J 8LA GB</v>
    <v>454.7</v>
    <v>Aerospace &amp; Defense</v>
    <v>Stock</v>
    <v>46184.577982175782</v>
    <v>24</v>
    <v>446</v>
    <v>8118258000</v>
    <v>MELROSE INDUSTRIES PLC</v>
    <v>MELROSE INDUSTRIES PLC</v>
    <v>448.2</v>
    <v>15.5755</v>
    <v>448.8</v>
    <v>448.2</v>
    <v>1246332000</v>
    <v>MRO</v>
    <v>MELROSE INDUSTRIES PLC (XLON:MRO)</v>
    <v>5230824</v>
    <v>9049970</v>
    <v>2015</v>
  </rv>
  <rv s="2">
    <v>25</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5">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1">
    <spb s="0">
      <v>0</v>
      <v>Name</v>
      <v>LearnMoreOnLink</v>
    </spb>
    <spb s="1">
      <v>0</v>
      <v>0</v>
      <v>0</v>
    </spb>
    <spb s="2">
      <v>1</v>
      <v>1</v>
      <v>1</v>
      <v>1</v>
    </spb>
    <spb s="3">
      <v>1</v>
      <v>2</v>
      <v>2</v>
      <v>1</v>
      <v>3</v>
      <v>1</v>
      <v>1</v>
      <v>1</v>
      <v>4</v>
      <v>4</v>
      <v>5</v>
      <v>6</v>
      <v>1</v>
      <v>1</v>
      <v>1</v>
      <v>4</v>
      <v>7</v>
      <v>8</v>
      <v>9</v>
      <v>4</v>
      <v>1</v>
      <v>1</v>
      <v>5</v>
    </spb>
    <spb s="4">
      <v>at close</v>
      <v>from previous close</v>
      <v>from previous close</v>
      <v>GMT</v>
      <v>Delayed 15 minutes</v>
      <v>from close</v>
      <v>from close</v>
    </spb>
    <spb s="5">
      <v>1</v>
      <v>Name</v>
    </spb>
    <spb s="6">
      <v>1</v>
      <v>1</v>
    </spb>
    <spb s="7">
      <v>10</v>
      <v>10</v>
      <v>3</v>
      <v>10</v>
      <v>10</v>
      <v>10</v>
      <v>5</v>
      <v>10</v>
      <v>10</v>
      <v>10</v>
      <v>7</v>
      <v>9</v>
    </spb>
    <spb s="8">
      <v>GMT</v>
    </spb>
    <spb s="7">
      <v>11</v>
      <v>11</v>
      <v>3</v>
      <v>11</v>
      <v>11</v>
      <v>11</v>
      <v>5</v>
      <v>11</v>
      <v>11</v>
      <v>11</v>
      <v>7</v>
      <v>9</v>
    </spb>
    <spb s="0">
      <v>2</v>
      <v>Name</v>
      <v>LearnMoreOnLink</v>
    </spb>
    <spb s="9">
      <v>10</v>
      <v>2</v>
      <v>10</v>
      <v>3</v>
      <v>10</v>
      <v>10</v>
      <v>10</v>
      <v>4</v>
      <v>4</v>
      <v>5</v>
      <v>12</v>
      <v>10</v>
      <v>10</v>
      <v>10</v>
      <v>4</v>
      <v>7</v>
      <v>8</v>
      <v>9</v>
      <v>4</v>
      <v>10</v>
      <v>10</v>
      <v>5</v>
    </spb>
    <spb s="10">
      <v>at close</v>
      <v>from previous close</v>
      <v>from previous close</v>
      <v>Source: Nasdaq</v>
      <v>GMT</v>
      <v>Delayed 15 minutes</v>
      <v>from close</v>
      <v>from close</v>
    </spb>
    <spb s="0">
      <v>3</v>
      <v>Name</v>
      <v>LearnMoreOnLink</v>
    </spb>
    <spb s="11">
      <v>11</v>
      <v>2</v>
      <v>2</v>
      <v>11</v>
      <v>3</v>
      <v>11</v>
      <v>11</v>
      <v>11</v>
      <v>4</v>
      <v>4</v>
      <v>5</v>
      <v>13</v>
      <v>11</v>
      <v>4</v>
      <v>14</v>
      <v>9</v>
      <v>4</v>
    </spb>
    <spb s="12">
      <v>Delayed 15 minutes</v>
      <v>from previous close</v>
      <v>from previous close</v>
      <v>GMT</v>
    </spb>
    <spb s="3">
      <v>11</v>
      <v>2</v>
      <v>2</v>
      <v>11</v>
      <v>3</v>
      <v>11</v>
      <v>11</v>
      <v>11</v>
      <v>4</v>
      <v>4</v>
      <v>5</v>
      <v>13</v>
      <v>11</v>
      <v>11</v>
      <v>11</v>
      <v>4</v>
      <v>7</v>
      <v>8</v>
      <v>9</v>
      <v>4</v>
      <v>11</v>
      <v>11</v>
      <v>5</v>
    </spb>
    <spb s="0">
      <v>4</v>
      <v>Name</v>
      <v>LearnMoreOnLink</v>
    </spb>
    <spb s="13">
      <v>15</v>
      <v>2</v>
      <v>2</v>
      <v>15</v>
      <v>3</v>
      <v>15</v>
      <v>15</v>
      <v>15</v>
      <v>4</v>
      <v>4</v>
      <v>5</v>
      <v>16</v>
      <v>15</v>
      <v>15</v>
      <v>15</v>
      <v>4</v>
      <v>7</v>
      <v>8</v>
      <v>9</v>
      <v>4</v>
    </spb>
    <spb s="14">
      <v>Delayed 15 minutes</v>
      <v>from previous close</v>
      <v>from previous close</v>
      <v>LSE</v>
      <v>GMT</v>
    </spb>
    <spb s="3">
      <v>10</v>
      <v>2</v>
      <v>2</v>
      <v>10</v>
      <v>3</v>
      <v>10</v>
      <v>10</v>
      <v>10</v>
      <v>4</v>
      <v>4</v>
      <v>5</v>
      <v>12</v>
      <v>10</v>
      <v>10</v>
      <v>10</v>
      <v>4</v>
      <v>7</v>
      <v>8</v>
      <v>9</v>
      <v>4</v>
      <v>10</v>
      <v>10</v>
      <v>5</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Previous close" t="i"/>
    <k n="Volume average" t="i"/>
    <k n="Last trade time"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x:dxf>
      <x:numFmt numFmtId="35" formatCode="_(* #,##0.00_);_(* \(#,##0.00\);_(* &quot;-&quot;??_);_(@_)"/>
    </x:dxf>
  </dxfs>
  <richProperties>
    <rPr n="NumberFormat" t="s"/>
    <rPr n="IsTitleField" t="b"/>
  </richProperties>
  <richStyles>
    <rSty dxfid="1">
      <rpv i="0">_-* #,##0.00 [$CHF-fr-CH]_-;-* #,##0.00 [$CHF-fr-CH]_-;_-* "-"?? [$CHF-fr-CH]_-;_-@_-</rpv>
    </rSty>
    <rSty dxfid="5">
      <rpv i="0">#,##0.00</rpv>
    </rSty>
    <rSty>
      <rpv i="1">1</rpv>
    </rSty>
    <rSty dxfid="4">
      <rpv i="0">#,##0</rpv>
    </rSty>
    <rSty dxfid="3"/>
    <rSty dxfid="1">
      <rpv i="0">_-* #,##0 [$CHF-fr-CH]_-;-* #,##0 [$CHF-fr-CH]_-;_-* "-" [$CHF-fr-CH]_-;_-@_-</rpv>
    </rSty>
    <rSty dxfid="2"/>
    <rSty dxfid="6">
      <rpv i="0">0</rpv>
    </rSty>
    <rSty dxfid="0">
      <rpv i="0">0.00</rpv>
    </rSty>
    <rSty dxfid="1">
      <rpv i="0">_([$$-en-US]* #,##0.00_);_([$$-en-US]* (#,##0.00);_([$$-en-US]* "-"??_);_(@_)</rpv>
    </rSty>
    <rSty dxfid="1">
      <rpv i="0">_([$€-x-euro2] * #,##0.00_);_([$€-x-euro2] * (#,##0.00);_([$€-x-euro2] * "-"??_);_(@_)</rpv>
    </rSty>
    <rSty dxfid="1">
      <rpv i="0">_([$$-en-US]* #,##0_);_([$$-en-US]* (#,##0);_([$$-en-US]* "-"_);_(@_)</rpv>
    </rSty>
    <rSty dxfid="1">
      <rpv i="0">_([$€-x-euro2] * #,##0_);_([$€-x-euro2] * (#,##0);_([$€-x-euro2] * "-"_);_(@_)</rpv>
    </rSty>
    <rSty dxfid="7"/>
    <rSty dxfid="8">
      <rpv i="0">_(* #,##0.00_);_(* (#,##0.00);_(* "-"??_);_(@_)</rpv>
    </rSty>
    <rSty dxfid="1">
      <rpv i="0">_-[$£-en-GB]* #,##0_-;-[$£-en-GB]* #,##0_-;_-[$£-en-GB]*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0" dT="2026-04-16T03:19:45.81" personId="{BC1B0602-7584-4B42-B3E6-5D52F373ED6D}" id="{CBF33A36-2B33-47AC-8EF0-85A9537EEBC9}">
    <text xml:space="preserve">See pg.156 of 224 of FY 2025 financials. </text>
  </threadedComment>
  <threadedComment ref="C45" dT="2026-03-17T01:42:12.91" personId="{BC1B0602-7584-4B42-B3E6-5D52F373ED6D}" id="{06384A41-FF19-47F0-BBE2-050FFEA8EB09}">
    <text xml:space="preserve"> the company now holds contracted sales of over EUR 7 billion. At the same time, its engagement in the space and defence sectors continues to grow steadily, underlining its ambition to set global standards as a fully integrated technology partner for OEMs and Tier 1s. </text>
  </threadedComment>
</ThreadedComments>
</file>

<file path=xl/threadedComments/threadedComment2.xml><?xml version="1.0" encoding="utf-8"?>
<ThreadedComments xmlns="http://schemas.microsoft.com/office/spreadsheetml/2018/threadedcomments" xmlns:x="http://schemas.openxmlformats.org/spreadsheetml/2006/main">
  <threadedComment ref="K2" dT="2025-09-10T18:08:22.22" personId="{BC1B0602-7584-4B42-B3E6-5D52F373ED6D}" id="{822FB549-6D27-41DC-B265-7A849D7C1926}">
    <text>Restated</text>
  </threadedComment>
  <threadedComment ref="AL10" dT="2026-03-20T14:32:35.69" personId="{BC1B0602-7584-4B42-B3E6-5D52F373ED6D}" id="{54A65A63-393E-4E2D-AB1E-AC4F33521733}">
    <text>Management guided in March 2026</text>
  </threadedComment>
  <threadedComment ref="V13" dT="2026-03-20T06:18:09.92" personId="{BC1B0602-7584-4B42-B3E6-5D52F373ED6D}" id="{CB975CA5-D8AB-4BFB-9251-5FF6B24EE8C7}">
    <text xml:space="preserve">Vs FY 2024
</text>
  </threadedComment>
  <threadedComment ref="AC13" dT="2026-04-30T05:16:33.34" personId="{BC1B0602-7584-4B42-B3E6-5D52F373ED6D}" id="{259AC053-C61E-4F38-8AB0-A9DB6EE2049B}">
    <text xml:space="preserve">In FY23, the Aerostructures segment achieved net sales of €704.5 million(+10.7% vs. FY22)-Spurred by sales wins (e.g., Airbus Atlantic, Boeing, GKN Fokker)-Penetrating commercial space market with new contract </text>
  </threadedComment>
  <threadedComment ref="AF34" dT="2026-04-25T22:35:47.11" personId="{BC1B0602-7584-4B42-B3E6-5D52F373ED6D}" id="{2615B2FD-132E-4A70-9A96-E3B735A8C0D8}">
    <text>Last year’s figures were only for the last 4 months of 2024</text>
  </threadedComment>
  <threadedComment ref="V49" dT="2026-03-20T06:18:09.92" personId="{BC1B0602-7584-4B42-B3E6-5D52F373ED6D}" id="{3B0B4AB7-0DDF-409C-AC1F-B7F20B9F317B}">
    <text xml:space="preserve">Vs FY 2024
</text>
  </threadedComment>
  <threadedComment ref="V60" dT="2026-03-20T06:18:09.92" personId="{BC1B0602-7584-4B42-B3E6-5D52F373ED6D}" id="{D406E6B6-C189-4871-B9E6-9ADC85897914}">
    <text xml:space="preserve">Vs FY 2024
</text>
  </threadedComment>
  <threadedComment ref="AD68" dT="2026-04-04T12:18:12.76" personId="{BC1B0602-7584-4B42-B3E6-5D52F373ED6D}" id="{9B4CC1BB-71E6-4F33-8DDA-DB0F92FDEE2E}">
    <text xml:space="preserve">Represents Alpine metal Tech segment. Then labeled under “All other segments” prior to 2025. </text>
  </threadedComment>
  <threadedComment ref="K85" dT="2025-09-11T03:32:18.66" personId="{BC1B0602-7584-4B42-B3E6-5D52F373ED6D}" id="{99D0B89C-8901-4FE6-9E9D-B67AAB6671D7}">
    <text>Old figures, pre-restatement</text>
  </threadedComment>
  <threadedComment ref="L85" dT="2025-09-11T03:32:18.66" personId="{BC1B0602-7584-4B42-B3E6-5D52F373ED6D}" id="{8C3371CA-2F1A-4C7A-BF41-796A6DDB5D50}">
    <text>Old figures, pre-restatement</text>
  </threadedComment>
  <threadedComment ref="V87" dT="2026-03-20T06:18:09.92" personId="{BC1B0602-7584-4B42-B3E6-5D52F373ED6D}" id="{3ABDD7F8-B000-4CB1-8CB2-BB5F34A4B7E1}">
    <text xml:space="preserve">Vs FY 2024
</text>
  </threadedComment>
  <threadedComment ref="V105" dT="2026-03-20T06:18:09.92" personId="{BC1B0602-7584-4B42-B3E6-5D52F373ED6D}" id="{C77864BA-CDBE-4195-B69D-11681FB11290}">
    <text xml:space="preserve">Vs FY 2024
</text>
  </threadedComment>
  <threadedComment ref="L133" dT="2025-09-05T19:23:42.34" personId="{BC1B0602-7584-4B42-B3E6-5D52F373ED6D}" id="{3F0DA0D9-DBD9-42D7-8149-A5F3E988E458}">
    <text>Oh my gosh. Why such a high charge from discontinued?</text>
  </threadedComment>
  <threadedComment ref="P133" dT="2025-09-05T19:23:42.34" personId="{BC1B0602-7584-4B42-B3E6-5D52F373ED6D}" id="{8D47683C-8E98-424E-82EE-65B90DC729B9}">
    <text>Oh my gosh. Why such a high charge from discontinued?</text>
  </threadedComment>
  <threadedComment ref="P138" dT="2025-09-05T19:25:31.34" personId="{BC1B0602-7584-4B42-B3E6-5D52F373ED6D}" id="{4E474365-C684-4704-B8B5-7906360034F0}">
    <text>Overridden</text>
  </threadedComment>
  <threadedComment ref="V139" dT="2026-03-20T06:18:09.92" personId="{BC1B0602-7584-4B42-B3E6-5D52F373ED6D}" id="{B0BED374-032F-43D7-8BBA-904D2C54AAC9}">
    <text xml:space="preserve">Vs FY 2024
</text>
  </threadedComment>
  <threadedComment ref="I185" dT="2025-09-10T19:00:02.50" personId="{BC1B0602-7584-4B42-B3E6-5D52F373ED6D}" id="{F744BFDB-2D00-442C-9869-18CAAF3DC2B9}">
    <text>Incl. Trade payables; liabilities from affiliates; and other</text>
  </threadedComment>
  <threadedComment ref="B215" dT="2026-05-18T18:15:42.44" personId="{BC1B0602-7584-4B42-B3E6-5D52F373ED6D}" id="{D885628A-A43A-42F6-B789-CDE0868D644A}">
    <text>Inventory + AR - AP/Revenue</text>
  </threadedComment>
  <threadedComment ref="AB227" dT="2025-09-11T15:02:25.67" personId="{BC1B0602-7584-4B42-B3E6-5D52F373ED6D}" id="{C030D4BD-54B5-4995-B184-24B822DE184B}">
    <text>Also incl.: Gains from disposals of subsidiaries and “Bargain Purchase.” see p.100 of 156 in 2022 annual.</text>
  </threadedComment>
  <threadedComment ref="P228" dT="2025-09-09T19:22:27.61" personId="{BC1B0602-7584-4B42-B3E6-5D52F373ED6D}" id="{F5E945FC-37BC-4642-BA54-246CFE8B033A}">
    <text>This is an error on the part of the company. They report Eur. 97,882</text>
  </threadedComment>
  <threadedComment ref="AB245" dT="2025-09-11T15:10:37.19" personId="{BC1B0602-7584-4B42-B3E6-5D52F373ED6D}" id="{3B2D5633-D5C8-4A42-B738-E885FE845875}">
    <text>“payments made for capital contribution to associates”</text>
  </threadedComment>
  <threadedComment ref="B309" dT="2026-04-25T22:16:48.32" personId="{BC1B0602-7584-4B42-B3E6-5D52F373ED6D}" id="{1C9E3A5A-8AF3-42F6-B57B-8FB072A14AE5}">
    <text>Watch out for currency effects!!!</text>
  </threadedComment>
  <threadedComment ref="B353" dT="2026-05-04T16:17:21.85" personId="{BC1B0602-7584-4B42-B3E6-5D52F373ED6D}" id="{55541752-1FDD-403F-9A54-C76BF9B22BFF}">
    <text>Use IS D&amp;A since this line item is associated with operating assets</text>
  </threadedComment>
</ThreadedComments>
</file>

<file path=xl/threadedComments/threadedComment3.xml><?xml version="1.0" encoding="utf-8"?>
<ThreadedComments xmlns="http://schemas.microsoft.com/office/spreadsheetml/2018/threadedcomments" xmlns:x="http://schemas.openxmlformats.org/spreadsheetml/2006/main">
  <threadedComment ref="B3" dT="2026-05-04T17:26:56.25" personId="{BC1B0602-7584-4B42-B3E6-5D52F373ED6D}" id="{1BED109D-C283-4D8F-AC6A-C3A45C65A08B}">
    <text>WACC taken directly from company disclosures. See FY2025 note 7 regarding intangible asset calculations. WACC assumptions are on p. 148 of244</text>
  </threadedComment>
  <threadedComment ref="B4" dT="2026-05-04T17:27:39.06" personId="{BC1B0602-7584-4B42-B3E6-5D52F373ED6D}" id="{BE64C33B-8FF4-4AD7-9C64-12EF7310F475}">
    <text>Using 2.44% base (see Note 7) + 1% for aerospace industry recovery</text>
  </threadedComment>
</ThreadedComments>
</file>

<file path=xl/threadedComments/threadedComment4.xml><?xml version="1.0" encoding="utf-8"?>
<ThreadedComments xmlns="http://schemas.microsoft.com/office/spreadsheetml/2018/threadedcomments" xmlns:x="http://schemas.openxmlformats.org/spreadsheetml/2006/main">
  <threadedComment ref="B3" dT="2026-05-04T17:26:56.25" personId="{BC1B0602-7584-4B42-B3E6-5D52F373ED6D}" id="{5168A047-E47A-4140-B80C-1AFF91A82A10}">
    <text>WACC taken directly from company disclosures. See FY2025 note 7 regarding intangible asset calculations. WACC assumptions are on p. 148 of244</text>
  </threadedComment>
  <threadedComment ref="B4" dT="2026-05-04T17:27:39.06" personId="{BC1B0602-7584-4B42-B3E6-5D52F373ED6D}" id="{B45E6C42-A881-427B-93F6-084CFFB67271}">
    <text>Using 2.44% base (see Note 7) + 1% for aerospace industry recovery</text>
  </threadedComment>
</ThreadedComments>
</file>

<file path=xl/threadedComments/threadedComment5.xml><?xml version="1.0" encoding="utf-8"?>
<ThreadedComments xmlns="http://schemas.microsoft.com/office/spreadsheetml/2018/threadedcomments" xmlns:x="http://schemas.openxmlformats.org/spreadsheetml/2006/main">
  <threadedComment ref="B3" dT="2026-05-04T17:26:56.25" personId="{BC1B0602-7584-4B42-B3E6-5D52F373ED6D}" id="{7D61B886-4DB4-401F-A187-E8A2ADD3BB58}">
    <text>WACC taken directly from company disclosures. See FY2025 note 7 regarding intangible asset calculations. WACC assumptions are on p. 148 of244</text>
  </threadedComment>
  <threadedComment ref="B4" dT="2026-05-04T17:27:39.06" personId="{BC1B0602-7584-4B42-B3E6-5D52F373ED6D}" id="{01932906-4F72-4E7F-9614-D6408F81088D}">
    <text>Using 2.44% base (see Note 7) + 1% for aerospace industry recovery</text>
  </threadedComment>
</ThreadedComments>
</file>

<file path=xl/threadedComments/threadedComment6.xml><?xml version="1.0" encoding="utf-8"?>
<ThreadedComments xmlns="http://schemas.microsoft.com/office/spreadsheetml/2018/threadedcomments" xmlns:x="http://schemas.openxmlformats.org/spreadsheetml/2006/main">
  <threadedComment ref="B3" dT="2026-05-04T17:26:56.25" personId="{BC1B0602-7584-4B42-B3E6-5D52F373ED6D}" id="{A81F9E25-2B58-4D26-93E8-A1AD58E68F4C}">
    <text>WACC taken directly from company disclosures. See FY2025 note 7 regarding intangible asset calculations. WACC assumptions are on p. 148 of244</text>
  </threadedComment>
  <threadedComment ref="B4" dT="2026-05-04T17:27:39.06" personId="{BC1B0602-7584-4B42-B3E6-5D52F373ED6D}" id="{A67C45D5-8971-4654-BBD3-CD985FC8F0E7}">
    <text>Using 2.44% base (see Note 7) + 1% for aerospace industry recovery</text>
  </threadedComment>
</ThreadedComments>
</file>

<file path=xl/threadedComments/threadedComment7.xml><?xml version="1.0" encoding="utf-8"?>
<ThreadedComments xmlns="http://schemas.microsoft.com/office/spreadsheetml/2018/threadedcomments" xmlns:x="http://schemas.openxmlformats.org/spreadsheetml/2006/main">
  <threadedComment ref="B3" dT="2026-05-04T17:26:56.25" personId="{BC1B0602-7584-4B42-B3E6-5D52F373ED6D}" id="{CA7CC8CA-9103-490C-AB4B-BA998BFEF910}">
    <text>WACC taken directly from company disclosures. See FY2025 note 7 regarding intangible asset calculations. WACC assumptions are on p. 148 of244</text>
  </threadedComment>
  <threadedComment ref="B4" dT="2026-05-04T17:27:39.06" personId="{BC1B0602-7584-4B42-B3E6-5D52F373ED6D}" id="{3844C9CA-5FF9-40C9-B3EC-2CB49EFAB34E}">
    <text>Using 2.44% base (see Note 7) + 1% for aerospace industry recovery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alpinemetaltech.com/en/"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astagroup.com/" TargetMode="External"/><Relationship Id="rId2" Type="http://schemas.openxmlformats.org/officeDocument/2006/relationships/hyperlink" Target="https://www.alpinemetaltech.com/securedl/sdl-eyJ0eXAiOiJKV1QiLCJhbGciOiJIUzI1NiJ9.eyJpYXQiOjE3NTc0MzA4NDUsImV4cCI6MTc1NzUyMDg0NCwidXNlciI6MCwiZ3JvdXBzIjpbMCwtMV0sImZpbGUiOiJmaWxlYWRtaW5cL3VzZXJfdXBsb2FkXC9Eb2t1bWVudGVcL0FMUElORV9NRVRBTF9URUNIX1Byb2R1Y3RfUG9ydGZvbGlvX0VOLnBkZiIsInBhZ2UiOjEyOH0.LE252XUc0A2I7DAv6zK7-kWlul-orA3XUKdg_6xHWSw/ALPINE_METAL_TECH_Product_Portfolio_EN.pdf" TargetMode="External"/><Relationship Id="rId1" Type="http://schemas.openxmlformats.org/officeDocument/2006/relationships/hyperlink" Target="https://www.asco.be/"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figeac-aero.com/sites/default/files/figeac_aero_ra_2018_19_vdefc_vuk_0.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0D25-9069-4A55-AE8F-EBBBFB173F85}">
  <dimension ref="B1:F94"/>
  <sheetViews>
    <sheetView zoomScale="190" zoomScaleNormal="190" workbookViewId="0">
      <selection activeCell="C6" sqref="C6"/>
    </sheetView>
  </sheetViews>
  <sheetFormatPr defaultRowHeight="15" x14ac:dyDescent="0.25"/>
  <cols>
    <col min="1" max="1" width="3.140625" style="25" customWidth="1"/>
    <col min="2" max="2" width="12.140625" style="2" customWidth="1"/>
    <col min="3" max="3" width="17.28515625" style="2" bestFit="1" customWidth="1"/>
    <col min="4" max="5" width="11.42578125" style="2" customWidth="1"/>
    <col min="6" max="6" width="104.7109375" style="25" bestFit="1" customWidth="1"/>
    <col min="7" max="16384" width="9.140625" style="25"/>
  </cols>
  <sheetData>
    <row r="1" spans="2:6" x14ac:dyDescent="0.25">
      <c r="B1" s="124" t="s">
        <v>308</v>
      </c>
      <c r="D1" s="125">
        <f ca="1">C3*62526.632</f>
        <v>1328690.93</v>
      </c>
      <c r="F1" s="31" t="s">
        <v>123</v>
      </c>
    </row>
    <row r="2" spans="2:6" x14ac:dyDescent="0.25">
      <c r="B2" s="2" t="e" vm="1">
        <v>#VALUE!</v>
      </c>
      <c r="D2" s="2" t="e" vm="2">
        <v>#VALUE!</v>
      </c>
      <c r="E2" s="114" t="e" vm="3">
        <v>#VALUE!</v>
      </c>
      <c r="F2" s="25" t="s">
        <v>99</v>
      </c>
    </row>
    <row r="3" spans="2:6" x14ac:dyDescent="0.25">
      <c r="B3" s="13" t="s">
        <v>93</v>
      </c>
      <c r="C3" s="166" cm="1">
        <f t="array" aca="1" ref="C3" ca="1">_FV(B2,"Price")</f>
        <v>21.25</v>
      </c>
      <c r="D3" s="126" cm="1">
        <f t="array" aca="1" ref="D3" ca="1">_FV(D2,"Price")</f>
        <v>1.2575000000000001</v>
      </c>
      <c r="E3" s="127" cm="1">
        <f t="array" aca="1" ref="E3" ca="1">_FV(E2,"Price")</f>
        <v>1.0858000000000001</v>
      </c>
      <c r="F3" s="26" t="s">
        <v>94</v>
      </c>
    </row>
    <row r="4" spans="2:6" x14ac:dyDescent="0.25">
      <c r="B4" s="2" t="s">
        <v>323</v>
      </c>
      <c r="C4" s="125">
        <f ca="1">C3*C5</f>
        <v>1328690.93</v>
      </c>
      <c r="F4" s="26" t="s">
        <v>95</v>
      </c>
    </row>
    <row r="5" spans="2:6" x14ac:dyDescent="0.25">
      <c r="B5" s="2" t="s">
        <v>102</v>
      </c>
      <c r="C5" s="128">
        <f>Model!AF137</f>
        <v>62526.631999999998</v>
      </c>
      <c r="D5" s="129">
        <f ca="1">C6*D3</f>
        <v>1814185.9593309551</v>
      </c>
      <c r="E5" s="2" t="e" vm="4">
        <v>#VALUE!</v>
      </c>
      <c r="F5" s="26" t="s">
        <v>96</v>
      </c>
    </row>
    <row r="6" spans="2:6" x14ac:dyDescent="0.25">
      <c r="B6" s="2" t="s">
        <v>324</v>
      </c>
      <c r="C6" s="130">
        <f ca="1">C4*E3</f>
        <v>1442692.611794</v>
      </c>
      <c r="E6" s="126" cm="1">
        <f t="array" aca="1" ref="E6" ca="1">_FV(E5,"Price")</f>
        <v>1.1572</v>
      </c>
      <c r="F6" s="26" t="s">
        <v>97</v>
      </c>
    </row>
    <row r="7" spans="2:6" x14ac:dyDescent="0.25">
      <c r="B7" s="11" t="s">
        <v>338</v>
      </c>
      <c r="C7" s="19">
        <f>-Model!AF169</f>
        <v>-112759</v>
      </c>
      <c r="F7" s="26" t="s">
        <v>98</v>
      </c>
    </row>
    <row r="8" spans="2:6" x14ac:dyDescent="0.25">
      <c r="B8" s="11" t="s">
        <v>339</v>
      </c>
      <c r="C8" s="19">
        <f>Model!AF179+Model!AF187+Model!AF180+Model!AF188</f>
        <v>240879</v>
      </c>
    </row>
    <row r="9" spans="2:6" x14ac:dyDescent="0.25">
      <c r="B9" s="2" t="s">
        <v>325</v>
      </c>
      <c r="C9" s="5">
        <f>Model!AF177</f>
        <v>15598</v>
      </c>
      <c r="D9" s="5"/>
    </row>
    <row r="10" spans="2:6" x14ac:dyDescent="0.25">
      <c r="B10" s="2" t="s">
        <v>336</v>
      </c>
      <c r="C10" s="1">
        <f>+Model!AF201+Model!AF202</f>
        <v>8625</v>
      </c>
      <c r="D10" s="129">
        <f ca="1">C12*E6</f>
        <v>1845775.2099680169</v>
      </c>
      <c r="E10" s="24">
        <f ca="1">2300000/C12-1</f>
        <v>0.44197407443028713</v>
      </c>
    </row>
    <row r="11" spans="2:6" ht="15.75" thickBot="1" x14ac:dyDescent="0.3">
      <c r="B11" s="2" t="s">
        <v>313</v>
      </c>
      <c r="C11" s="5">
        <f>SUM(C7:C10)</f>
        <v>152343</v>
      </c>
      <c r="D11" s="125">
        <f ca="1">C3*C5</f>
        <v>1328690.93</v>
      </c>
    </row>
    <row r="12" spans="2:6" ht="15.75" thickBot="1" x14ac:dyDescent="0.3">
      <c r="B12" s="131" t="s">
        <v>337</v>
      </c>
      <c r="C12" s="228">
        <f ca="1">C6+C11</f>
        <v>1595035.611794</v>
      </c>
      <c r="D12" s="5"/>
      <c r="F12" s="25" t="s">
        <v>116</v>
      </c>
    </row>
    <row r="13" spans="2:6" x14ac:dyDescent="0.25">
      <c r="B13" s="2" t="s">
        <v>388</v>
      </c>
      <c r="C13" s="137">
        <f>+Model!AF104</f>
        <v>161339</v>
      </c>
    </row>
    <row r="14" spans="2:6" x14ac:dyDescent="0.25">
      <c r="B14" s="114" t="s">
        <v>389</v>
      </c>
      <c r="C14" s="115">
        <f ca="1">C12/C13</f>
        <v>9.8862371267579441</v>
      </c>
      <c r="D14" s="2">
        <v>11.6</v>
      </c>
      <c r="E14" s="137">
        <f>C13*D14</f>
        <v>1871532.4</v>
      </c>
      <c r="F14" s="25" t="s">
        <v>115</v>
      </c>
    </row>
    <row r="15" spans="2:6" x14ac:dyDescent="0.25">
      <c r="B15" s="2" t="s">
        <v>104</v>
      </c>
      <c r="C15" s="77" cm="1">
        <f t="array" aca="1" ref="C15" ca="1">_FV(B2,"P/E",TRUE)</f>
        <v>708.33330000000001</v>
      </c>
      <c r="E15" s="133">
        <f>+E14-C11</f>
        <v>1719189.4</v>
      </c>
    </row>
    <row r="16" spans="2:6" x14ac:dyDescent="0.25">
      <c r="B16" s="2" t="s">
        <v>306</v>
      </c>
      <c r="C16" s="77">
        <f ca="1">C3/Model!V138</f>
        <v>25.893056462364964</v>
      </c>
      <c r="D16" s="30"/>
      <c r="E16" s="133">
        <f>E15/C5</f>
        <v>27.495314316625912</v>
      </c>
    </row>
    <row r="17" spans="2:6" x14ac:dyDescent="0.25">
      <c r="B17" s="2" t="s">
        <v>100</v>
      </c>
      <c r="C17" s="19">
        <f>Model!AF178</f>
        <v>997834</v>
      </c>
      <c r="D17" s="2">
        <v>29</v>
      </c>
    </row>
    <row r="18" spans="2:6" x14ac:dyDescent="0.25">
      <c r="B18" s="2" t="s">
        <v>101</v>
      </c>
      <c r="C18" s="132">
        <f>C17/C5</f>
        <v>15.958543872953209</v>
      </c>
      <c r="D18" s="125">
        <f>D17*C5/1000</f>
        <v>1813.272328</v>
      </c>
      <c r="F18" s="31" t="s">
        <v>117</v>
      </c>
    </row>
    <row r="19" spans="2:6" x14ac:dyDescent="0.25">
      <c r="B19" s="2" t="s">
        <v>103</v>
      </c>
      <c r="C19" s="77">
        <f ca="1">(C3*E3)/C18</f>
        <v>1.4458242671566615</v>
      </c>
      <c r="F19" s="32" t="s">
        <v>121</v>
      </c>
    </row>
    <row r="20" spans="2:6" x14ac:dyDescent="0.25">
      <c r="F20" s="25" t="s">
        <v>122</v>
      </c>
    </row>
    <row r="21" spans="2:6" x14ac:dyDescent="0.25">
      <c r="B21" s="2" t="s">
        <v>332</v>
      </c>
      <c r="C21" s="19">
        <f>Model!AF248</f>
        <v>92752.884655953909</v>
      </c>
      <c r="F21" s="25" t="s">
        <v>119</v>
      </c>
    </row>
    <row r="22" spans="2:6" x14ac:dyDescent="0.25">
      <c r="B22" s="2" t="s">
        <v>111</v>
      </c>
      <c r="C22" s="133">
        <f>C21/C5</f>
        <v>1.4834140539658991</v>
      </c>
      <c r="F22" s="25" t="s">
        <v>120</v>
      </c>
    </row>
    <row r="23" spans="2:6" x14ac:dyDescent="0.25">
      <c r="B23" s="2" t="s">
        <v>262</v>
      </c>
      <c r="C23" s="77">
        <f ca="1">C3/C22</f>
        <v>14.325063149555746</v>
      </c>
    </row>
    <row r="24" spans="2:6" x14ac:dyDescent="0.25">
      <c r="B24" s="2" t="s">
        <v>22</v>
      </c>
      <c r="C24" s="19">
        <f>Model!P151</f>
        <v>650763</v>
      </c>
      <c r="F24" s="48" t="s">
        <v>243</v>
      </c>
    </row>
    <row r="25" spans="2:6" x14ac:dyDescent="0.25">
      <c r="F25" s="25" t="s">
        <v>263</v>
      </c>
    </row>
    <row r="27" spans="2:6" x14ac:dyDescent="0.25">
      <c r="F27" s="31" t="s">
        <v>245</v>
      </c>
    </row>
    <row r="28" spans="2:6" x14ac:dyDescent="0.25">
      <c r="B28" s="2" t="s">
        <v>170</v>
      </c>
      <c r="C28" s="134">
        <f>SUM(Model!P86:P86)</f>
        <v>411868</v>
      </c>
      <c r="F28" s="26" t="s">
        <v>237</v>
      </c>
    </row>
    <row r="29" spans="2:6" x14ac:dyDescent="0.25">
      <c r="B29" s="2" t="s">
        <v>171</v>
      </c>
      <c r="C29" s="125">
        <f>C28/C5</f>
        <v>6.5870811656703339</v>
      </c>
      <c r="F29" s="26" t="s">
        <v>238</v>
      </c>
    </row>
    <row r="30" spans="2:6" x14ac:dyDescent="0.25">
      <c r="C30" s="77">
        <f ca="1">C3/C29</f>
        <v>3.2260115619567435</v>
      </c>
      <c r="F30" s="26" t="s">
        <v>239</v>
      </c>
    </row>
    <row r="31" spans="2:6" x14ac:dyDescent="0.25">
      <c r="C31" s="135" t="s">
        <v>296</v>
      </c>
      <c r="D31" s="135" t="s">
        <v>310</v>
      </c>
      <c r="E31" s="135" t="s">
        <v>317</v>
      </c>
      <c r="F31" s="26" t="s">
        <v>240</v>
      </c>
    </row>
    <row r="32" spans="2:6" x14ac:dyDescent="0.25">
      <c r="B32" s="2" t="s">
        <v>271</v>
      </c>
      <c r="C32" s="19">
        <f>Model!AF86</f>
        <v>979331</v>
      </c>
      <c r="D32" s="19">
        <f>Model!AL86</f>
        <v>1050000</v>
      </c>
      <c r="E32" s="19">
        <f>Model!AM86</f>
        <v>1119000</v>
      </c>
      <c r="F32" s="26" t="s">
        <v>241</v>
      </c>
    </row>
    <row r="33" spans="2:6" x14ac:dyDescent="0.25">
      <c r="B33" s="9" t="s">
        <v>342</v>
      </c>
      <c r="D33" s="24">
        <f>D32/C32-1</f>
        <v>7.2160485065825508E-2</v>
      </c>
      <c r="E33" s="24">
        <f>E32/D32-1</f>
        <v>6.5714285714285614E-2</v>
      </c>
      <c r="F33" s="26" t="s">
        <v>242</v>
      </c>
    </row>
    <row r="34" spans="2:6" x14ac:dyDescent="0.25">
      <c r="B34" s="2" t="s">
        <v>181</v>
      </c>
      <c r="C34" s="19">
        <f>Model!AF99</f>
        <v>160592</v>
      </c>
      <c r="D34" s="217">
        <f>Model!AL104</f>
        <v>181050</v>
      </c>
      <c r="E34" s="217">
        <f>Model!AM104</f>
        <v>214669.00000000003</v>
      </c>
      <c r="F34" s="25" t="s">
        <v>246</v>
      </c>
    </row>
    <row r="35" spans="2:6" x14ac:dyDescent="0.25">
      <c r="B35" s="2" t="s">
        <v>387</v>
      </c>
      <c r="C35" s="24">
        <f>C34/C32</f>
        <v>0.16398133011208671</v>
      </c>
      <c r="D35" s="24">
        <f>D34/D32</f>
        <v>0.17242857142857143</v>
      </c>
      <c r="E35" s="24">
        <f>E34/E32</f>
        <v>0.19184003574620198</v>
      </c>
      <c r="F35" s="25" t="s">
        <v>244</v>
      </c>
    </row>
    <row r="36" spans="2:6" x14ac:dyDescent="0.25">
      <c r="B36" s="9" t="s">
        <v>342</v>
      </c>
      <c r="D36" s="24">
        <f>D34/C34-1</f>
        <v>0.127391152734881</v>
      </c>
      <c r="E36" s="24">
        <f>E34/D34-1</f>
        <v>0.1856890361778516</v>
      </c>
    </row>
    <row r="37" spans="2:6" x14ac:dyDescent="0.25">
      <c r="B37" s="2" t="s">
        <v>386</v>
      </c>
      <c r="C37" s="77">
        <f ca="1">$C$12/C34</f>
        <v>9.9322233473273887</v>
      </c>
      <c r="D37" s="77">
        <f ca="1">$C$12/D34</f>
        <v>8.8099177674344098</v>
      </c>
      <c r="E37" s="77">
        <f ca="1">$C$12/E34</f>
        <v>7.4302093539076433</v>
      </c>
    </row>
    <row r="38" spans="2:6" x14ac:dyDescent="0.25">
      <c r="B38" s="12" t="s">
        <v>340</v>
      </c>
      <c r="C38" s="136">
        <v>11.3</v>
      </c>
      <c r="D38" s="136">
        <v>12</v>
      </c>
      <c r="E38" s="136">
        <v>11</v>
      </c>
    </row>
    <row r="39" spans="2:6" x14ac:dyDescent="0.25">
      <c r="B39" s="218" t="s">
        <v>456</v>
      </c>
      <c r="C39" s="219">
        <f>C34*C38</f>
        <v>1814689.6</v>
      </c>
      <c r="D39" s="219">
        <f>D34*D38</f>
        <v>2172600</v>
      </c>
      <c r="E39" s="219">
        <f>E34*E38</f>
        <v>2361359.0000000005</v>
      </c>
    </row>
    <row r="40" spans="2:6" x14ac:dyDescent="0.25">
      <c r="B40" s="2" t="s">
        <v>341</v>
      </c>
      <c r="C40" s="24">
        <f ca="1">1-(C12/C39)</f>
        <v>0.12104218165244351</v>
      </c>
    </row>
    <row r="41" spans="2:6" x14ac:dyDescent="0.25">
      <c r="B41" s="9" t="s">
        <v>343</v>
      </c>
      <c r="E41" s="5">
        <f>C11</f>
        <v>152343</v>
      </c>
    </row>
    <row r="42" spans="2:6" ht="15.75" thickBot="1" x14ac:dyDescent="0.3">
      <c r="B42" s="9" t="s">
        <v>350</v>
      </c>
      <c r="E42" s="137">
        <f>E39-E41</f>
        <v>2209016.0000000005</v>
      </c>
    </row>
    <row r="43" spans="2:6" ht="15.75" thickBot="1" x14ac:dyDescent="0.3">
      <c r="B43" s="138" t="s">
        <v>351</v>
      </c>
      <c r="C43" s="139"/>
      <c r="D43" s="139"/>
      <c r="E43" s="140">
        <f ca="1">(E42/C5)/E3</f>
        <v>32.537485543526671</v>
      </c>
    </row>
    <row r="44" spans="2:6" x14ac:dyDescent="0.25">
      <c r="B44" s="2" t="s">
        <v>315</v>
      </c>
      <c r="E44" s="29">
        <f ca="1">E43/C3</f>
        <v>1.5311757902836081</v>
      </c>
    </row>
    <row r="45" spans="2:6" x14ac:dyDescent="0.25">
      <c r="B45" s="40" t="s">
        <v>352</v>
      </c>
      <c r="E45" s="24">
        <f ca="1">(E43/C3)^(1/(2027-2025-0.25))-1</f>
        <v>0.27564139015883882</v>
      </c>
    </row>
    <row r="72" spans="6:6" x14ac:dyDescent="0.25">
      <c r="F72" s="67">
        <v>45909</v>
      </c>
    </row>
    <row r="73" spans="6:6" x14ac:dyDescent="0.25">
      <c r="F73" s="50" t="s">
        <v>162</v>
      </c>
    </row>
    <row r="74" spans="6:6" x14ac:dyDescent="0.25">
      <c r="F74" s="50" t="s">
        <v>163</v>
      </c>
    </row>
    <row r="75" spans="6:6" x14ac:dyDescent="0.25">
      <c r="F75" s="25" t="s">
        <v>164</v>
      </c>
    </row>
    <row r="76" spans="6:6" x14ac:dyDescent="0.25">
      <c r="F76" s="25" t="s">
        <v>165</v>
      </c>
    </row>
    <row r="77" spans="6:6" x14ac:dyDescent="0.25">
      <c r="F77" s="25" t="s">
        <v>166</v>
      </c>
    </row>
    <row r="80" spans="6:6" x14ac:dyDescent="0.25">
      <c r="F80" s="50" t="s">
        <v>167</v>
      </c>
    </row>
    <row r="81" spans="6:6" x14ac:dyDescent="0.25">
      <c r="F81" s="25" t="s">
        <v>168</v>
      </c>
    </row>
    <row r="82" spans="6:6" x14ac:dyDescent="0.25">
      <c r="F82" s="25" t="s">
        <v>268</v>
      </c>
    </row>
    <row r="83" spans="6:6" x14ac:dyDescent="0.25">
      <c r="F83" s="25" t="s">
        <v>169</v>
      </c>
    </row>
    <row r="84" spans="6:6" x14ac:dyDescent="0.25">
      <c r="F84" s="25" t="s">
        <v>269</v>
      </c>
    </row>
    <row r="86" spans="6:6" x14ac:dyDescent="0.25">
      <c r="F86" s="50" t="s">
        <v>260</v>
      </c>
    </row>
    <row r="87" spans="6:6" x14ac:dyDescent="0.25">
      <c r="F87" s="25" t="s">
        <v>256</v>
      </c>
    </row>
    <row r="88" spans="6:6" x14ac:dyDescent="0.25">
      <c r="F88" s="25" t="s">
        <v>257</v>
      </c>
    </row>
    <row r="89" spans="6:6" x14ac:dyDescent="0.25">
      <c r="F89" s="25" t="s">
        <v>258</v>
      </c>
    </row>
    <row r="90" spans="6:6" x14ac:dyDescent="0.25">
      <c r="F90" s="25" t="s">
        <v>259</v>
      </c>
    </row>
    <row r="91" spans="6:6" x14ac:dyDescent="0.25">
      <c r="F91" s="25" t="s">
        <v>270</v>
      </c>
    </row>
    <row r="92" spans="6:6" x14ac:dyDescent="0.25">
      <c r="F92" s="50" t="s">
        <v>264</v>
      </c>
    </row>
    <row r="93" spans="6:6" x14ac:dyDescent="0.25">
      <c r="F93" s="25" t="s">
        <v>265</v>
      </c>
    </row>
    <row r="94" spans="6:6" x14ac:dyDescent="0.25">
      <c r="F94" s="25" t="s">
        <v>267</v>
      </c>
    </row>
  </sheetData>
  <hyperlinks>
    <hyperlink ref="F19" r:id="rId1" xr:uid="{3F892B40-5C5D-401A-8616-AE6FDF1F4631}"/>
  </hyperlinks>
  <pageMargins left="0.7" right="0.7" top="0.75" bottom="0.75" header="0.3" footer="0.3"/>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B4DB-EAAE-48E8-A7C2-E14A4243D833}">
  <dimension ref="A1:BN377"/>
  <sheetViews>
    <sheetView zoomScale="145" zoomScaleNormal="145" workbookViewId="0">
      <pane xSplit="2" ySplit="2" topLeftCell="Y215" activePane="bottomRight" state="frozen"/>
      <selection pane="topRight" activeCell="C1" sqref="C1"/>
      <selection pane="bottomLeft" activeCell="A3" sqref="A3"/>
      <selection pane="bottomRight" activeCell="AE221" sqref="AE221"/>
    </sheetView>
  </sheetViews>
  <sheetFormatPr defaultRowHeight="15" outlineLevelRow="1" outlineLevelCol="1" x14ac:dyDescent="0.25"/>
  <cols>
    <col min="1" max="1" width="2.85546875" style="2" customWidth="1"/>
    <col min="2" max="2" width="31.5703125" style="2" bestFit="1" customWidth="1"/>
    <col min="3" max="3" width="10.85546875" style="2" customWidth="1" outlineLevel="1"/>
    <col min="4" max="5" width="9.140625" customWidth="1" outlineLevel="1"/>
    <col min="6" max="7" width="11.7109375" style="2" customWidth="1" outlineLevel="1"/>
    <col min="8" max="8" width="10" style="2" customWidth="1" outlineLevel="1"/>
    <col min="9" max="10" width="9.140625" style="2" customWidth="1" outlineLevel="1"/>
    <col min="11" max="11" width="11.7109375" style="2" customWidth="1" outlineLevel="1"/>
    <col min="12" max="12" width="12.140625" style="2" customWidth="1" outlineLevel="1"/>
    <col min="13" max="13" width="11.7109375" style="2" customWidth="1" outlineLevel="1"/>
    <col min="14" max="14" width="9.42578125" style="2" customWidth="1" outlineLevel="1"/>
    <col min="15" max="15" width="11.7109375" style="2" customWidth="1" outlineLevel="1"/>
    <col min="16" max="20" width="12.140625" style="2" customWidth="1" outlineLevel="1"/>
    <col min="21" max="21" width="11.7109375" style="2" customWidth="1" outlineLevel="1"/>
    <col min="22" max="22" width="12.140625" style="2" customWidth="1" outlineLevel="1"/>
    <col min="23" max="23" width="6.7109375" style="2" customWidth="1" outlineLevel="1"/>
    <col min="24" max="26" width="13.7109375" style="2" customWidth="1"/>
    <col min="27" max="27" width="13.7109375" style="2" bestFit="1" customWidth="1"/>
    <col min="28" max="28" width="12.42578125" style="2" bestFit="1" customWidth="1"/>
    <col min="29" max="29" width="12.140625" style="2" bestFit="1" customWidth="1"/>
    <col min="30" max="30" width="11.7109375" style="2" bestFit="1" customWidth="1"/>
    <col min="31" max="31" width="11.7109375" style="2" customWidth="1"/>
    <col min="32" max="32" width="10.140625" style="2" bestFit="1" customWidth="1"/>
    <col min="33" max="33" width="2.42578125" style="2" customWidth="1" outlineLevel="1"/>
    <col min="34" max="34" width="10.140625" style="2" customWidth="1" outlineLevel="1"/>
    <col min="35" max="36" width="9.140625" style="2" customWidth="1" outlineLevel="1"/>
    <col min="37" max="37" width="2.42578125" style="62" customWidth="1" outlineLevel="1"/>
    <col min="38" max="39" width="9.85546875" style="2" bestFit="1" customWidth="1"/>
    <col min="40" max="41" width="9.5703125" style="2" bestFit="1" customWidth="1"/>
    <col min="42" max="42" width="9.85546875" style="2" bestFit="1" customWidth="1"/>
    <col min="43" max="47" width="9.140625" style="2"/>
    <col min="48" max="65" width="0" style="2" hidden="1" customWidth="1"/>
    <col min="66" max="16384" width="9.140625" style="2"/>
  </cols>
  <sheetData>
    <row r="1" spans="1:65" ht="15.75" thickBot="1" x14ac:dyDescent="0.3">
      <c r="O1" s="564" t="s">
        <v>570</v>
      </c>
      <c r="P1" s="564"/>
      <c r="Q1" s="564"/>
      <c r="R1" s="45"/>
      <c r="S1" s="346" t="s">
        <v>571</v>
      </c>
      <c r="T1" s="45"/>
      <c r="V1" s="45"/>
      <c r="Z1" s="2" t="s">
        <v>527</v>
      </c>
      <c r="AF1" s="2" t="s">
        <v>410</v>
      </c>
      <c r="AH1" s="563" t="s">
        <v>476</v>
      </c>
      <c r="AI1" s="563"/>
      <c r="AJ1" s="563"/>
    </row>
    <row r="2" spans="1:65" s="60" customFormat="1" ht="12" x14ac:dyDescent="0.2">
      <c r="C2" s="60" t="s">
        <v>230</v>
      </c>
      <c r="D2" s="60" t="s">
        <v>229</v>
      </c>
      <c r="E2" s="60" t="s">
        <v>228</v>
      </c>
      <c r="F2" s="60" t="s">
        <v>247</v>
      </c>
      <c r="G2" s="60" t="s">
        <v>177</v>
      </c>
      <c r="H2" s="60" t="s">
        <v>172</v>
      </c>
      <c r="I2" s="60" t="s">
        <v>7</v>
      </c>
      <c r="J2" s="60" t="s">
        <v>6</v>
      </c>
      <c r="K2" s="60" t="s">
        <v>0</v>
      </c>
      <c r="L2" s="60" t="s">
        <v>5</v>
      </c>
      <c r="M2" s="60" t="s">
        <v>4</v>
      </c>
      <c r="N2" s="60" t="s">
        <v>3</v>
      </c>
      <c r="O2" s="345" t="s">
        <v>2</v>
      </c>
      <c r="P2" s="345" t="s">
        <v>1</v>
      </c>
      <c r="Q2" s="345" t="s">
        <v>302</v>
      </c>
      <c r="R2" s="61"/>
      <c r="S2" s="61" t="s">
        <v>2</v>
      </c>
      <c r="T2" s="61"/>
      <c r="U2" s="60" t="s">
        <v>569</v>
      </c>
      <c r="V2" s="61" t="s">
        <v>305</v>
      </c>
      <c r="X2" s="60" t="s">
        <v>526</v>
      </c>
      <c r="Y2" s="60" t="s">
        <v>525</v>
      </c>
      <c r="Z2" s="60" t="s">
        <v>524</v>
      </c>
      <c r="AA2" s="60" t="s">
        <v>231</v>
      </c>
      <c r="AB2" s="60" t="s">
        <v>107</v>
      </c>
      <c r="AC2" s="60" t="s">
        <v>83</v>
      </c>
      <c r="AD2" s="60" t="s">
        <v>82</v>
      </c>
      <c r="AE2" s="60" t="s">
        <v>329</v>
      </c>
      <c r="AF2" s="60" t="s">
        <v>296</v>
      </c>
      <c r="AH2" s="62" t="s">
        <v>477</v>
      </c>
      <c r="AI2" s="62" t="s">
        <v>478</v>
      </c>
      <c r="AJ2" s="62" t="s">
        <v>533</v>
      </c>
      <c r="AK2" s="62"/>
      <c r="AL2" s="286">
        <v>2026</v>
      </c>
      <c r="AM2" s="286">
        <f>AL2+1</f>
        <v>2027</v>
      </c>
      <c r="AN2" s="286">
        <f t="shared" ref="AN2:AU2" si="0">AM2+1</f>
        <v>2028</v>
      </c>
      <c r="AO2" s="286">
        <f t="shared" si="0"/>
        <v>2029</v>
      </c>
      <c r="AP2" s="286">
        <f t="shared" si="0"/>
        <v>2030</v>
      </c>
      <c r="AQ2" s="286">
        <f t="shared" si="0"/>
        <v>2031</v>
      </c>
      <c r="AR2" s="286">
        <f t="shared" si="0"/>
        <v>2032</v>
      </c>
      <c r="AS2" s="286">
        <f t="shared" si="0"/>
        <v>2033</v>
      </c>
      <c r="AT2" s="286">
        <f t="shared" si="0"/>
        <v>2034</v>
      </c>
      <c r="AU2" s="286">
        <f t="shared" si="0"/>
        <v>2035</v>
      </c>
      <c r="AV2" s="60">
        <f t="shared" ref="AV2:BM2" si="1">AU2+1</f>
        <v>2036</v>
      </c>
      <c r="AW2" s="60">
        <f t="shared" si="1"/>
        <v>2037</v>
      </c>
      <c r="AX2" s="60">
        <f t="shared" si="1"/>
        <v>2038</v>
      </c>
      <c r="AY2" s="60">
        <f t="shared" si="1"/>
        <v>2039</v>
      </c>
      <c r="AZ2" s="60">
        <f t="shared" si="1"/>
        <v>2040</v>
      </c>
      <c r="BA2" s="60">
        <f t="shared" si="1"/>
        <v>2041</v>
      </c>
      <c r="BB2" s="60">
        <f t="shared" si="1"/>
        <v>2042</v>
      </c>
      <c r="BC2" s="60">
        <f t="shared" si="1"/>
        <v>2043</v>
      </c>
      <c r="BD2" s="60">
        <f t="shared" si="1"/>
        <v>2044</v>
      </c>
      <c r="BE2" s="60">
        <f t="shared" si="1"/>
        <v>2045</v>
      </c>
      <c r="BF2" s="60">
        <f t="shared" si="1"/>
        <v>2046</v>
      </c>
      <c r="BG2" s="60">
        <f t="shared" si="1"/>
        <v>2047</v>
      </c>
      <c r="BH2" s="60">
        <f t="shared" si="1"/>
        <v>2048</v>
      </c>
      <c r="BI2" s="60">
        <f t="shared" si="1"/>
        <v>2049</v>
      </c>
      <c r="BJ2" s="60">
        <f t="shared" si="1"/>
        <v>2050</v>
      </c>
      <c r="BK2" s="60">
        <f t="shared" si="1"/>
        <v>2051</v>
      </c>
      <c r="BL2" s="60">
        <f t="shared" si="1"/>
        <v>2052</v>
      </c>
      <c r="BM2" s="60">
        <f t="shared" si="1"/>
        <v>2053</v>
      </c>
    </row>
    <row r="3" spans="1:65" s="60" customFormat="1" ht="12" x14ac:dyDescent="0.2">
      <c r="B3" s="11" t="s">
        <v>472</v>
      </c>
      <c r="P3" s="61"/>
      <c r="Q3" s="61"/>
      <c r="R3" s="61"/>
      <c r="S3" s="61"/>
      <c r="T3" s="61"/>
      <c r="V3" s="61"/>
      <c r="X3" s="231"/>
      <c r="Y3" s="231"/>
      <c r="Z3" s="231"/>
      <c r="AA3" s="231">
        <v>34</v>
      </c>
      <c r="AB3" s="231">
        <v>14.34</v>
      </c>
      <c r="AC3" s="231">
        <v>17.66</v>
      </c>
      <c r="AD3" s="231">
        <v>14.32</v>
      </c>
      <c r="AE3" s="232"/>
      <c r="AF3" s="231">
        <v>28.3</v>
      </c>
      <c r="AG3" s="268"/>
      <c r="AH3" s="237">
        <f>IFERROR(((AF3/AB3))^(1/(2025-2022))-1,"")</f>
        <v>0.25433178659417299</v>
      </c>
      <c r="AI3" s="24">
        <f>((AF3/AA3)^(1/(2025-2021)))-1</f>
        <v>-4.4838344442867051E-2</v>
      </c>
      <c r="AJ3" s="24" t="str">
        <f t="shared" ref="AJ3:AJ8" si="2">IFERROR((AF3/X3)^(1/(2025-2018))-1,"")</f>
        <v/>
      </c>
      <c r="AK3" s="62"/>
    </row>
    <row r="4" spans="1:65" s="60" customFormat="1" ht="12" x14ac:dyDescent="0.2">
      <c r="B4" s="11" t="s">
        <v>473</v>
      </c>
      <c r="P4" s="61"/>
      <c r="Q4" s="61"/>
      <c r="R4" s="61"/>
      <c r="S4" s="61"/>
      <c r="T4" s="61"/>
      <c r="V4" s="61"/>
      <c r="X4" s="229"/>
      <c r="Y4" s="229"/>
      <c r="Z4" s="229"/>
      <c r="AA4" s="229">
        <f>+AA3*AA137</f>
        <v>1420135.2219999998</v>
      </c>
      <c r="AB4" s="229">
        <f>+AB3*AB137</f>
        <v>871985.05655999994</v>
      </c>
      <c r="AC4" s="229">
        <f>+AC3*AC137</f>
        <v>1094665.6430200001</v>
      </c>
      <c r="AD4" s="229">
        <f>+AD3*AD137</f>
        <v>887929.55728000007</v>
      </c>
      <c r="AF4" s="229">
        <f>+AF3*AF137</f>
        <v>1769503.6856</v>
      </c>
      <c r="AG4" s="229"/>
      <c r="AH4" s="237">
        <f t="shared" ref="AH4:AH78" si="3">IFERROR(((AF4/AB4))^(1/(2025-2022))-1,"")</f>
        <v>0.26604014324970215</v>
      </c>
      <c r="AI4" s="229"/>
      <c r="AJ4" s="24" t="str">
        <f t="shared" si="2"/>
        <v/>
      </c>
      <c r="AK4" s="62"/>
    </row>
    <row r="5" spans="1:65" s="60" customFormat="1" ht="14.25" x14ac:dyDescent="0.35">
      <c r="B5" s="11" t="s">
        <v>474</v>
      </c>
      <c r="P5" s="61"/>
      <c r="Q5" s="61"/>
      <c r="R5" s="61"/>
      <c r="S5" s="61"/>
      <c r="T5" s="61"/>
      <c r="V5" s="61"/>
      <c r="X5" s="230"/>
      <c r="Y5" s="230"/>
      <c r="Z5" s="230"/>
      <c r="AA5" s="230">
        <f>+AA204</f>
        <v>81050</v>
      </c>
      <c r="AB5" s="230">
        <f t="shared" ref="AB5:AF5" si="4">+AB204</f>
        <v>277963</v>
      </c>
      <c r="AC5" s="230">
        <f t="shared" si="4"/>
        <v>273987</v>
      </c>
      <c r="AD5" s="230">
        <f t="shared" si="4"/>
        <v>217998</v>
      </c>
      <c r="AF5" s="230">
        <f t="shared" si="4"/>
        <v>152343</v>
      </c>
      <c r="AG5" s="230"/>
      <c r="AH5" s="237">
        <f t="shared" si="3"/>
        <v>-0.18163853501999505</v>
      </c>
      <c r="AI5" s="230"/>
      <c r="AJ5" s="24" t="str">
        <f t="shared" si="2"/>
        <v/>
      </c>
      <c r="AK5" s="62"/>
    </row>
    <row r="6" spans="1:65" s="60" customFormat="1" ht="12" x14ac:dyDescent="0.2">
      <c r="B6" s="11" t="s">
        <v>337</v>
      </c>
      <c r="P6" s="61"/>
      <c r="Q6" s="61"/>
      <c r="R6" s="61"/>
      <c r="S6" s="61"/>
      <c r="T6" s="61"/>
      <c r="V6" s="61"/>
      <c r="X6" s="229"/>
      <c r="Y6" s="229"/>
      <c r="Z6" s="229"/>
      <c r="AA6" s="229">
        <f>+AA4+AA5</f>
        <v>1501185.2219999998</v>
      </c>
      <c r="AB6" s="229">
        <f t="shared" ref="AB6:AF6" si="5">+AB4+AB5</f>
        <v>1149948.0565599999</v>
      </c>
      <c r="AC6" s="229">
        <f t="shared" si="5"/>
        <v>1368652.6430200001</v>
      </c>
      <c r="AD6" s="229">
        <f t="shared" si="5"/>
        <v>1105927.5572800001</v>
      </c>
      <c r="AF6" s="229">
        <f t="shared" si="5"/>
        <v>1921846.6856</v>
      </c>
      <c r="AG6" s="229"/>
      <c r="AH6" s="237">
        <f t="shared" si="3"/>
        <v>0.18671611114217956</v>
      </c>
      <c r="AI6" s="229"/>
      <c r="AJ6" s="24" t="str">
        <f t="shared" si="2"/>
        <v/>
      </c>
      <c r="AK6" s="62"/>
    </row>
    <row r="7" spans="1:65" s="60" customFormat="1" ht="12" x14ac:dyDescent="0.2">
      <c r="B7" s="11" t="s">
        <v>475</v>
      </c>
      <c r="P7" s="61"/>
      <c r="Q7" s="61"/>
      <c r="R7" s="61"/>
      <c r="S7" s="61"/>
      <c r="T7" s="61"/>
      <c r="V7" s="61"/>
      <c r="X7" s="233"/>
      <c r="Y7" s="233"/>
      <c r="Z7" s="233"/>
      <c r="AA7" s="233">
        <f>AA6/AA99</f>
        <v>32.596904045339059</v>
      </c>
      <c r="AB7" s="233">
        <f>AB6/AB99</f>
        <v>9.0601309173993876</v>
      </c>
      <c r="AC7" s="233">
        <f>AC6/AC99</f>
        <v>14.124090762006977</v>
      </c>
      <c r="AD7" s="233">
        <f>AD6/AD99</f>
        <v>6.8918884592566743</v>
      </c>
      <c r="AF7" s="233">
        <f>AF6/AF99</f>
        <v>11.967262912224768</v>
      </c>
      <c r="AG7" s="233"/>
      <c r="AH7" s="237">
        <f t="shared" si="3"/>
        <v>9.7202494626187574E-2</v>
      </c>
      <c r="AI7" s="233"/>
      <c r="AJ7" s="24" t="str">
        <f t="shared" si="2"/>
        <v/>
      </c>
      <c r="AK7" s="62"/>
    </row>
    <row r="8" spans="1:65" x14ac:dyDescent="0.25">
      <c r="A8" s="2" t="s">
        <v>21</v>
      </c>
      <c r="B8" s="40" t="s">
        <v>178</v>
      </c>
      <c r="P8" s="45"/>
      <c r="Q8" s="45"/>
      <c r="R8" s="45"/>
      <c r="S8" s="45"/>
      <c r="T8" s="45"/>
      <c r="V8" s="45"/>
      <c r="AG8" s="233"/>
      <c r="AH8" s="237" t="str">
        <f t="shared" si="3"/>
        <v/>
      </c>
      <c r="AJ8" s="24" t="str">
        <f t="shared" si="2"/>
        <v/>
      </c>
    </row>
    <row r="9" spans="1:65" x14ac:dyDescent="0.25">
      <c r="B9" s="70" t="s">
        <v>179</v>
      </c>
      <c r="C9" s="71"/>
      <c r="D9" s="72"/>
      <c r="E9" s="72"/>
      <c r="F9" s="71"/>
      <c r="G9" s="71"/>
      <c r="H9" s="71"/>
      <c r="I9" s="71"/>
      <c r="J9" s="71"/>
      <c r="K9" s="71"/>
      <c r="L9" s="71"/>
      <c r="M9" s="71"/>
      <c r="N9" s="71"/>
      <c r="O9" s="71"/>
      <c r="P9" s="73"/>
      <c r="Q9" s="73"/>
      <c r="R9" s="73"/>
      <c r="S9" s="73"/>
      <c r="T9" s="73"/>
      <c r="U9" s="71"/>
      <c r="V9" s="73"/>
      <c r="W9" s="71"/>
      <c r="X9" s="71"/>
      <c r="Y9" s="71"/>
      <c r="Z9" s="71"/>
      <c r="AA9" s="71"/>
      <c r="AB9" s="71"/>
      <c r="AC9" s="71"/>
      <c r="AD9" s="71"/>
      <c r="AE9" s="71"/>
      <c r="AF9" s="71"/>
      <c r="AG9" s="233"/>
      <c r="AH9" s="71"/>
      <c r="AI9" s="71"/>
      <c r="AJ9" s="71"/>
      <c r="AL9" s="71"/>
      <c r="AM9" s="71"/>
      <c r="AN9" s="71"/>
      <c r="AO9" s="71"/>
      <c r="AP9" s="71"/>
      <c r="AQ9" s="71"/>
      <c r="AR9" s="71"/>
      <c r="AS9" s="71"/>
      <c r="AT9" s="71"/>
      <c r="AU9" s="71"/>
    </row>
    <row r="10" spans="1:65" ht="12" x14ac:dyDescent="0.2">
      <c r="B10" s="9" t="s">
        <v>8</v>
      </c>
      <c r="C10" s="1">
        <v>89358</v>
      </c>
      <c r="D10" s="8">
        <f>256935-C10</f>
        <v>167577</v>
      </c>
      <c r="E10" s="8">
        <f>433174-D10-C10</f>
        <v>176239</v>
      </c>
      <c r="F10" s="5">
        <f>AB10-E10-D10-C10</f>
        <v>202349</v>
      </c>
      <c r="G10" s="1">
        <v>166389</v>
      </c>
      <c r="H10" s="8">
        <f>332024-G10</f>
        <v>165635</v>
      </c>
      <c r="I10" s="8">
        <f>496727-H10-G10</f>
        <v>164703</v>
      </c>
      <c r="J10" s="5">
        <f>AC10-I10-H10-G10</f>
        <v>206340</v>
      </c>
      <c r="K10" s="1">
        <v>207384</v>
      </c>
      <c r="L10" s="8">
        <f>407878-K10</f>
        <v>200494</v>
      </c>
      <c r="M10" s="8">
        <f>610539-L10-K10</f>
        <v>202661</v>
      </c>
      <c r="N10" s="5">
        <f>AD10-M10-L10-K10</f>
        <v>203526</v>
      </c>
      <c r="O10" s="1">
        <v>221323</v>
      </c>
      <c r="P10" s="8">
        <f>429903-O10</f>
        <v>208580</v>
      </c>
      <c r="Q10" s="8">
        <f>649100-P10-O10</f>
        <v>219197</v>
      </c>
      <c r="R10" s="8"/>
      <c r="S10" s="1">
        <v>221323</v>
      </c>
      <c r="T10" s="8"/>
      <c r="U10" s="1">
        <v>233528</v>
      </c>
      <c r="V10" s="8">
        <f>Q10+P10+O10+N10</f>
        <v>852626</v>
      </c>
      <c r="W10" s="1"/>
      <c r="X10" s="1"/>
      <c r="Y10" s="1"/>
      <c r="Z10" s="1"/>
      <c r="AA10" s="1">
        <v>284587</v>
      </c>
      <c r="AB10" s="1">
        <v>635523</v>
      </c>
      <c r="AC10" s="1">
        <v>703067</v>
      </c>
      <c r="AD10" s="1">
        <v>814065</v>
      </c>
      <c r="AE10" s="1"/>
      <c r="AF10" s="1">
        <v>881272</v>
      </c>
      <c r="AG10" s="233"/>
      <c r="AH10" s="237">
        <f t="shared" si="3"/>
        <v>0.11513188318570045</v>
      </c>
      <c r="AI10" s="24">
        <f>((AF10/AA10)^(1/(2025-2021)))-1</f>
        <v>0.32655031957750058</v>
      </c>
      <c r="AJ10" s="24"/>
      <c r="AL10" s="1">
        <v>950000</v>
      </c>
    </row>
    <row r="11" spans="1:65" ht="14.25" x14ac:dyDescent="0.35">
      <c r="B11" s="6" t="s">
        <v>180</v>
      </c>
      <c r="C11" s="3">
        <v>519</v>
      </c>
      <c r="D11" s="39">
        <f>572-C11</f>
        <v>53</v>
      </c>
      <c r="E11" s="39">
        <f>648-D11-C11</f>
        <v>76</v>
      </c>
      <c r="F11" s="17">
        <f>AB11-E11-D11-C11</f>
        <v>256</v>
      </c>
      <c r="G11" s="3">
        <v>371</v>
      </c>
      <c r="H11" s="39">
        <f>695-G11</f>
        <v>324</v>
      </c>
      <c r="I11" s="39">
        <f>1010-H11-G11</f>
        <v>315</v>
      </c>
      <c r="J11" s="17">
        <f>AC11-I11-H11-G11</f>
        <v>452</v>
      </c>
      <c r="K11" s="3">
        <v>389</v>
      </c>
      <c r="L11" s="39">
        <f>1102-K11</f>
        <v>713</v>
      </c>
      <c r="M11" s="39">
        <f>1462-L11-K11</f>
        <v>360</v>
      </c>
      <c r="N11" s="17">
        <f>AD11-M11-L11-K11</f>
        <v>92</v>
      </c>
      <c r="O11" s="3">
        <v>0</v>
      </c>
      <c r="P11" s="39">
        <v>0</v>
      </c>
      <c r="Q11" s="39">
        <v>0</v>
      </c>
      <c r="R11" s="39"/>
      <c r="S11" s="3">
        <v>0</v>
      </c>
      <c r="T11" s="39"/>
      <c r="U11" s="39">
        <v>0</v>
      </c>
      <c r="V11" s="8">
        <f>Q11+P11+O11+N11</f>
        <v>92</v>
      </c>
      <c r="W11" s="3"/>
      <c r="X11" s="3"/>
      <c r="Y11" s="3"/>
      <c r="Z11" s="3"/>
      <c r="AA11" s="3">
        <v>378</v>
      </c>
      <c r="AB11" s="3">
        <v>904</v>
      </c>
      <c r="AC11" s="3">
        <v>1462</v>
      </c>
      <c r="AD11" s="3">
        <v>1554</v>
      </c>
      <c r="AE11" s="3"/>
      <c r="AF11" s="3">
        <v>0</v>
      </c>
      <c r="AG11" s="233"/>
      <c r="AH11" s="237">
        <f t="shared" si="3"/>
        <v>-1</v>
      </c>
      <c r="AI11" s="24">
        <f>((AF11/AA11)^(1/(2025-2021)))-1</f>
        <v>-1</v>
      </c>
      <c r="AJ11" s="24"/>
      <c r="AL11" s="3">
        <v>0</v>
      </c>
    </row>
    <row r="12" spans="1:65" s="13" customFormat="1" ht="12" x14ac:dyDescent="0.2">
      <c r="B12" s="13" t="s">
        <v>185</v>
      </c>
      <c r="C12" s="18">
        <f t="shared" ref="C12:P12" si="6">C11+C10</f>
        <v>89877</v>
      </c>
      <c r="D12" s="92">
        <f t="shared" si="6"/>
        <v>167630</v>
      </c>
      <c r="E12" s="92">
        <f t="shared" si="6"/>
        <v>176315</v>
      </c>
      <c r="F12" s="18">
        <f t="shared" si="6"/>
        <v>202605</v>
      </c>
      <c r="G12" s="18">
        <f t="shared" si="6"/>
        <v>166760</v>
      </c>
      <c r="H12" s="18">
        <f t="shared" si="6"/>
        <v>165959</v>
      </c>
      <c r="I12" s="92">
        <f t="shared" si="6"/>
        <v>165018</v>
      </c>
      <c r="J12" s="18">
        <f t="shared" si="6"/>
        <v>206792</v>
      </c>
      <c r="K12" s="18">
        <f t="shared" si="6"/>
        <v>207773</v>
      </c>
      <c r="L12" s="92">
        <f t="shared" si="6"/>
        <v>201207</v>
      </c>
      <c r="M12" s="92">
        <f t="shared" si="6"/>
        <v>203021</v>
      </c>
      <c r="N12" s="92">
        <f t="shared" si="6"/>
        <v>203618</v>
      </c>
      <c r="O12" s="18">
        <f>O11+O10</f>
        <v>221323</v>
      </c>
      <c r="P12" s="92">
        <f t="shared" si="6"/>
        <v>208580</v>
      </c>
      <c r="Q12" s="92">
        <f t="shared" ref="Q12:V12" si="7">Q11+Q10</f>
        <v>219197</v>
      </c>
      <c r="R12" s="92"/>
      <c r="S12" s="18">
        <f>S11+S10</f>
        <v>221323</v>
      </c>
      <c r="T12" s="92"/>
      <c r="U12" s="92">
        <f t="shared" ref="U12" si="8">U11+U10</f>
        <v>233528</v>
      </c>
      <c r="V12" s="92">
        <f t="shared" si="7"/>
        <v>852718</v>
      </c>
      <c r="W12" s="18"/>
      <c r="X12" s="18"/>
      <c r="Y12" s="18"/>
      <c r="Z12" s="18"/>
      <c r="AA12" s="18">
        <f>AA11+AA10</f>
        <v>284965</v>
      </c>
      <c r="AB12" s="18">
        <f t="shared" ref="AB12" si="9">AB11+AB10</f>
        <v>636427</v>
      </c>
      <c r="AC12" s="18">
        <f>AC11+AC10</f>
        <v>704529</v>
      </c>
      <c r="AD12" s="18">
        <f>AD11+AD10</f>
        <v>815619</v>
      </c>
      <c r="AE12" s="18"/>
      <c r="AF12" s="18">
        <f>AF11+AF10</f>
        <v>881272</v>
      </c>
      <c r="AG12" s="335"/>
      <c r="AH12" s="327">
        <f t="shared" si="3"/>
        <v>0.11460364407296786</v>
      </c>
      <c r="AI12" s="338">
        <f>((AF12/AA12)^(1/(2025-2021)))-1</f>
        <v>0.32611019040106393</v>
      </c>
      <c r="AJ12" s="338"/>
      <c r="AK12" s="62"/>
      <c r="AL12" s="92">
        <f>AL11+AL10</f>
        <v>950000</v>
      </c>
      <c r="AM12" s="121">
        <f>AL12*(1+AM13)</f>
        <v>1016500.0000000001</v>
      </c>
      <c r="AN12" s="121">
        <f t="shared" ref="AN12:AP12" si="10">AM12*(1+AN13)</f>
        <v>1077490.0000000002</v>
      </c>
      <c r="AO12" s="121">
        <f t="shared" si="10"/>
        <v>1131364.5000000002</v>
      </c>
      <c r="AP12" s="121">
        <f t="shared" si="10"/>
        <v>1176619.0800000003</v>
      </c>
      <c r="AQ12" s="121">
        <f t="shared" ref="AQ12" si="11">AP12*(1+AQ13)</f>
        <v>1217800.7478000002</v>
      </c>
      <c r="AR12" s="121">
        <f t="shared" ref="AR12" si="12">AQ12*(1+AR13)</f>
        <v>1254334.7702340002</v>
      </c>
      <c r="AS12" s="121">
        <f t="shared" ref="AS12" si="13">AR12*(1+AS13)</f>
        <v>1279421.4656386802</v>
      </c>
      <c r="AT12" s="121">
        <f t="shared" ref="AT12" si="14">AS12*(1+AT13)</f>
        <v>1305009.8949514537</v>
      </c>
      <c r="AU12" s="121">
        <f t="shared" ref="AU12" si="15">AT12*(1+AU13)</f>
        <v>1331110.0928504828</v>
      </c>
    </row>
    <row r="13" spans="1:65" ht="12" x14ac:dyDescent="0.2">
      <c r="B13" s="6" t="s">
        <v>319</v>
      </c>
      <c r="C13" s="5"/>
      <c r="D13" s="44"/>
      <c r="E13" s="44"/>
      <c r="F13" s="5"/>
      <c r="G13" s="5"/>
      <c r="H13" s="5"/>
      <c r="I13" s="44"/>
      <c r="J13" s="5"/>
      <c r="K13" s="5"/>
      <c r="L13" s="44"/>
      <c r="M13" s="44"/>
      <c r="N13" s="44"/>
      <c r="O13" s="5"/>
      <c r="P13" s="44"/>
      <c r="Q13" s="44"/>
      <c r="R13" s="44"/>
      <c r="S13" s="5"/>
      <c r="T13" s="44"/>
      <c r="U13" s="24">
        <f>U12/S12-1</f>
        <v>5.5145646860019104E-2</v>
      </c>
      <c r="V13" s="93">
        <f>V12/AD12-1</f>
        <v>4.5485698592112156E-2</v>
      </c>
      <c r="W13" s="5"/>
      <c r="X13" s="5"/>
      <c r="Y13" s="5"/>
      <c r="Z13" s="5"/>
      <c r="AA13" s="5"/>
      <c r="AB13" s="35">
        <f>AB10/AA10-1</f>
        <v>1.2331413592328531</v>
      </c>
      <c r="AC13" s="35">
        <f t="shared" ref="AC13:AD13" si="16">AC10/AB10-1</f>
        <v>0.10628096858807634</v>
      </c>
      <c r="AD13" s="35">
        <f t="shared" si="16"/>
        <v>0.15787684530777302</v>
      </c>
      <c r="AE13" s="35"/>
      <c r="AF13" s="35">
        <f>AF10/AD10-1</f>
        <v>8.2557289651317811E-2</v>
      </c>
      <c r="AG13" s="233"/>
      <c r="AH13" s="237">
        <f t="shared" si="3"/>
        <v>-0.59394874774703599</v>
      </c>
      <c r="AI13" s="24"/>
      <c r="AJ13" s="24"/>
      <c r="AL13" s="35">
        <f>AL12/AF12-1</f>
        <v>7.7987272941838715E-2</v>
      </c>
      <c r="AM13" s="332">
        <v>7.0000000000000007E-2</v>
      </c>
      <c r="AN13" s="332">
        <v>0.06</v>
      </c>
      <c r="AO13" s="332">
        <v>0.05</v>
      </c>
      <c r="AP13" s="332">
        <v>0.04</v>
      </c>
      <c r="AQ13" s="332">
        <v>3.5000000000000003E-2</v>
      </c>
      <c r="AR13" s="332">
        <v>0.03</v>
      </c>
      <c r="AS13" s="332">
        <v>0.02</v>
      </c>
      <c r="AT13" s="332">
        <v>0.02</v>
      </c>
      <c r="AU13" s="332">
        <v>0.02</v>
      </c>
    </row>
    <row r="14" spans="1:65" ht="12" x14ac:dyDescent="0.2">
      <c r="B14" s="2" t="s">
        <v>181</v>
      </c>
      <c r="C14" s="1">
        <v>11678</v>
      </c>
      <c r="D14" s="8">
        <f>24586-C14</f>
        <v>12908</v>
      </c>
      <c r="E14" s="8">
        <f>32702-D14-C14</f>
        <v>8116</v>
      </c>
      <c r="F14" s="5">
        <f>AB14-E14-D14-C14</f>
        <v>33006</v>
      </c>
      <c r="G14" s="1">
        <v>13452</v>
      </c>
      <c r="H14" s="8">
        <f>35171-G14</f>
        <v>21719</v>
      </c>
      <c r="I14" s="8">
        <f>52695-H14-G14</f>
        <v>17524</v>
      </c>
      <c r="J14" s="5">
        <f>AC14-I14-H14-G14</f>
        <v>20874</v>
      </c>
      <c r="K14" s="1">
        <v>29287</v>
      </c>
      <c r="L14" s="8">
        <f>60097-K14</f>
        <v>30810</v>
      </c>
      <c r="M14" s="8">
        <f>90888-L14-K14</f>
        <v>30791</v>
      </c>
      <c r="N14" s="5">
        <f>AD14-M14-L14-K14</f>
        <v>36147</v>
      </c>
      <c r="O14" s="1">
        <v>39812</v>
      </c>
      <c r="P14" s="8">
        <f>76421-O14</f>
        <v>36609</v>
      </c>
      <c r="Q14" s="8">
        <f>111200-P14-O14</f>
        <v>34779</v>
      </c>
      <c r="R14" s="8"/>
      <c r="S14" s="1">
        <v>39812</v>
      </c>
      <c r="T14" s="8"/>
      <c r="U14" s="1">
        <v>42468</v>
      </c>
      <c r="V14" s="8">
        <f>Q14+P14+O14+N14</f>
        <v>147347</v>
      </c>
      <c r="W14" s="1"/>
      <c r="X14" s="1"/>
      <c r="Y14" s="1"/>
      <c r="Z14" s="1"/>
      <c r="AA14" s="1">
        <v>35127</v>
      </c>
      <c r="AB14" s="1">
        <v>65708</v>
      </c>
      <c r="AC14" s="1">
        <v>73569</v>
      </c>
      <c r="AD14" s="1">
        <v>127035</v>
      </c>
      <c r="AE14" s="1"/>
      <c r="AF14" s="1">
        <v>159811</v>
      </c>
      <c r="AG14" s="233"/>
      <c r="AH14" s="237">
        <f t="shared" si="3"/>
        <v>0.34481581224794366</v>
      </c>
      <c r="AI14" s="24">
        <f>((AF14/AA14)^(1/(2025-2021)))-1</f>
        <v>0.46046583568650146</v>
      </c>
      <c r="AJ14" s="24"/>
      <c r="AL14" s="94">
        <f>AL15*AL12</f>
        <v>171000</v>
      </c>
      <c r="AM14" s="94">
        <f>AM15*AM12</f>
        <v>203300.00000000003</v>
      </c>
      <c r="AN14" s="94">
        <f t="shared" ref="AN14:AP14" si="17">AN15*AN12</f>
        <v>210110.55000000005</v>
      </c>
      <c r="AO14" s="94">
        <f t="shared" si="17"/>
        <v>220616.07750000004</v>
      </c>
      <c r="AP14" s="94">
        <f t="shared" si="17"/>
        <v>229440.72060000006</v>
      </c>
      <c r="AQ14" s="94">
        <f t="shared" ref="AQ14" si="18">AQ15*AQ12</f>
        <v>237471.14582100004</v>
      </c>
      <c r="AR14" s="94">
        <f t="shared" ref="AR14" si="19">AR15*AR12</f>
        <v>244595.28019563004</v>
      </c>
      <c r="AS14" s="94">
        <f t="shared" ref="AS14" si="20">AS15*AS12</f>
        <v>249487.18579954264</v>
      </c>
      <c r="AT14" s="94">
        <f t="shared" ref="AT14" si="21">AT15*AT12</f>
        <v>254476.92951553347</v>
      </c>
      <c r="AU14" s="94">
        <f t="shared" ref="AU14" si="22">AU15*AU12</f>
        <v>259566.46810584416</v>
      </c>
    </row>
    <row r="15" spans="1:65" ht="12" x14ac:dyDescent="0.2">
      <c r="B15" s="324" t="s">
        <v>187</v>
      </c>
      <c r="C15" s="41">
        <f t="shared" ref="C15:V15" si="23">C14/C$12</f>
        <v>0.12993313083436253</v>
      </c>
      <c r="D15" s="42">
        <f t="shared" si="23"/>
        <v>7.7002923104456236E-2</v>
      </c>
      <c r="E15" s="42">
        <f t="shared" si="23"/>
        <v>4.6031250886198E-2</v>
      </c>
      <c r="F15" s="41">
        <f t="shared" si="23"/>
        <v>0.16290812171466648</v>
      </c>
      <c r="G15" s="41">
        <f t="shared" si="23"/>
        <v>8.066682657711681E-2</v>
      </c>
      <c r="H15" s="42">
        <f t="shared" si="23"/>
        <v>0.13086967262998692</v>
      </c>
      <c r="I15" s="42">
        <f t="shared" si="23"/>
        <v>0.10619447575416015</v>
      </c>
      <c r="J15" s="41">
        <f t="shared" si="23"/>
        <v>0.10094200936206429</v>
      </c>
      <c r="K15" s="41">
        <f t="shared" si="23"/>
        <v>0.14095671718654493</v>
      </c>
      <c r="L15" s="42">
        <f t="shared" si="23"/>
        <v>0.15312588528232118</v>
      </c>
      <c r="M15" s="42">
        <f t="shared" si="23"/>
        <v>0.15166411356460663</v>
      </c>
      <c r="N15" s="41">
        <f t="shared" si="23"/>
        <v>0.17752359811018673</v>
      </c>
      <c r="O15" s="41">
        <f>O14/O$12</f>
        <v>0.17988189207628669</v>
      </c>
      <c r="P15" s="42">
        <f t="shared" si="23"/>
        <v>0.17551538977850226</v>
      </c>
      <c r="Q15" s="42">
        <f t="shared" si="23"/>
        <v>0.15866549268466265</v>
      </c>
      <c r="R15" s="42"/>
      <c r="S15" s="41">
        <f>S14/S$12</f>
        <v>0.17988189207628669</v>
      </c>
      <c r="T15" s="42"/>
      <c r="U15" s="41">
        <f>U14/U$12</f>
        <v>0.18185399609468672</v>
      </c>
      <c r="V15" s="42">
        <f t="shared" si="23"/>
        <v>0.17279686836679886</v>
      </c>
      <c r="W15" s="41"/>
      <c r="X15" s="201"/>
      <c r="Y15" s="201"/>
      <c r="Z15" s="201"/>
      <c r="AA15" s="201">
        <f>AA14/AA$12</f>
        <v>0.12326776972610672</v>
      </c>
      <c r="AB15" s="201">
        <f>AB14/AB$12</f>
        <v>0.10324514830451882</v>
      </c>
      <c r="AC15" s="201">
        <f>AC14/AC$12</f>
        <v>0.10442295491030178</v>
      </c>
      <c r="AD15" s="201">
        <f>AD14/AD$12</f>
        <v>0.15575286990616943</v>
      </c>
      <c r="AE15" s="201"/>
      <c r="AF15" s="201">
        <f>AF14/AF$12</f>
        <v>0.18134128850116649</v>
      </c>
      <c r="AG15" s="233"/>
      <c r="AH15" s="237">
        <f t="shared" si="3"/>
        <v>0.2065417329282524</v>
      </c>
      <c r="AI15" s="202">
        <f>((AF15/AA15)^(1/(2025-2021)))-1</f>
        <v>0.10131559674147694</v>
      </c>
      <c r="AJ15" s="202"/>
      <c r="AL15" s="337">
        <v>0.18</v>
      </c>
      <c r="AM15" s="337">
        <v>0.2</v>
      </c>
      <c r="AN15" s="337">
        <v>0.19500000000000001</v>
      </c>
      <c r="AO15" s="337">
        <v>0.19500000000000001</v>
      </c>
      <c r="AP15" s="337">
        <v>0.19500000000000001</v>
      </c>
      <c r="AQ15" s="337">
        <v>0.19500000000000001</v>
      </c>
      <c r="AR15" s="337">
        <v>0.19500000000000001</v>
      </c>
      <c r="AS15" s="337">
        <v>0.19500000000000001</v>
      </c>
      <c r="AT15" s="337">
        <v>0.19500000000000001</v>
      </c>
      <c r="AU15" s="337">
        <v>0.19500000000000001</v>
      </c>
    </row>
    <row r="16" spans="1:65" ht="12" x14ac:dyDescent="0.2">
      <c r="B16" s="2" t="s">
        <v>182</v>
      </c>
      <c r="C16" s="1">
        <v>-14970</v>
      </c>
      <c r="D16" s="8">
        <f>-37801-C16</f>
        <v>-22831</v>
      </c>
      <c r="E16" s="8">
        <f>-62307-D16-C16</f>
        <v>-24506</v>
      </c>
      <c r="F16" s="5">
        <f>AB16-E16-D16-C16</f>
        <v>-27111</v>
      </c>
      <c r="G16" s="1">
        <v>-22983</v>
      </c>
      <c r="H16" s="8">
        <f>-42109-G16</f>
        <v>-19126</v>
      </c>
      <c r="I16" s="8">
        <f>-64593-H16-G16</f>
        <v>-22484</v>
      </c>
      <c r="J16" s="5">
        <f>AC16-I16-H16-G16</f>
        <v>-17934</v>
      </c>
      <c r="K16" s="1">
        <v>-20244</v>
      </c>
      <c r="L16" s="8">
        <f>-41789-K16</f>
        <v>-21545</v>
      </c>
      <c r="M16" s="8">
        <f>-62487-L16-K16</f>
        <v>-20698</v>
      </c>
      <c r="N16" s="5">
        <f>AD16-M16-L16-K16</f>
        <v>-20512</v>
      </c>
      <c r="O16" s="1">
        <v>-21520</v>
      </c>
      <c r="P16" s="8">
        <f>-42525-O16</f>
        <v>-21005</v>
      </c>
      <c r="Q16" s="8"/>
      <c r="R16" s="8"/>
      <c r="S16" s="1">
        <v>-21520</v>
      </c>
      <c r="T16" s="8"/>
      <c r="U16" s="1">
        <v>-22541</v>
      </c>
      <c r="V16" s="8"/>
      <c r="W16" s="1"/>
      <c r="X16" s="1"/>
      <c r="Y16" s="1"/>
      <c r="Z16" s="1"/>
      <c r="AA16" s="1">
        <v>-54104</v>
      </c>
      <c r="AB16" s="1">
        <v>-89418</v>
      </c>
      <c r="AC16" s="1">
        <v>-82527</v>
      </c>
      <c r="AD16" s="1">
        <v>-82999</v>
      </c>
      <c r="AE16" s="1"/>
      <c r="AF16" s="1">
        <v>-87106</v>
      </c>
      <c r="AG16" s="233"/>
      <c r="AH16" s="237">
        <f t="shared" si="3"/>
        <v>-8.6940649175993867E-3</v>
      </c>
      <c r="AI16" s="24">
        <f>((AF16/AA16)^(1/(2025-2021)))-1</f>
        <v>0.12643120786928308</v>
      </c>
      <c r="AJ16" s="24"/>
      <c r="AL16" s="94">
        <f>-AL17*AL12</f>
        <v>-90250</v>
      </c>
      <c r="AM16" s="94">
        <f t="shared" ref="AM16:AU16" si="24">-AM17*AM12</f>
        <v>-91485</v>
      </c>
      <c r="AN16" s="94">
        <f t="shared" si="24"/>
        <v>-91586.650000000023</v>
      </c>
      <c r="AO16" s="94">
        <f t="shared" si="24"/>
        <v>-90509.160000000018</v>
      </c>
      <c r="AP16" s="94">
        <f t="shared" si="24"/>
        <v>-88246.431000000026</v>
      </c>
      <c r="AQ16" s="94">
        <f t="shared" si="24"/>
        <v>-85246.052346000026</v>
      </c>
      <c r="AR16" s="94">
        <f t="shared" si="24"/>
        <v>-81531.760065210008</v>
      </c>
      <c r="AS16" s="94">
        <f t="shared" si="24"/>
        <v>-76765.287938320806</v>
      </c>
      <c r="AT16" s="94">
        <f t="shared" si="24"/>
        <v>-78300.593697087214</v>
      </c>
      <c r="AU16" s="94">
        <f t="shared" si="24"/>
        <v>-79866.605571028966</v>
      </c>
    </row>
    <row r="17" spans="2:47" ht="12" x14ac:dyDescent="0.2">
      <c r="B17" s="6" t="s">
        <v>536</v>
      </c>
      <c r="C17" s="35">
        <f t="shared" ref="C17:P17" si="25">-C16/C$12</f>
        <v>0.16656096665442771</v>
      </c>
      <c r="D17" s="43">
        <f t="shared" si="25"/>
        <v>0.13619877110302453</v>
      </c>
      <c r="E17" s="43">
        <f t="shared" si="25"/>
        <v>0.13898987607407198</v>
      </c>
      <c r="F17" s="35">
        <f t="shared" si="25"/>
        <v>0.13381209743096173</v>
      </c>
      <c r="G17" s="35">
        <f t="shared" si="25"/>
        <v>0.13782082034060925</v>
      </c>
      <c r="H17" s="43">
        <f t="shared" si="25"/>
        <v>0.11524533167830608</v>
      </c>
      <c r="I17" s="43">
        <f t="shared" si="25"/>
        <v>0.13625180283363028</v>
      </c>
      <c r="J17" s="35">
        <f t="shared" si="25"/>
        <v>8.6724824944872145E-2</v>
      </c>
      <c r="K17" s="35">
        <f t="shared" si="25"/>
        <v>9.7433256486646483E-2</v>
      </c>
      <c r="L17" s="43">
        <f t="shared" si="25"/>
        <v>0.10707877956532327</v>
      </c>
      <c r="M17" s="43">
        <f t="shared" si="25"/>
        <v>0.10195004457666941</v>
      </c>
      <c r="N17" s="35">
        <f t="shared" si="25"/>
        <v>0.10073765580646112</v>
      </c>
      <c r="O17" s="35">
        <f>-O16/O$12</f>
        <v>9.7233455176371192E-2</v>
      </c>
      <c r="P17" s="43">
        <f t="shared" si="25"/>
        <v>0.10070476555757983</v>
      </c>
      <c r="Q17" s="43"/>
      <c r="R17" s="43"/>
      <c r="S17" s="35">
        <f>-S16/S$12</f>
        <v>9.7233455176371192E-2</v>
      </c>
      <c r="T17" s="43"/>
      <c r="U17" s="43">
        <f t="shared" ref="U17" si="26">-U16/U$12</f>
        <v>9.6523757322462406E-2</v>
      </c>
      <c r="V17" s="43"/>
      <c r="W17" s="35"/>
      <c r="X17" s="35"/>
      <c r="Y17" s="35"/>
      <c r="Z17" s="35"/>
      <c r="AA17" s="35">
        <f>-AA16/AA$12</f>
        <v>0.18986191286649237</v>
      </c>
      <c r="AB17" s="35">
        <f>-AB16/AB$12</f>
        <v>0.14050001021326877</v>
      </c>
      <c r="AC17" s="35">
        <f>-AC16/AC$12</f>
        <v>0.11713783250937861</v>
      </c>
      <c r="AD17" s="35">
        <f>-AD16/AD$12</f>
        <v>0.10176197464747633</v>
      </c>
      <c r="AE17" s="35"/>
      <c r="AF17" s="35">
        <f>-AF16/AF$12</f>
        <v>9.8841220417759779E-2</v>
      </c>
      <c r="AG17" s="233"/>
      <c r="AH17" s="237">
        <f t="shared" si="3"/>
        <v>-0.11062022777892111</v>
      </c>
      <c r="AI17" s="24">
        <f>((AF17/AA17)^(1/(2025-2021)))-1</f>
        <v>-0.15057495521649722</v>
      </c>
      <c r="AJ17" s="24"/>
      <c r="AL17" s="332">
        <v>9.5000000000000001E-2</v>
      </c>
      <c r="AM17" s="332">
        <v>0.09</v>
      </c>
      <c r="AN17" s="332">
        <v>8.5000000000000006E-2</v>
      </c>
      <c r="AO17" s="332">
        <v>0.08</v>
      </c>
      <c r="AP17" s="332">
        <v>7.4999999999999997E-2</v>
      </c>
      <c r="AQ17" s="332">
        <v>7.0000000000000007E-2</v>
      </c>
      <c r="AR17" s="332">
        <v>6.5000000000000002E-2</v>
      </c>
      <c r="AS17" s="332">
        <v>0.06</v>
      </c>
      <c r="AT17" s="332">
        <v>0.06</v>
      </c>
      <c r="AU17" s="332">
        <v>0.06</v>
      </c>
    </row>
    <row r="18" spans="2:47" ht="12" x14ac:dyDescent="0.2">
      <c r="B18" s="330" t="s">
        <v>534</v>
      </c>
      <c r="C18" s="328"/>
      <c r="D18" s="329"/>
      <c r="E18" s="329"/>
      <c r="F18" s="328"/>
      <c r="G18" s="328"/>
      <c r="H18" s="329"/>
      <c r="I18" s="329"/>
      <c r="J18" s="328"/>
      <c r="K18" s="328"/>
      <c r="L18" s="329"/>
      <c r="M18" s="329"/>
      <c r="N18" s="328"/>
      <c r="O18" s="328"/>
      <c r="P18" s="329"/>
      <c r="Q18" s="329"/>
      <c r="R18" s="329"/>
      <c r="S18" s="331">
        <f>S14+S16</f>
        <v>18292</v>
      </c>
      <c r="T18" s="329"/>
      <c r="U18" s="331">
        <f>U14+U16</f>
        <v>19927</v>
      </c>
      <c r="V18" s="329"/>
      <c r="W18" s="328"/>
      <c r="X18" s="328"/>
      <c r="Y18" s="328"/>
      <c r="Z18" s="328"/>
      <c r="AA18" s="331">
        <f>AA14+AA16</f>
        <v>-18977</v>
      </c>
      <c r="AB18" s="331">
        <f t="shared" ref="AB18:AF18" si="27">AB14+AB16</f>
        <v>-23710</v>
      </c>
      <c r="AC18" s="331">
        <f t="shared" si="27"/>
        <v>-8958</v>
      </c>
      <c r="AD18" s="331">
        <f t="shared" si="27"/>
        <v>44036</v>
      </c>
      <c r="AE18" s="328"/>
      <c r="AF18" s="331">
        <f t="shared" si="27"/>
        <v>72705</v>
      </c>
      <c r="AG18" s="233"/>
      <c r="AH18" s="237">
        <f t="shared" si="3"/>
        <v>-2.4528169839576539</v>
      </c>
      <c r="AI18" s="164"/>
      <c r="AJ18" s="164"/>
      <c r="AL18" s="331">
        <f t="shared" ref="AL18:AU18" si="28">AL14+AL16</f>
        <v>80750</v>
      </c>
      <c r="AM18" s="331">
        <f t="shared" si="28"/>
        <v>111815.00000000003</v>
      </c>
      <c r="AN18" s="331">
        <f t="shared" si="28"/>
        <v>118523.90000000002</v>
      </c>
      <c r="AO18" s="331">
        <f t="shared" si="28"/>
        <v>130106.91750000003</v>
      </c>
      <c r="AP18" s="331">
        <f t="shared" si="28"/>
        <v>141194.28960000002</v>
      </c>
      <c r="AQ18" s="331">
        <f t="shared" si="28"/>
        <v>152225.093475</v>
      </c>
      <c r="AR18" s="331">
        <f t="shared" si="28"/>
        <v>163063.52013042005</v>
      </c>
      <c r="AS18" s="331">
        <f t="shared" si="28"/>
        <v>172721.89786122183</v>
      </c>
      <c r="AT18" s="331">
        <f t="shared" si="28"/>
        <v>176176.33581844624</v>
      </c>
      <c r="AU18" s="331">
        <f t="shared" si="28"/>
        <v>179699.86253481521</v>
      </c>
    </row>
    <row r="19" spans="2:47" s="13" customFormat="1" ht="12" x14ac:dyDescent="0.2">
      <c r="B19" s="324" t="s">
        <v>187</v>
      </c>
      <c r="C19" s="333"/>
      <c r="D19" s="334"/>
      <c r="E19" s="334"/>
      <c r="F19" s="333"/>
      <c r="G19" s="333"/>
      <c r="H19" s="334"/>
      <c r="I19" s="334"/>
      <c r="J19" s="333"/>
      <c r="K19" s="333"/>
      <c r="L19" s="334"/>
      <c r="M19" s="334"/>
      <c r="N19" s="333"/>
      <c r="O19" s="333"/>
      <c r="P19" s="334"/>
      <c r="Q19" s="334"/>
      <c r="R19" s="334"/>
      <c r="S19" s="41">
        <f>S18/S$12</f>
        <v>8.2648436899915509E-2</v>
      </c>
      <c r="T19" s="334"/>
      <c r="U19" s="41">
        <f>U18/U$12</f>
        <v>8.5330238772224315E-2</v>
      </c>
      <c r="V19" s="334"/>
      <c r="W19" s="333"/>
      <c r="X19" s="333"/>
      <c r="Y19" s="333"/>
      <c r="Z19" s="333"/>
      <c r="AA19" s="41">
        <f>AA18/AA$12</f>
        <v>-6.6594143140385656E-2</v>
      </c>
      <c r="AB19" s="41">
        <f t="shared" ref="AB19:AF19" si="29">AB18/AB$12</f>
        <v>-3.7254861908749944E-2</v>
      </c>
      <c r="AC19" s="41">
        <f t="shared" si="29"/>
        <v>-1.2714877599076829E-2</v>
      </c>
      <c r="AD19" s="41">
        <f t="shared" si="29"/>
        <v>5.3990895258693092E-2</v>
      </c>
      <c r="AE19" s="333"/>
      <c r="AF19" s="41">
        <f t="shared" si="29"/>
        <v>8.2500068083406708E-2</v>
      </c>
      <c r="AG19" s="335"/>
      <c r="AH19" s="237">
        <f t="shared" si="3"/>
        <v>-2.3034382147260812</v>
      </c>
      <c r="AI19" s="336"/>
      <c r="AJ19" s="336"/>
      <c r="AK19" s="62"/>
      <c r="AL19" s="41">
        <f t="shared" ref="AL19" si="30">AL18/AL$12</f>
        <v>8.5000000000000006E-2</v>
      </c>
      <c r="AM19" s="41">
        <f t="shared" ref="AM19" si="31">AM18/AM$12</f>
        <v>0.11000000000000001</v>
      </c>
      <c r="AN19" s="41">
        <f t="shared" ref="AN19" si="32">AN18/AN$12</f>
        <v>0.11</v>
      </c>
      <c r="AO19" s="41">
        <f t="shared" ref="AO19" si="33">AO18/AO$12</f>
        <v>0.115</v>
      </c>
      <c r="AP19" s="41">
        <f t="shared" ref="AP19" si="34">AP18/AP$12</f>
        <v>0.11999999999999998</v>
      </c>
      <c r="AQ19" s="41">
        <f t="shared" ref="AQ19" si="35">AQ18/AQ$12</f>
        <v>0.12499999999999997</v>
      </c>
      <c r="AR19" s="41">
        <f t="shared" ref="AR19" si="36">AR18/AR$12</f>
        <v>0.13000000000000003</v>
      </c>
      <c r="AS19" s="41">
        <f t="shared" ref="AS19" si="37">AS18/AS$12</f>
        <v>0.13500000000000001</v>
      </c>
      <c r="AT19" s="41">
        <f t="shared" ref="AT19" si="38">AT18/AT$12</f>
        <v>0.13500000000000001</v>
      </c>
      <c r="AU19" s="41">
        <f t="shared" ref="AU19" si="39">AU18/AU$12</f>
        <v>0.13500000000000004</v>
      </c>
    </row>
    <row r="20" spans="2:47" ht="12" x14ac:dyDescent="0.2">
      <c r="B20" s="2" t="s">
        <v>183</v>
      </c>
      <c r="C20" s="1">
        <v>16369</v>
      </c>
      <c r="D20" s="8">
        <f>30538-C20</f>
        <v>14169</v>
      </c>
      <c r="E20" s="8">
        <f>49043-D20-C20</f>
        <v>18505</v>
      </c>
      <c r="F20" s="5">
        <f>AB20-E20-D20-C20</f>
        <v>28179</v>
      </c>
      <c r="G20" s="1">
        <v>12492</v>
      </c>
      <c r="H20" s="8">
        <f>24312-G20</f>
        <v>11820</v>
      </c>
      <c r="I20" s="8">
        <f>34871-H20-G20</f>
        <v>10559</v>
      </c>
      <c r="J20" s="5">
        <f>AC20-I20-H20-G20</f>
        <v>19149</v>
      </c>
      <c r="K20" s="1">
        <v>11805</v>
      </c>
      <c r="L20" s="8">
        <f>25517-K20</f>
        <v>13712</v>
      </c>
      <c r="M20" s="8">
        <f>39783-L20-K20</f>
        <v>14266</v>
      </c>
      <c r="N20" s="5">
        <f>AD20-M20-L20-K20</f>
        <v>33499</v>
      </c>
      <c r="O20" s="1">
        <v>23138</v>
      </c>
      <c r="P20" s="8">
        <f>36460-O20</f>
        <v>13322</v>
      </c>
      <c r="Q20" s="8"/>
      <c r="R20" s="8"/>
      <c r="S20" s="1">
        <v>23138</v>
      </c>
      <c r="T20" s="8"/>
      <c r="U20" s="1">
        <v>8121</v>
      </c>
      <c r="V20" s="8"/>
      <c r="W20" s="1"/>
      <c r="X20" s="1"/>
      <c r="Y20" s="1"/>
      <c r="Z20" s="1"/>
      <c r="AA20" s="1">
        <v>100787</v>
      </c>
      <c r="AB20" s="1">
        <v>77222</v>
      </c>
      <c r="AC20" s="1">
        <v>54020</v>
      </c>
      <c r="AD20" s="1">
        <v>73282</v>
      </c>
      <c r="AE20" s="1"/>
      <c r="AF20" s="1">
        <v>68161</v>
      </c>
      <c r="AG20" s="233"/>
      <c r="AH20" s="237">
        <f t="shared" si="3"/>
        <v>-4.0750379602784381E-2</v>
      </c>
      <c r="AI20" s="24">
        <f>((AF20/AA20)^(1/(2025-2021)))-1</f>
        <v>-9.3155426033779798E-2</v>
      </c>
      <c r="AJ20" s="24"/>
      <c r="AL20" s="94">
        <f>AL21*AL12</f>
        <v>66500</v>
      </c>
      <c r="AM20" s="94">
        <f t="shared" ref="AM20:AU20" si="40">AM21*AM12</f>
        <v>71155.000000000015</v>
      </c>
      <c r="AN20" s="94">
        <f t="shared" si="40"/>
        <v>75424.300000000017</v>
      </c>
      <c r="AO20" s="94">
        <f t="shared" si="40"/>
        <v>79195.515000000029</v>
      </c>
      <c r="AP20" s="94">
        <f t="shared" si="40"/>
        <v>82363.335600000035</v>
      </c>
      <c r="AQ20" s="94">
        <f t="shared" si="40"/>
        <v>85246.052346000026</v>
      </c>
      <c r="AR20" s="94">
        <f t="shared" si="40"/>
        <v>87803.433916380018</v>
      </c>
      <c r="AS20" s="94">
        <f t="shared" si="40"/>
        <v>89559.502594707621</v>
      </c>
      <c r="AT20" s="94">
        <f t="shared" si="40"/>
        <v>91350.692646601761</v>
      </c>
      <c r="AU20" s="94">
        <f t="shared" si="40"/>
        <v>93177.706499533801</v>
      </c>
    </row>
    <row r="21" spans="2:47" ht="12" x14ac:dyDescent="0.2">
      <c r="B21" s="6" t="s">
        <v>536</v>
      </c>
      <c r="C21" s="35">
        <f t="shared" ref="C21:P21" si="41">C20/C$12</f>
        <v>0.18212668424624764</v>
      </c>
      <c r="D21" s="43">
        <f t="shared" si="41"/>
        <v>8.4525442939807904E-2</v>
      </c>
      <c r="E21" s="43">
        <f t="shared" si="41"/>
        <v>0.10495420128746845</v>
      </c>
      <c r="F21" s="35">
        <f t="shared" si="41"/>
        <v>0.13908343821722069</v>
      </c>
      <c r="G21" s="35">
        <f t="shared" si="41"/>
        <v>7.4910050371791798E-2</v>
      </c>
      <c r="H21" s="43">
        <f t="shared" si="41"/>
        <v>7.1222410354364635E-2</v>
      </c>
      <c r="I21" s="43">
        <f t="shared" si="41"/>
        <v>6.3986958998412294E-2</v>
      </c>
      <c r="J21" s="35">
        <f t="shared" si="41"/>
        <v>9.2600294015242363E-2</v>
      </c>
      <c r="K21" s="35">
        <f t="shared" si="41"/>
        <v>5.6816814504290741E-2</v>
      </c>
      <c r="L21" s="43">
        <f t="shared" si="41"/>
        <v>6.8148722459954181E-2</v>
      </c>
      <c r="M21" s="43">
        <f t="shared" si="41"/>
        <v>7.0268592904182331E-2</v>
      </c>
      <c r="N21" s="35">
        <f t="shared" si="41"/>
        <v>0.16451885393236354</v>
      </c>
      <c r="O21" s="35">
        <f>O20/O$12</f>
        <v>0.10454403744753143</v>
      </c>
      <c r="P21" s="43">
        <f t="shared" si="41"/>
        <v>6.3869977946111808E-2</v>
      </c>
      <c r="Q21" s="43"/>
      <c r="R21" s="43"/>
      <c r="S21" s="35">
        <f>S20/S$12</f>
        <v>0.10454403744753143</v>
      </c>
      <c r="T21" s="43"/>
      <c r="U21" s="35">
        <f>U20/U$12</f>
        <v>3.4775273200644032E-2</v>
      </c>
      <c r="V21" s="43"/>
      <c r="W21" s="35"/>
      <c r="X21" s="35"/>
      <c r="Y21" s="35"/>
      <c r="Z21" s="35"/>
      <c r="AA21" s="35">
        <f>AA20/AA$12</f>
        <v>0.3536820311266296</v>
      </c>
      <c r="AB21" s="35">
        <f>AB20/AB$12</f>
        <v>0.12133677546678566</v>
      </c>
      <c r="AC21" s="35">
        <f>AC20/AC$12</f>
        <v>7.6675339127275102E-2</v>
      </c>
      <c r="AD21" s="35">
        <f>AD20/AD$12</f>
        <v>8.9848323788435533E-2</v>
      </c>
      <c r="AE21" s="35"/>
      <c r="AF21" s="35">
        <f>AF20/AF$12</f>
        <v>7.7343884748409114E-2</v>
      </c>
      <c r="AG21" s="233"/>
      <c r="AH21" s="237">
        <f t="shared" si="3"/>
        <v>-0.13938050938722935</v>
      </c>
      <c r="AI21" s="24">
        <f>((AF21/AA21)^(1/(2025-2021)))-1</f>
        <v>-0.31616197467575646</v>
      </c>
      <c r="AJ21" s="24"/>
      <c r="AL21" s="332">
        <v>7.0000000000000007E-2</v>
      </c>
      <c r="AM21" s="332">
        <v>7.0000000000000007E-2</v>
      </c>
      <c r="AN21" s="332">
        <v>7.0000000000000007E-2</v>
      </c>
      <c r="AO21" s="332">
        <v>7.0000000000000007E-2</v>
      </c>
      <c r="AP21" s="332">
        <v>7.0000000000000007E-2</v>
      </c>
      <c r="AQ21" s="332">
        <v>7.0000000000000007E-2</v>
      </c>
      <c r="AR21" s="332">
        <v>7.0000000000000007E-2</v>
      </c>
      <c r="AS21" s="332">
        <v>7.0000000000000007E-2</v>
      </c>
      <c r="AT21" s="332">
        <v>7.0000000000000007E-2</v>
      </c>
      <c r="AU21" s="332">
        <v>7.0000000000000007E-2</v>
      </c>
    </row>
    <row r="22" spans="2:47" ht="12" hidden="1" outlineLevel="1" x14ac:dyDescent="0.2">
      <c r="B22" s="99" t="s">
        <v>326</v>
      </c>
      <c r="C22" s="100"/>
      <c r="D22" s="101"/>
      <c r="E22" s="101"/>
      <c r="F22" s="100"/>
      <c r="G22" s="100"/>
      <c r="H22" s="101"/>
      <c r="I22" s="101"/>
      <c r="J22" s="100"/>
      <c r="K22" s="100"/>
      <c r="L22" s="101"/>
      <c r="M22" s="101"/>
      <c r="N22" s="100"/>
      <c r="O22" s="100"/>
      <c r="P22" s="101"/>
      <c r="Q22" s="101"/>
      <c r="R22" s="101"/>
      <c r="S22" s="100"/>
      <c r="T22" s="101"/>
      <c r="U22" s="100"/>
      <c r="V22" s="101"/>
      <c r="W22" s="100"/>
      <c r="X22" s="100"/>
      <c r="Y22" s="100"/>
      <c r="Z22" s="100"/>
      <c r="AA22" s="100"/>
      <c r="AB22" s="100"/>
      <c r="AC22" s="100"/>
      <c r="AD22" s="100"/>
      <c r="AE22" s="100"/>
      <c r="AF22" s="102">
        <v>10</v>
      </c>
      <c r="AG22" s="233"/>
      <c r="AH22" s="237" t="str">
        <f t="shared" si="3"/>
        <v/>
      </c>
      <c r="AI22" s="234"/>
      <c r="AJ22" s="234"/>
    </row>
    <row r="23" spans="2:47" ht="12" hidden="1" outlineLevel="1" x14ac:dyDescent="0.2">
      <c r="B23" s="2" t="s">
        <v>327</v>
      </c>
      <c r="C23" s="35"/>
      <c r="D23" s="43"/>
      <c r="E23" s="43"/>
      <c r="F23" s="35"/>
      <c r="G23" s="35"/>
      <c r="H23" s="43"/>
      <c r="I23" s="43"/>
      <c r="J23" s="35"/>
      <c r="K23" s="35"/>
      <c r="L23" s="43"/>
      <c r="M23" s="43"/>
      <c r="N23" s="35"/>
      <c r="O23" s="35"/>
      <c r="P23" s="43"/>
      <c r="Q23" s="43"/>
      <c r="R23" s="43"/>
      <c r="S23" s="35"/>
      <c r="T23" s="43"/>
      <c r="U23" s="35"/>
      <c r="V23" s="43"/>
      <c r="W23" s="35"/>
      <c r="X23" s="35"/>
      <c r="Y23" s="35"/>
      <c r="Z23" s="35"/>
      <c r="AA23" s="35"/>
      <c r="AB23" s="35"/>
      <c r="AC23" s="35"/>
      <c r="AD23" s="35"/>
      <c r="AE23" s="35"/>
      <c r="AF23" s="19">
        <f>AF14*AF22</f>
        <v>1598110</v>
      </c>
      <c r="AG23" s="233"/>
      <c r="AH23" s="237" t="str">
        <f t="shared" si="3"/>
        <v/>
      </c>
      <c r="AI23" s="19"/>
      <c r="AJ23" s="19"/>
    </row>
    <row r="24" spans="2:47" ht="12" outlineLevel="1" x14ac:dyDescent="0.2">
      <c r="B24" s="2" t="s">
        <v>546</v>
      </c>
      <c r="C24" s="35"/>
      <c r="D24" s="43"/>
      <c r="E24" s="43"/>
      <c r="F24" s="35"/>
      <c r="G24" s="35"/>
      <c r="H24" s="43"/>
      <c r="I24" s="43"/>
      <c r="J24" s="35"/>
      <c r="K24" s="35"/>
      <c r="L24" s="43"/>
      <c r="M24" s="43"/>
      <c r="N24" s="35"/>
      <c r="O24" s="35"/>
      <c r="P24" s="43"/>
      <c r="Q24" s="43"/>
      <c r="R24" s="43"/>
      <c r="S24" s="35"/>
      <c r="T24" s="43"/>
      <c r="U24" s="35"/>
      <c r="V24" s="43"/>
      <c r="W24" s="35"/>
      <c r="X24" s="35"/>
      <c r="Y24" s="35"/>
      <c r="Z24" s="35"/>
      <c r="AA24" s="19">
        <f>+V20+W20+X20+Y20+AA20</f>
        <v>100787</v>
      </c>
      <c r="AB24" s="19">
        <f>+W20+X20+Y20+AA20+AB20</f>
        <v>178009</v>
      </c>
      <c r="AC24" s="19">
        <f>+X20+Y20+AA20+AB20+AC20</f>
        <v>232029</v>
      </c>
      <c r="AD24" s="19">
        <f>+Y20+AC20+AA20+AB20+AD20</f>
        <v>305311</v>
      </c>
      <c r="AE24" s="35"/>
      <c r="AF24" s="19">
        <f>+AA20+AB20+AC20+AD20+AF20</f>
        <v>373472</v>
      </c>
      <c r="AG24" s="233"/>
      <c r="AH24" s="237"/>
      <c r="AI24" s="19"/>
      <c r="AJ24" s="19"/>
    </row>
    <row r="25" spans="2:47" ht="12" outlineLevel="1" x14ac:dyDescent="0.2">
      <c r="B25" s="2" t="s">
        <v>547</v>
      </c>
      <c r="C25" s="35"/>
      <c r="D25" s="43"/>
      <c r="E25" s="43"/>
      <c r="F25" s="35"/>
      <c r="G25" s="35"/>
      <c r="H25" s="43"/>
      <c r="I25" s="43"/>
      <c r="J25" s="35"/>
      <c r="K25" s="35"/>
      <c r="L25" s="43"/>
      <c r="M25" s="43"/>
      <c r="N25" s="35"/>
      <c r="O25" s="35"/>
      <c r="P25" s="43"/>
      <c r="Q25" s="43"/>
      <c r="R25" s="43"/>
      <c r="S25" s="35"/>
      <c r="T25" s="43"/>
      <c r="U25" s="35"/>
      <c r="V25" s="43"/>
      <c r="W25" s="35"/>
      <c r="X25" s="35"/>
      <c r="Y25" s="35"/>
      <c r="Z25" s="35"/>
      <c r="AA25" s="24">
        <f>AA14/AA24</f>
        <v>0.34852709178763136</v>
      </c>
      <c r="AB25" s="24">
        <f>AB14/AB24</f>
        <v>0.36912740367060093</v>
      </c>
      <c r="AC25" s="24">
        <f>AC14/AC24</f>
        <v>0.3170681251050515</v>
      </c>
      <c r="AD25" s="24">
        <f>AD14/AD24</f>
        <v>0.41608392753618439</v>
      </c>
      <c r="AE25" s="35"/>
      <c r="AF25" s="24">
        <f>AF14/AF24</f>
        <v>0.42790624196726929</v>
      </c>
      <c r="AG25" s="233"/>
      <c r="AH25" s="237"/>
      <c r="AI25" s="19"/>
      <c r="AJ25" s="19"/>
      <c r="AM25" s="5">
        <f>AF10-AB10</f>
        <v>245749</v>
      </c>
    </row>
    <row r="26" spans="2:47" ht="12" outlineLevel="1" x14ac:dyDescent="0.2">
      <c r="B26" s="2" t="s">
        <v>661</v>
      </c>
      <c r="C26" s="35"/>
      <c r="D26" s="43"/>
      <c r="E26" s="43"/>
      <c r="F26" s="35"/>
      <c r="G26" s="35"/>
      <c r="H26" s="43"/>
      <c r="I26" s="43"/>
      <c r="J26" s="35"/>
      <c r="K26" s="35"/>
      <c r="L26" s="43"/>
      <c r="M26" s="43"/>
      <c r="N26" s="35"/>
      <c r="O26" s="35"/>
      <c r="P26" s="43"/>
      <c r="Q26" s="43"/>
      <c r="R26" s="43"/>
      <c r="S26" s="35"/>
      <c r="T26" s="43"/>
      <c r="U26" s="35"/>
      <c r="V26" s="43"/>
      <c r="W26" s="35"/>
      <c r="X26" s="35"/>
      <c r="Y26" s="35"/>
      <c r="Z26" s="35"/>
      <c r="AA26" s="24"/>
      <c r="AB26" s="203">
        <f>AB18-AA18</f>
        <v>-4733</v>
      </c>
      <c r="AC26" s="203">
        <f t="shared" ref="AC26:AD26" si="42">AC18-AB18</f>
        <v>14752</v>
      </c>
      <c r="AD26" s="203">
        <f t="shared" si="42"/>
        <v>52994</v>
      </c>
      <c r="AE26" s="35"/>
      <c r="AF26" s="203">
        <f>AF18-AD18</f>
        <v>28669</v>
      </c>
      <c r="AG26" s="233"/>
      <c r="AH26" s="237"/>
      <c r="AI26" s="19"/>
      <c r="AJ26" s="19"/>
      <c r="AL26" s="5">
        <f>AF18-AA18</f>
        <v>91682</v>
      </c>
      <c r="AM26" s="5">
        <f>AF18-AB18</f>
        <v>96415</v>
      </c>
    </row>
    <row r="27" spans="2:47" ht="12" outlineLevel="1" x14ac:dyDescent="0.2">
      <c r="B27" s="2" t="s">
        <v>662</v>
      </c>
      <c r="C27" s="35"/>
      <c r="D27" s="43"/>
      <c r="E27" s="43"/>
      <c r="F27" s="35"/>
      <c r="G27" s="35"/>
      <c r="H27" s="43"/>
      <c r="I27" s="43"/>
      <c r="J27" s="35"/>
      <c r="K27" s="35"/>
      <c r="L27" s="43"/>
      <c r="M27" s="43"/>
      <c r="N27" s="35"/>
      <c r="O27" s="35"/>
      <c r="P27" s="43"/>
      <c r="Q27" s="43"/>
      <c r="R27" s="43"/>
      <c r="S27" s="35"/>
      <c r="T27" s="43"/>
      <c r="U27" s="35"/>
      <c r="V27" s="43"/>
      <c r="W27" s="35"/>
      <c r="X27" s="35"/>
      <c r="Y27" s="35"/>
      <c r="Z27" s="35"/>
      <c r="AA27" s="24"/>
      <c r="AB27" s="203">
        <f>AB20</f>
        <v>77222</v>
      </c>
      <c r="AC27" s="203">
        <f t="shared" ref="AC27:AF27" si="43">AC20</f>
        <v>54020</v>
      </c>
      <c r="AD27" s="203">
        <f t="shared" si="43"/>
        <v>73282</v>
      </c>
      <c r="AE27" s="35"/>
      <c r="AF27" s="203">
        <f t="shared" si="43"/>
        <v>68161</v>
      </c>
      <c r="AG27" s="233"/>
      <c r="AH27" s="237"/>
      <c r="AI27" s="19"/>
      <c r="AJ27" s="19"/>
      <c r="AL27" s="5">
        <f>AF348-AA348</f>
        <v>139349</v>
      </c>
    </row>
    <row r="28" spans="2:47" ht="12" outlineLevel="1" x14ac:dyDescent="0.2">
      <c r="B28" s="2" t="s">
        <v>663</v>
      </c>
      <c r="C28" s="35"/>
      <c r="D28" s="43"/>
      <c r="E28" s="43"/>
      <c r="F28" s="35"/>
      <c r="G28" s="35"/>
      <c r="H28" s="43"/>
      <c r="I28" s="43"/>
      <c r="J28" s="35"/>
      <c r="K28" s="35"/>
      <c r="L28" s="43"/>
      <c r="M28" s="43"/>
      <c r="N28" s="35"/>
      <c r="O28" s="35"/>
      <c r="P28" s="43"/>
      <c r="Q28" s="43"/>
      <c r="R28" s="43"/>
      <c r="S28" s="35"/>
      <c r="T28" s="43"/>
      <c r="U28" s="35"/>
      <c r="V28" s="43"/>
      <c r="W28" s="35"/>
      <c r="X28" s="35"/>
      <c r="Y28" s="35"/>
      <c r="Z28" s="35"/>
      <c r="AA28" s="24"/>
      <c r="AB28" s="24">
        <f>AB26/AB27</f>
        <v>-6.1290823858485922E-2</v>
      </c>
      <c r="AC28" s="24">
        <f t="shared" ref="AC28:AF28" si="44">AC26/AC27</f>
        <v>0.27308404294705663</v>
      </c>
      <c r="AD28" s="24">
        <f t="shared" si="44"/>
        <v>0.72315166070795012</v>
      </c>
      <c r="AE28" s="35"/>
      <c r="AF28" s="24">
        <f t="shared" si="44"/>
        <v>0.42060709203210045</v>
      </c>
      <c r="AG28" s="233"/>
      <c r="AH28" s="237"/>
      <c r="AI28" s="19"/>
      <c r="AJ28" s="19"/>
      <c r="AL28" s="24">
        <f t="shared" ref="AL28" si="45">AL26/AL27</f>
        <v>0.6579308068231563</v>
      </c>
    </row>
    <row r="29" spans="2:47" ht="12" outlineLevel="1" x14ac:dyDescent="0.2">
      <c r="C29" s="35"/>
      <c r="D29" s="43"/>
      <c r="E29" s="43"/>
      <c r="F29" s="35"/>
      <c r="G29" s="35"/>
      <c r="H29" s="43"/>
      <c r="I29" s="43"/>
      <c r="J29" s="35"/>
      <c r="K29" s="35"/>
      <c r="L29" s="43"/>
      <c r="M29" s="43"/>
      <c r="N29" s="35"/>
      <c r="O29" s="35"/>
      <c r="P29" s="43"/>
      <c r="Q29" s="43"/>
      <c r="R29" s="43"/>
      <c r="S29" s="35"/>
      <c r="T29" s="43"/>
      <c r="U29" s="35"/>
      <c r="V29" s="43"/>
      <c r="W29" s="35"/>
      <c r="X29" s="35"/>
      <c r="Y29" s="35"/>
      <c r="Z29" s="35"/>
      <c r="AA29" s="24"/>
      <c r="AB29" s="24"/>
      <c r="AC29" s="24"/>
      <c r="AD29" s="24"/>
      <c r="AE29" s="35"/>
      <c r="AF29" s="24"/>
      <c r="AG29" s="233"/>
      <c r="AH29" s="237"/>
      <c r="AI29" s="19"/>
      <c r="AJ29" s="19"/>
    </row>
    <row r="30" spans="2:47" x14ac:dyDescent="0.25">
      <c r="B30" s="70" t="s">
        <v>125</v>
      </c>
      <c r="C30" s="71"/>
      <c r="D30" s="72"/>
      <c r="E30" s="72"/>
      <c r="F30" s="71"/>
      <c r="G30" s="71"/>
      <c r="H30" s="71"/>
      <c r="I30" s="71"/>
      <c r="J30" s="71"/>
      <c r="K30" s="71"/>
      <c r="L30" s="71"/>
      <c r="M30" s="71"/>
      <c r="N30" s="71"/>
      <c r="O30" s="71"/>
      <c r="P30" s="73"/>
      <c r="Q30" s="73"/>
      <c r="R30" s="73"/>
      <c r="S30" s="71"/>
      <c r="T30" s="73"/>
      <c r="U30" s="71"/>
      <c r="V30" s="73"/>
      <c r="W30" s="71"/>
      <c r="X30" s="71"/>
      <c r="Y30" s="71"/>
      <c r="Z30" s="71"/>
      <c r="AA30" s="71"/>
      <c r="AB30" s="71"/>
      <c r="AC30" s="71"/>
      <c r="AD30" s="71"/>
      <c r="AE30" s="71"/>
      <c r="AF30" s="71"/>
      <c r="AG30" s="233"/>
      <c r="AH30" s="71"/>
      <c r="AI30" s="71"/>
      <c r="AJ30" s="71"/>
      <c r="AL30" s="71"/>
      <c r="AM30" s="71"/>
      <c r="AN30" s="71"/>
      <c r="AO30" s="71"/>
      <c r="AP30" s="71"/>
      <c r="AQ30" s="71"/>
      <c r="AR30" s="71"/>
      <c r="AS30" s="71"/>
      <c r="AT30" s="71"/>
      <c r="AU30" s="71"/>
    </row>
    <row r="31" spans="2:47" ht="12" x14ac:dyDescent="0.2">
      <c r="B31" s="9" t="s">
        <v>8</v>
      </c>
      <c r="C31" s="35"/>
      <c r="D31" s="43"/>
      <c r="E31" s="43"/>
      <c r="F31" s="35"/>
      <c r="G31" s="35"/>
      <c r="H31" s="43"/>
      <c r="I31" s="43"/>
      <c r="J31" s="35"/>
      <c r="K31" s="35"/>
      <c r="L31" s="43"/>
      <c r="M31" s="43"/>
      <c r="N31" s="35"/>
      <c r="O31" s="1">
        <v>17068</v>
      </c>
      <c r="P31" s="43"/>
      <c r="Q31" s="43"/>
      <c r="R31" s="43"/>
      <c r="S31" s="1">
        <v>17068</v>
      </c>
      <c r="T31" s="43"/>
      <c r="U31" s="1">
        <v>14664</v>
      </c>
      <c r="V31" s="43"/>
      <c r="W31" s="35"/>
      <c r="X31" s="35"/>
      <c r="Y31" s="35"/>
      <c r="Z31" s="35"/>
      <c r="AA31" s="35"/>
      <c r="AB31" s="35"/>
      <c r="AC31" s="35"/>
      <c r="AD31" s="1">
        <v>36959</v>
      </c>
      <c r="AE31" s="1"/>
      <c r="AF31" s="1">
        <v>98060</v>
      </c>
      <c r="AG31" s="233"/>
      <c r="AH31" s="237" t="str">
        <f t="shared" si="3"/>
        <v/>
      </c>
      <c r="AL31" s="5">
        <v>100000</v>
      </c>
      <c r="AM31" s="5">
        <f>AL31</f>
        <v>100000</v>
      </c>
      <c r="AN31" s="5">
        <f t="shared" ref="AN31:AP31" si="46">AM31</f>
        <v>100000</v>
      </c>
      <c r="AO31" s="5">
        <f t="shared" si="46"/>
        <v>100000</v>
      </c>
      <c r="AP31" s="5">
        <f t="shared" si="46"/>
        <v>100000</v>
      </c>
      <c r="AQ31" s="5">
        <f t="shared" ref="AQ31" si="47">AP31</f>
        <v>100000</v>
      </c>
      <c r="AR31" s="5">
        <f t="shared" ref="AR31" si="48">AQ31</f>
        <v>100000</v>
      </c>
      <c r="AS31" s="5">
        <f t="shared" ref="AS31" si="49">AR31</f>
        <v>100000</v>
      </c>
      <c r="AT31" s="5">
        <f t="shared" ref="AT31" si="50">AS31</f>
        <v>100000</v>
      </c>
      <c r="AU31" s="5">
        <f t="shared" ref="AU31" si="51">AT31</f>
        <v>100000</v>
      </c>
    </row>
    <row r="32" spans="2:47" ht="14.25" x14ac:dyDescent="0.35">
      <c r="B32" s="6" t="s">
        <v>180</v>
      </c>
      <c r="C32" s="35"/>
      <c r="D32" s="43"/>
      <c r="E32" s="43"/>
      <c r="F32" s="35"/>
      <c r="G32" s="35"/>
      <c r="H32" s="43"/>
      <c r="I32" s="43"/>
      <c r="J32" s="35"/>
      <c r="K32" s="35"/>
      <c r="L32" s="43"/>
      <c r="M32" s="43"/>
      <c r="N32" s="35"/>
      <c r="O32" s="39">
        <v>0</v>
      </c>
      <c r="P32" s="43"/>
      <c r="Q32" s="43"/>
      <c r="R32" s="43"/>
      <c r="S32" s="39">
        <v>0</v>
      </c>
      <c r="T32" s="43"/>
      <c r="U32" s="39">
        <v>0</v>
      </c>
      <c r="V32" s="43"/>
      <c r="W32" s="35"/>
      <c r="X32" s="35"/>
      <c r="Y32" s="35"/>
      <c r="Z32" s="35"/>
      <c r="AA32" s="35"/>
      <c r="AB32" s="35"/>
      <c r="AC32" s="35"/>
      <c r="AD32" s="3">
        <v>0</v>
      </c>
      <c r="AE32" s="3"/>
      <c r="AF32" s="3">
        <v>10</v>
      </c>
      <c r="AG32" s="269"/>
      <c r="AH32" s="237" t="str">
        <f t="shared" si="3"/>
        <v/>
      </c>
      <c r="AL32" s="3">
        <v>0</v>
      </c>
      <c r="AM32" s="3">
        <v>0</v>
      </c>
      <c r="AN32" s="3">
        <v>0</v>
      </c>
      <c r="AO32" s="3">
        <v>0</v>
      </c>
      <c r="AP32" s="3">
        <v>0</v>
      </c>
      <c r="AQ32" s="3">
        <v>0</v>
      </c>
      <c r="AR32" s="3">
        <v>0</v>
      </c>
      <c r="AS32" s="3">
        <v>0</v>
      </c>
      <c r="AT32" s="3">
        <v>0</v>
      </c>
      <c r="AU32" s="3">
        <v>0</v>
      </c>
    </row>
    <row r="33" spans="2:47" ht="12" x14ac:dyDescent="0.2">
      <c r="B33" s="2" t="s">
        <v>185</v>
      </c>
      <c r="C33" s="35"/>
      <c r="D33" s="43"/>
      <c r="E33" s="43"/>
      <c r="F33" s="35"/>
      <c r="G33" s="35"/>
      <c r="H33" s="43"/>
      <c r="I33" s="43"/>
      <c r="J33" s="35"/>
      <c r="K33" s="35"/>
      <c r="L33" s="43"/>
      <c r="M33" s="43"/>
      <c r="N33" s="35"/>
      <c r="O33" s="92">
        <f>+O31+O32</f>
        <v>17068</v>
      </c>
      <c r="P33" s="43"/>
      <c r="Q33" s="43"/>
      <c r="R33" s="43"/>
      <c r="S33" s="92">
        <f>+S31+S32</f>
        <v>17068</v>
      </c>
      <c r="T33" s="43"/>
      <c r="U33" s="92">
        <f>+U31+U32</f>
        <v>14664</v>
      </c>
      <c r="V33" s="43"/>
      <c r="W33" s="35"/>
      <c r="X33" s="35"/>
      <c r="Y33" s="35"/>
      <c r="Z33" s="35"/>
      <c r="AA33" s="35"/>
      <c r="AB33" s="35"/>
      <c r="AC33" s="35"/>
      <c r="AD33" s="5">
        <f>AD32+AD31</f>
        <v>36959</v>
      </c>
      <c r="AE33" s="5"/>
      <c r="AF33" s="5">
        <f>AF32+AF31</f>
        <v>98070</v>
      </c>
      <c r="AG33" s="5"/>
      <c r="AH33" s="237" t="str">
        <f t="shared" si="3"/>
        <v/>
      </c>
      <c r="AL33" s="5">
        <v>100000</v>
      </c>
      <c r="AM33" s="94">
        <f>AL33*(1+AM34)</f>
        <v>102499.99999999999</v>
      </c>
      <c r="AN33" s="94">
        <f t="shared" ref="AN33" si="52">AM33*(1+AN34)</f>
        <v>105062.49999999997</v>
      </c>
      <c r="AO33" s="94">
        <f t="shared" ref="AO33" si="53">AN33*(1+AO34)</f>
        <v>107689.06249999996</v>
      </c>
      <c r="AP33" s="94">
        <f t="shared" ref="AP33" si="54">AO33*(1+AP34)</f>
        <v>110381.28906249994</v>
      </c>
      <c r="AQ33" s="94">
        <f t="shared" ref="AQ33" si="55">AP33*(1+AQ34)</f>
        <v>113140.82128906243</v>
      </c>
      <c r="AR33" s="94">
        <f t="shared" ref="AR33" si="56">AQ33*(1+AR34)</f>
        <v>115969.34182128898</v>
      </c>
      <c r="AS33" s="94">
        <f t="shared" ref="AS33" si="57">AR33*(1+AS34)</f>
        <v>118288.72865771476</v>
      </c>
      <c r="AT33" s="94">
        <f t="shared" ref="AT33" si="58">AS33*(1+AT34)</f>
        <v>120654.50323086906</v>
      </c>
      <c r="AU33" s="94">
        <f t="shared" ref="AU33" si="59">AT33*(1+AU34)</f>
        <v>123067.59329548644</v>
      </c>
    </row>
    <row r="34" spans="2:47" ht="12" x14ac:dyDescent="0.2">
      <c r="B34" s="6" t="s">
        <v>319</v>
      </c>
      <c r="C34" s="35"/>
      <c r="D34" s="43"/>
      <c r="E34" s="43"/>
      <c r="F34" s="35"/>
      <c r="G34" s="35"/>
      <c r="H34" s="43"/>
      <c r="I34" s="43"/>
      <c r="J34" s="35"/>
      <c r="K34" s="35"/>
      <c r="L34" s="43"/>
      <c r="M34" s="43"/>
      <c r="N34" s="35"/>
      <c r="O34" s="24"/>
      <c r="P34" s="43"/>
      <c r="Q34" s="43"/>
      <c r="R34" s="43"/>
      <c r="S34" s="24"/>
      <c r="T34" s="43"/>
      <c r="U34" s="24">
        <f>U33/S33-1</f>
        <v>-0.14084837122099836</v>
      </c>
      <c r="V34" s="43"/>
      <c r="W34" s="35"/>
      <c r="X34" s="35"/>
      <c r="Y34" s="35"/>
      <c r="Z34" s="35"/>
      <c r="AA34" s="35"/>
      <c r="AB34" s="35"/>
      <c r="AC34" s="35"/>
      <c r="AD34" s="35" t="e">
        <f t="shared" ref="AD34" si="60">AD31/AC31-1</f>
        <v>#DIV/0!</v>
      </c>
      <c r="AE34" s="35"/>
      <c r="AF34" s="35" t="s">
        <v>400</v>
      </c>
      <c r="AG34" s="112"/>
      <c r="AH34" s="237" t="str">
        <f t="shared" si="3"/>
        <v/>
      </c>
      <c r="AL34" s="35">
        <f>AL33/AF33-1</f>
        <v>1.9679820536351533E-2</v>
      </c>
      <c r="AM34" s="332">
        <v>2.5000000000000001E-2</v>
      </c>
      <c r="AN34" s="332">
        <v>2.5000000000000001E-2</v>
      </c>
      <c r="AO34" s="332">
        <v>2.5000000000000001E-2</v>
      </c>
      <c r="AP34" s="332">
        <v>2.5000000000000001E-2</v>
      </c>
      <c r="AQ34" s="332">
        <v>2.5000000000000001E-2</v>
      </c>
      <c r="AR34" s="332">
        <v>2.5000000000000001E-2</v>
      </c>
      <c r="AS34" s="332">
        <v>0.02</v>
      </c>
      <c r="AT34" s="332">
        <v>0.02</v>
      </c>
      <c r="AU34" s="332">
        <v>0.02</v>
      </c>
    </row>
    <row r="35" spans="2:47" ht="12" x14ac:dyDescent="0.2">
      <c r="B35" s="2" t="s">
        <v>181</v>
      </c>
      <c r="C35" s="35"/>
      <c r="D35" s="43"/>
      <c r="E35" s="43"/>
      <c r="F35" s="35"/>
      <c r="G35" s="35"/>
      <c r="H35" s="43"/>
      <c r="I35" s="43"/>
      <c r="J35" s="35"/>
      <c r="K35" s="35"/>
      <c r="L35" s="43"/>
      <c r="M35" s="43"/>
      <c r="N35" s="35"/>
      <c r="O35" s="1">
        <v>617</v>
      </c>
      <c r="P35" s="43"/>
      <c r="Q35" s="43"/>
      <c r="R35" s="43"/>
      <c r="S35" s="1">
        <v>617</v>
      </c>
      <c r="T35" s="43"/>
      <c r="U35" s="1">
        <v>-558</v>
      </c>
      <c r="V35" s="43"/>
      <c r="W35" s="35"/>
      <c r="X35" s="35"/>
      <c r="Y35" s="35"/>
      <c r="Z35" s="35"/>
      <c r="AA35" s="35"/>
      <c r="AB35" s="35"/>
      <c r="AC35" s="35"/>
      <c r="AD35" s="1">
        <v>4042</v>
      </c>
      <c r="AE35" s="1"/>
      <c r="AF35" s="1">
        <v>9139</v>
      </c>
      <c r="AG35" s="236"/>
      <c r="AH35" s="237" t="str">
        <f t="shared" si="3"/>
        <v/>
      </c>
      <c r="AL35" s="290">
        <f>AL33*AL36</f>
        <v>9000</v>
      </c>
      <c r="AM35" s="290">
        <f>AM33*AM36</f>
        <v>10250</v>
      </c>
      <c r="AN35" s="290">
        <f t="shared" ref="AN35:AP35" si="61">AN33*AN36</f>
        <v>10506.249999999998</v>
      </c>
      <c r="AO35" s="290">
        <f t="shared" si="61"/>
        <v>10768.906249999996</v>
      </c>
      <c r="AP35" s="290">
        <f t="shared" si="61"/>
        <v>11038.128906249995</v>
      </c>
      <c r="AQ35" s="290">
        <f t="shared" ref="AQ35" si="62">AQ33*AQ36</f>
        <v>11314.082128906244</v>
      </c>
      <c r="AR35" s="290">
        <f t="shared" ref="AR35" si="63">AR33*AR36</f>
        <v>11596.934182128898</v>
      </c>
      <c r="AS35" s="290">
        <f t="shared" ref="AS35" si="64">AS33*AS36</f>
        <v>11828.872865771476</v>
      </c>
      <c r="AT35" s="290">
        <f t="shared" ref="AT35" si="65">AT33*AT36</f>
        <v>12065.450323086907</v>
      </c>
      <c r="AU35" s="290">
        <f t="shared" ref="AU35" si="66">AU33*AU36</f>
        <v>12306.759329548644</v>
      </c>
    </row>
    <row r="36" spans="2:47" ht="12" x14ac:dyDescent="0.2">
      <c r="B36" s="6" t="s">
        <v>536</v>
      </c>
      <c r="C36" s="35"/>
      <c r="D36" s="43"/>
      <c r="E36" s="43"/>
      <c r="F36" s="35"/>
      <c r="G36" s="35"/>
      <c r="H36" s="43"/>
      <c r="I36" s="43"/>
      <c r="J36" s="35"/>
      <c r="K36" s="35"/>
      <c r="L36" s="43"/>
      <c r="M36" s="43"/>
      <c r="N36" s="35"/>
      <c r="O36" s="41">
        <f>O35/O33</f>
        <v>3.6149519568783692E-2</v>
      </c>
      <c r="P36" s="43"/>
      <c r="Q36" s="43"/>
      <c r="R36" s="43"/>
      <c r="S36" s="41">
        <f>S35/S33</f>
        <v>3.6149519568783692E-2</v>
      </c>
      <c r="T36" s="43"/>
      <c r="U36" s="41">
        <f>U35/U33</f>
        <v>-3.8052373158756141E-2</v>
      </c>
      <c r="V36" s="41"/>
      <c r="W36" s="35"/>
      <c r="X36" s="35"/>
      <c r="Y36" s="35"/>
      <c r="Z36" s="35"/>
      <c r="AA36" s="35"/>
      <c r="AB36" s="35"/>
      <c r="AC36" s="35"/>
      <c r="AD36" s="41">
        <f>AD35/AD$33</f>
        <v>0.1093644308558132</v>
      </c>
      <c r="AE36" s="41"/>
      <c r="AF36" s="41">
        <f>AF35/AF$33</f>
        <v>9.3188538798817167E-2</v>
      </c>
      <c r="AG36" s="235"/>
      <c r="AH36" s="237" t="str">
        <f t="shared" si="3"/>
        <v/>
      </c>
      <c r="AL36" s="332">
        <v>0.09</v>
      </c>
      <c r="AM36" s="332">
        <v>0.1</v>
      </c>
      <c r="AN36" s="332">
        <v>0.1</v>
      </c>
      <c r="AO36" s="332">
        <v>0.1</v>
      </c>
      <c r="AP36" s="332">
        <v>0.1</v>
      </c>
      <c r="AQ36" s="332">
        <v>0.1</v>
      </c>
      <c r="AR36" s="332">
        <v>0.1</v>
      </c>
      <c r="AS36" s="332">
        <v>0.1</v>
      </c>
      <c r="AT36" s="332">
        <v>0.1</v>
      </c>
      <c r="AU36" s="332">
        <v>0.1</v>
      </c>
    </row>
    <row r="37" spans="2:47" ht="12" x14ac:dyDescent="0.2">
      <c r="B37" s="2" t="s">
        <v>182</v>
      </c>
      <c r="C37" s="35"/>
      <c r="D37" s="43"/>
      <c r="E37" s="43"/>
      <c r="F37" s="35"/>
      <c r="G37" s="35"/>
      <c r="H37" s="43"/>
      <c r="I37" s="43"/>
      <c r="J37" s="35"/>
      <c r="K37" s="35"/>
      <c r="L37" s="43"/>
      <c r="M37" s="43"/>
      <c r="N37" s="35"/>
      <c r="O37" s="1">
        <v>-1197</v>
      </c>
      <c r="P37" s="43"/>
      <c r="Q37" s="43"/>
      <c r="R37" s="43"/>
      <c r="S37" s="1">
        <v>-1197</v>
      </c>
      <c r="T37" s="43"/>
      <c r="U37" s="1">
        <v>-1049</v>
      </c>
      <c r="V37" s="43"/>
      <c r="W37" s="35"/>
      <c r="X37" s="35"/>
      <c r="Y37" s="35"/>
      <c r="Z37" s="35"/>
      <c r="AA37" s="35"/>
      <c r="AB37" s="35"/>
      <c r="AC37" s="35"/>
      <c r="AD37" s="1">
        <v>-1538</v>
      </c>
      <c r="AE37" s="1"/>
      <c r="AF37" s="1">
        <v>-4054</v>
      </c>
      <c r="AG37" s="236"/>
      <c r="AH37" s="237" t="str">
        <f t="shared" si="3"/>
        <v/>
      </c>
      <c r="AL37" s="94">
        <f>-AL38*AL33</f>
        <v>-4000</v>
      </c>
      <c r="AM37" s="94">
        <f t="shared" ref="AM37:AU37" si="67">-AM38*AM33</f>
        <v>-4099.9999999999991</v>
      </c>
      <c r="AN37" s="94">
        <f t="shared" si="67"/>
        <v>-4202.4999999999991</v>
      </c>
      <c r="AO37" s="94">
        <f t="shared" si="67"/>
        <v>-4307.5624999999982</v>
      </c>
      <c r="AP37" s="94">
        <f t="shared" si="67"/>
        <v>-4415.2515624999978</v>
      </c>
      <c r="AQ37" s="94">
        <f t="shared" si="67"/>
        <v>-4525.6328515624973</v>
      </c>
      <c r="AR37" s="94">
        <f t="shared" si="67"/>
        <v>-4638.7736728515592</v>
      </c>
      <c r="AS37" s="94">
        <f t="shared" si="67"/>
        <v>-4731.5491463085909</v>
      </c>
      <c r="AT37" s="94">
        <f t="shared" si="67"/>
        <v>-4826.1801292347627</v>
      </c>
      <c r="AU37" s="94">
        <f t="shared" si="67"/>
        <v>-4922.703731819458</v>
      </c>
    </row>
    <row r="38" spans="2:47" ht="12" x14ac:dyDescent="0.2">
      <c r="B38" s="6" t="s">
        <v>536</v>
      </c>
      <c r="C38" s="35"/>
      <c r="D38" s="43"/>
      <c r="E38" s="43"/>
      <c r="F38" s="35"/>
      <c r="G38" s="35"/>
      <c r="H38" s="43"/>
      <c r="I38" s="43"/>
      <c r="J38" s="35"/>
      <c r="K38" s="35"/>
      <c r="L38" s="43"/>
      <c r="M38" s="43"/>
      <c r="N38" s="35"/>
      <c r="O38" s="43">
        <f>-O37/O33</f>
        <v>7.013123974689478E-2</v>
      </c>
      <c r="P38" s="43"/>
      <c r="Q38" s="43"/>
      <c r="R38" s="43"/>
      <c r="S38" s="43">
        <f>-S37/S33</f>
        <v>7.013123974689478E-2</v>
      </c>
      <c r="T38" s="43"/>
      <c r="U38" s="43">
        <f>-U37/U33</f>
        <v>7.1535733769776316E-2</v>
      </c>
      <c r="V38" s="43"/>
      <c r="W38" s="35"/>
      <c r="X38" s="35"/>
      <c r="Y38" s="35"/>
      <c r="Z38" s="35"/>
      <c r="AA38" s="35"/>
      <c r="AB38" s="35"/>
      <c r="AC38" s="35"/>
      <c r="AD38" s="35">
        <f>-AD37/AD$33</f>
        <v>4.1613680023810169E-2</v>
      </c>
      <c r="AE38" s="35"/>
      <c r="AF38" s="35">
        <f>-AF37/AF$33</f>
        <v>4.1337819924543696E-2</v>
      </c>
      <c r="AG38" s="112"/>
      <c r="AH38" s="237" t="str">
        <f t="shared" si="3"/>
        <v/>
      </c>
      <c r="AL38" s="332">
        <v>0.04</v>
      </c>
      <c r="AM38" s="332">
        <v>0.04</v>
      </c>
      <c r="AN38" s="332">
        <v>0.04</v>
      </c>
      <c r="AO38" s="332">
        <v>0.04</v>
      </c>
      <c r="AP38" s="332">
        <v>0.04</v>
      </c>
      <c r="AQ38" s="332">
        <v>0.04</v>
      </c>
      <c r="AR38" s="332">
        <v>0.04</v>
      </c>
      <c r="AS38" s="332">
        <v>0.04</v>
      </c>
      <c r="AT38" s="332">
        <v>0.04</v>
      </c>
      <c r="AU38" s="332">
        <v>0.04</v>
      </c>
    </row>
    <row r="39" spans="2:47" ht="12" x14ac:dyDescent="0.2">
      <c r="B39" s="330" t="s">
        <v>534</v>
      </c>
      <c r="C39" s="35"/>
      <c r="D39" s="43"/>
      <c r="E39" s="43"/>
      <c r="F39" s="35"/>
      <c r="G39" s="35"/>
      <c r="H39" s="43"/>
      <c r="I39" s="43"/>
      <c r="J39" s="35"/>
      <c r="K39" s="35"/>
      <c r="L39" s="43"/>
      <c r="M39" s="43"/>
      <c r="N39" s="35"/>
      <c r="O39" s="43"/>
      <c r="P39" s="43"/>
      <c r="Q39" s="43"/>
      <c r="R39" s="43"/>
      <c r="S39" s="43"/>
      <c r="T39" s="43"/>
      <c r="U39" s="43"/>
      <c r="V39" s="43"/>
      <c r="W39" s="35"/>
      <c r="X39" s="35"/>
      <c r="Y39" s="35"/>
      <c r="Z39" s="35"/>
      <c r="AA39" s="35"/>
      <c r="AB39" s="35"/>
      <c r="AC39" s="35"/>
      <c r="AD39" s="35"/>
      <c r="AE39" s="35"/>
      <c r="AF39" s="19">
        <f>AF35-AF37</f>
        <v>13193</v>
      </c>
      <c r="AG39" s="112"/>
      <c r="AH39" s="237"/>
      <c r="AL39" s="332"/>
      <c r="AM39" s="332"/>
      <c r="AN39" s="332"/>
      <c r="AO39" s="332"/>
      <c r="AP39" s="332"/>
      <c r="AQ39" s="332"/>
      <c r="AR39" s="332"/>
      <c r="AS39" s="332"/>
      <c r="AT39" s="332"/>
      <c r="AU39" s="332"/>
    </row>
    <row r="40" spans="2:47" ht="12" x14ac:dyDescent="0.2">
      <c r="B40" s="324" t="s">
        <v>187</v>
      </c>
      <c r="C40" s="35"/>
      <c r="D40" s="43"/>
      <c r="E40" s="43"/>
      <c r="F40" s="35"/>
      <c r="G40" s="35"/>
      <c r="H40" s="43"/>
      <c r="I40" s="43"/>
      <c r="J40" s="35"/>
      <c r="K40" s="35"/>
      <c r="L40" s="43"/>
      <c r="M40" s="43"/>
      <c r="N40" s="35"/>
      <c r="O40" s="43"/>
      <c r="P40" s="43"/>
      <c r="Q40" s="43"/>
      <c r="R40" s="43"/>
      <c r="S40" s="43"/>
      <c r="T40" s="43"/>
      <c r="U40" s="43"/>
      <c r="V40" s="43"/>
      <c r="W40" s="35"/>
      <c r="X40" s="35"/>
      <c r="Y40" s="35"/>
      <c r="Z40" s="35"/>
      <c r="AA40" s="35"/>
      <c r="AB40" s="35"/>
      <c r="AC40" s="35"/>
      <c r="AD40" s="35"/>
      <c r="AE40" s="35"/>
      <c r="AF40" s="35">
        <f>AF39/AF33</f>
        <v>0.13452635872336086</v>
      </c>
      <c r="AG40" s="112"/>
      <c r="AH40" s="237"/>
      <c r="AL40" s="332"/>
      <c r="AM40" s="332"/>
      <c r="AN40" s="332"/>
      <c r="AO40" s="332"/>
      <c r="AP40" s="332"/>
      <c r="AQ40" s="332"/>
      <c r="AR40" s="332"/>
      <c r="AS40" s="332"/>
      <c r="AT40" s="332"/>
      <c r="AU40" s="332"/>
    </row>
    <row r="41" spans="2:47" ht="12" x14ac:dyDescent="0.2">
      <c r="B41" s="2" t="s">
        <v>183</v>
      </c>
      <c r="C41" s="35"/>
      <c r="D41" s="43"/>
      <c r="E41" s="43"/>
      <c r="F41" s="35"/>
      <c r="G41" s="35"/>
      <c r="H41" s="43"/>
      <c r="I41" s="43"/>
      <c r="J41" s="35"/>
      <c r="K41" s="35"/>
      <c r="L41" s="43"/>
      <c r="M41" s="43"/>
      <c r="N41" s="35"/>
      <c r="O41" s="1">
        <v>637</v>
      </c>
      <c r="P41" s="43"/>
      <c r="Q41" s="43"/>
      <c r="R41" s="43"/>
      <c r="S41" s="1">
        <v>637</v>
      </c>
      <c r="T41" s="43"/>
      <c r="U41" s="1">
        <v>553</v>
      </c>
      <c r="V41" s="43"/>
      <c r="W41" s="35"/>
      <c r="X41" s="35"/>
      <c r="Y41" s="35"/>
      <c r="Z41" s="35"/>
      <c r="AA41" s="35"/>
      <c r="AB41" s="35"/>
      <c r="AC41" s="35"/>
      <c r="AD41" s="1">
        <v>1580</v>
      </c>
      <c r="AE41" s="1"/>
      <c r="AF41" s="1">
        <v>1226</v>
      </c>
      <c r="AG41" s="236"/>
      <c r="AH41" s="237" t="str">
        <f t="shared" si="3"/>
        <v/>
      </c>
      <c r="AL41" s="94">
        <f>AL42*AL33</f>
        <v>500</v>
      </c>
      <c r="AM41" s="94">
        <f t="shared" ref="AM41" si="68">AM42*AM33</f>
        <v>512.49999999999989</v>
      </c>
      <c r="AN41" s="94">
        <f t="shared" ref="AN41" si="69">AN42*AN33</f>
        <v>525.31249999999989</v>
      </c>
      <c r="AO41" s="94">
        <f t="shared" ref="AO41" si="70">AO42*AO33</f>
        <v>538.44531249999977</v>
      </c>
      <c r="AP41" s="94">
        <f t="shared" ref="AP41" si="71">AP42*AP33</f>
        <v>551.90644531249973</v>
      </c>
      <c r="AQ41" s="94">
        <f t="shared" ref="AQ41" si="72">AQ42*AQ33</f>
        <v>565.70410644531216</v>
      </c>
      <c r="AR41" s="94">
        <f t="shared" ref="AR41" si="73">AR42*AR33</f>
        <v>579.84670910644491</v>
      </c>
      <c r="AS41" s="94">
        <f t="shared" ref="AS41" si="74">AS42*AS33</f>
        <v>591.44364328857387</v>
      </c>
      <c r="AT41" s="94">
        <f t="shared" ref="AT41" si="75">AT42*AT33</f>
        <v>603.27251615434534</v>
      </c>
      <c r="AU41" s="94">
        <f t="shared" ref="AU41" si="76">AU42*AU33</f>
        <v>615.33796647743225</v>
      </c>
    </row>
    <row r="42" spans="2:47" ht="12" x14ac:dyDescent="0.2">
      <c r="B42" s="6" t="s">
        <v>536</v>
      </c>
      <c r="C42" s="35"/>
      <c r="D42" s="43"/>
      <c r="E42" s="43"/>
      <c r="F42" s="35"/>
      <c r="G42" s="35"/>
      <c r="H42" s="43"/>
      <c r="I42" s="43"/>
      <c r="J42" s="35"/>
      <c r="K42" s="35"/>
      <c r="L42" s="43"/>
      <c r="M42" s="43"/>
      <c r="N42" s="35"/>
      <c r="O42" s="333">
        <f>O41/O33</f>
        <v>3.7321303023201309E-2</v>
      </c>
      <c r="P42" s="43"/>
      <c r="Q42" s="43"/>
      <c r="R42" s="43"/>
      <c r="S42" s="333">
        <f>S41/S33</f>
        <v>3.7321303023201309E-2</v>
      </c>
      <c r="T42" s="43"/>
      <c r="U42" s="333">
        <f>U41/U33</f>
        <v>3.7711402073104201E-2</v>
      </c>
      <c r="V42" s="43"/>
      <c r="W42" s="35"/>
      <c r="X42" s="35"/>
      <c r="Y42" s="35"/>
      <c r="Z42" s="35"/>
      <c r="AA42" s="35"/>
      <c r="AB42" s="35"/>
      <c r="AC42" s="35"/>
      <c r="AD42" s="35">
        <f>AD41/AD$12</f>
        <v>1.9371790014700492E-3</v>
      </c>
      <c r="AE42" s="35"/>
      <c r="AF42" s="35">
        <f>AF41/AF$12</f>
        <v>1.3911709438175729E-3</v>
      </c>
      <c r="AG42" s="112"/>
      <c r="AH42" s="237" t="str">
        <f t="shared" si="3"/>
        <v/>
      </c>
      <c r="AL42" s="332">
        <v>5.0000000000000001E-3</v>
      </c>
      <c r="AM42" s="332">
        <v>5.0000000000000001E-3</v>
      </c>
      <c r="AN42" s="332">
        <v>5.0000000000000001E-3</v>
      </c>
      <c r="AO42" s="332">
        <v>5.0000000000000001E-3</v>
      </c>
      <c r="AP42" s="332">
        <v>5.0000000000000001E-3</v>
      </c>
      <c r="AQ42" s="332">
        <v>5.0000000000000001E-3</v>
      </c>
      <c r="AR42" s="332">
        <v>5.0000000000000001E-3</v>
      </c>
      <c r="AS42" s="332">
        <v>5.0000000000000001E-3</v>
      </c>
      <c r="AT42" s="332">
        <v>5.0000000000000001E-3</v>
      </c>
      <c r="AU42" s="332">
        <v>5.0000000000000001E-3</v>
      </c>
    </row>
    <row r="43" spans="2:47" ht="12" outlineLevel="1" x14ac:dyDescent="0.2">
      <c r="B43" s="103" t="s">
        <v>326</v>
      </c>
      <c r="C43" s="104"/>
      <c r="D43" s="105"/>
      <c r="E43" s="105"/>
      <c r="F43" s="104"/>
      <c r="G43" s="104"/>
      <c r="H43" s="105"/>
      <c r="I43" s="105"/>
      <c r="J43" s="104"/>
      <c r="K43" s="104"/>
      <c r="L43" s="105"/>
      <c r="M43" s="105"/>
      <c r="N43" s="104"/>
      <c r="O43" s="104"/>
      <c r="P43" s="105"/>
      <c r="Q43" s="105"/>
      <c r="R43" s="105"/>
      <c r="S43" s="105"/>
      <c r="T43" s="105"/>
      <c r="U43" s="1"/>
      <c r="V43" s="105"/>
      <c r="W43" s="104"/>
      <c r="X43" s="104"/>
      <c r="Y43" s="104"/>
      <c r="Z43" s="104"/>
      <c r="AA43" s="104"/>
      <c r="AB43" s="104"/>
      <c r="AC43" s="104"/>
      <c r="AD43" s="104"/>
      <c r="AE43" s="104"/>
      <c r="AF43" s="106">
        <v>7.5</v>
      </c>
      <c r="AG43" s="234"/>
      <c r="AH43" s="237" t="str">
        <f t="shared" si="3"/>
        <v/>
      </c>
    </row>
    <row r="44" spans="2:47" ht="12" outlineLevel="1" x14ac:dyDescent="0.2">
      <c r="B44" s="2" t="s">
        <v>327</v>
      </c>
      <c r="C44" s="35"/>
      <c r="D44" s="43"/>
      <c r="E44" s="43"/>
      <c r="F44" s="35"/>
      <c r="G44" s="35"/>
      <c r="H44" s="43"/>
      <c r="I44" s="43"/>
      <c r="J44" s="35"/>
      <c r="K44" s="35"/>
      <c r="L44" s="43"/>
      <c r="M44" s="43"/>
      <c r="N44" s="35"/>
      <c r="O44" s="35"/>
      <c r="P44" s="43"/>
      <c r="Q44" s="43"/>
      <c r="R44" s="43"/>
      <c r="S44" s="43"/>
      <c r="T44" s="43"/>
      <c r="U44" s="35"/>
      <c r="V44" s="43"/>
      <c r="W44" s="35"/>
      <c r="X44" s="35"/>
      <c r="Y44" s="35"/>
      <c r="Z44" s="35"/>
      <c r="AA44" s="35"/>
      <c r="AB44" s="35"/>
      <c r="AC44" s="35"/>
      <c r="AD44" s="35"/>
      <c r="AE44" s="35"/>
      <c r="AF44" s="19">
        <f>AF35*AF43</f>
        <v>68542.5</v>
      </c>
      <c r="AG44" s="234"/>
      <c r="AH44" s="237" t="str">
        <f t="shared" si="3"/>
        <v/>
      </c>
    </row>
    <row r="45" spans="2:47" outlineLevel="1" x14ac:dyDescent="0.25">
      <c r="B45" s="70" t="s">
        <v>184</v>
      </c>
      <c r="C45" s="72"/>
      <c r="D45" s="74"/>
      <c r="E45" s="71"/>
      <c r="F45" s="71"/>
      <c r="G45" s="71"/>
      <c r="H45" s="71"/>
      <c r="I45" s="71"/>
      <c r="J45" s="71"/>
      <c r="K45" s="71"/>
      <c r="L45" s="73"/>
      <c r="M45" s="73"/>
      <c r="N45" s="71"/>
      <c r="O45" s="71"/>
      <c r="P45" s="73"/>
      <c r="Q45" s="73"/>
      <c r="R45" s="73"/>
      <c r="S45" s="73"/>
      <c r="T45" s="73"/>
      <c r="U45" s="71"/>
      <c r="V45" s="73"/>
      <c r="W45" s="72"/>
      <c r="X45" s="72"/>
      <c r="Y45" s="72"/>
      <c r="Z45" s="72"/>
      <c r="AA45" s="72"/>
      <c r="AB45" s="72"/>
      <c r="AC45" s="72"/>
      <c r="AD45" s="72"/>
      <c r="AE45" s="72"/>
      <c r="AF45" s="72"/>
      <c r="AG45" s="234"/>
      <c r="AH45" s="72"/>
      <c r="AI45" s="72"/>
      <c r="AJ45" s="72"/>
      <c r="AL45" s="72"/>
      <c r="AM45" s="72"/>
      <c r="AN45" s="72"/>
      <c r="AO45" s="72"/>
      <c r="AP45" s="72"/>
      <c r="AQ45" s="72"/>
      <c r="AR45" s="72"/>
      <c r="AS45" s="72"/>
      <c r="AT45" s="72"/>
      <c r="AU45" s="72"/>
    </row>
    <row r="46" spans="2:47" ht="12" outlineLevel="1" x14ac:dyDescent="0.2">
      <c r="B46" s="9" t="s">
        <v>8</v>
      </c>
      <c r="C46" s="1">
        <v>45307</v>
      </c>
      <c r="D46" s="8">
        <f>94443-C46</f>
        <v>49136</v>
      </c>
      <c r="E46" s="8">
        <f>140817-D46-C46</f>
        <v>46374</v>
      </c>
      <c r="F46" s="5">
        <f>AB46-E46-D46-C46</f>
        <v>50201</v>
      </c>
      <c r="G46" s="1">
        <v>46930</v>
      </c>
      <c r="H46" s="8">
        <f>89997-G46</f>
        <v>43067</v>
      </c>
      <c r="I46" s="8">
        <f>127413-H46-G46</f>
        <v>37416</v>
      </c>
      <c r="J46" s="5">
        <f>AC46-I46-H46-G46</f>
        <v>38623</v>
      </c>
      <c r="K46" s="1">
        <v>40651</v>
      </c>
      <c r="L46" s="1"/>
      <c r="M46" s="1"/>
      <c r="O46" s="1"/>
      <c r="P46" s="1"/>
      <c r="Q46" s="1"/>
      <c r="R46" s="1"/>
      <c r="S46" s="1"/>
      <c r="T46" s="1"/>
      <c r="U46" s="1"/>
      <c r="V46" s="1"/>
      <c r="W46" s="1"/>
      <c r="X46" s="1"/>
      <c r="Y46" s="1"/>
      <c r="Z46" s="1"/>
      <c r="AA46" s="1">
        <v>122493</v>
      </c>
      <c r="AB46" s="1">
        <v>191018</v>
      </c>
      <c r="AC46" s="1">
        <v>166036</v>
      </c>
      <c r="AD46" s="1"/>
      <c r="AE46" s="1"/>
      <c r="AF46" s="1"/>
      <c r="AG46" s="234"/>
      <c r="AH46" s="237">
        <f t="shared" si="3"/>
        <v>-1</v>
      </c>
    </row>
    <row r="47" spans="2:47" ht="14.25" outlineLevel="1" x14ac:dyDescent="0.35">
      <c r="B47" s="6" t="s">
        <v>180</v>
      </c>
      <c r="C47" s="3">
        <v>85</v>
      </c>
      <c r="D47" s="39">
        <f>163-C47</f>
        <v>78</v>
      </c>
      <c r="E47" s="39">
        <f>0-D47-C47</f>
        <v>-163</v>
      </c>
      <c r="F47" s="17">
        <f>AB47-E47-D47-C47</f>
        <v>204</v>
      </c>
      <c r="G47" s="3">
        <v>224</v>
      </c>
      <c r="H47" s="39">
        <f>310-G47</f>
        <v>86</v>
      </c>
      <c r="I47" s="39">
        <f>513-H47-G47</f>
        <v>203</v>
      </c>
      <c r="J47" s="17">
        <f>AC47-I47-H47-G47</f>
        <v>323</v>
      </c>
      <c r="K47" s="3">
        <v>49</v>
      </c>
      <c r="L47" s="3"/>
      <c r="M47" s="3"/>
      <c r="O47" s="3"/>
      <c r="P47" s="3"/>
      <c r="Q47" s="3"/>
      <c r="R47" s="3"/>
      <c r="S47" s="3"/>
      <c r="T47" s="3"/>
      <c r="U47" s="3"/>
      <c r="V47" s="3"/>
      <c r="W47" s="3"/>
      <c r="X47" s="3"/>
      <c r="Y47" s="3"/>
      <c r="Z47" s="3"/>
      <c r="AA47" s="3">
        <v>1</v>
      </c>
      <c r="AB47" s="3">
        <v>204</v>
      </c>
      <c r="AC47" s="3">
        <v>836</v>
      </c>
      <c r="AD47" s="3"/>
      <c r="AE47" s="3"/>
      <c r="AF47" s="3"/>
      <c r="AG47" s="234"/>
      <c r="AH47" s="237">
        <f t="shared" si="3"/>
        <v>-1</v>
      </c>
    </row>
    <row r="48" spans="2:47" ht="12" outlineLevel="1" x14ac:dyDescent="0.2">
      <c r="B48" s="2" t="s">
        <v>185</v>
      </c>
      <c r="C48" s="5">
        <f t="shared" ref="C48:K48" si="77">C47+C46</f>
        <v>45392</v>
      </c>
      <c r="D48" s="44">
        <f t="shared" si="77"/>
        <v>49214</v>
      </c>
      <c r="E48" s="44">
        <f t="shared" si="77"/>
        <v>46211</v>
      </c>
      <c r="F48" s="5">
        <f t="shared" si="77"/>
        <v>50405</v>
      </c>
      <c r="G48" s="5">
        <f t="shared" si="77"/>
        <v>47154</v>
      </c>
      <c r="H48" s="44">
        <f t="shared" si="77"/>
        <v>43153</v>
      </c>
      <c r="I48" s="44">
        <f t="shared" si="77"/>
        <v>37619</v>
      </c>
      <c r="J48" s="5">
        <f t="shared" si="77"/>
        <v>38946</v>
      </c>
      <c r="K48" s="5">
        <f t="shared" si="77"/>
        <v>40700</v>
      </c>
      <c r="L48" s="5"/>
      <c r="M48" s="5"/>
      <c r="O48" s="5"/>
      <c r="P48" s="5"/>
      <c r="Q48" s="5"/>
      <c r="R48" s="5"/>
      <c r="S48" s="5"/>
      <c r="T48" s="5"/>
      <c r="U48" s="5"/>
      <c r="V48" s="5"/>
      <c r="W48" s="5"/>
      <c r="X48" s="5"/>
      <c r="Y48" s="5"/>
      <c r="Z48" s="5"/>
      <c r="AA48" s="5">
        <f>AA47+AA46</f>
        <v>122494</v>
      </c>
      <c r="AB48" s="5">
        <f t="shared" ref="AB48" si="78">AB47+AB46</f>
        <v>191222</v>
      </c>
      <c r="AC48" s="5">
        <f>AC47+AC46</f>
        <v>166872</v>
      </c>
      <c r="AD48" s="5"/>
      <c r="AE48" s="5"/>
      <c r="AF48" s="5"/>
      <c r="AG48" s="234"/>
      <c r="AH48" s="237">
        <f t="shared" si="3"/>
        <v>-1</v>
      </c>
    </row>
    <row r="49" spans="2:47" ht="12" x14ac:dyDescent="0.2">
      <c r="B49" s="6" t="s">
        <v>319</v>
      </c>
      <c r="C49" s="5"/>
      <c r="D49" s="44"/>
      <c r="E49" s="44"/>
      <c r="F49" s="5"/>
      <c r="G49" s="5"/>
      <c r="H49" s="5"/>
      <c r="I49" s="44"/>
      <c r="J49" s="5"/>
      <c r="K49" s="5"/>
      <c r="L49" s="44"/>
      <c r="M49" s="44"/>
      <c r="N49" s="44"/>
      <c r="O49" s="5"/>
      <c r="P49" s="44"/>
      <c r="Q49" s="44"/>
      <c r="R49" s="44"/>
      <c r="S49" s="5"/>
      <c r="T49" s="44"/>
      <c r="U49" s="24" t="e">
        <f>U48/S48-1</f>
        <v>#DIV/0!</v>
      </c>
      <c r="V49" s="93" t="e">
        <f>V48/AD48-1</f>
        <v>#DIV/0!</v>
      </c>
      <c r="W49" s="5"/>
      <c r="X49" s="5"/>
      <c r="Y49" s="5"/>
      <c r="Z49" s="5"/>
      <c r="AA49" s="5"/>
      <c r="AB49" s="35">
        <f>AB46/AA46-1</f>
        <v>0.55941972194329481</v>
      </c>
      <c r="AC49" s="35">
        <f t="shared" ref="AC49" si="79">AC46/AB46-1</f>
        <v>-0.13078348637301196</v>
      </c>
      <c r="AD49" s="35"/>
      <c r="AE49" s="35"/>
      <c r="AF49" s="35"/>
      <c r="AG49" s="233"/>
      <c r="AH49" s="237">
        <f t="shared" si="3"/>
        <v>-1</v>
      </c>
      <c r="AI49" s="24"/>
      <c r="AJ49" s="24"/>
      <c r="AL49" s="35" t="e">
        <f>AL48/AF48-1</f>
        <v>#DIV/0!</v>
      </c>
      <c r="AM49" s="332">
        <v>7.0000000000000007E-2</v>
      </c>
      <c r="AN49" s="332">
        <v>0.06</v>
      </c>
      <c r="AO49" s="332">
        <v>0.05</v>
      </c>
      <c r="AP49" s="332">
        <v>0.04</v>
      </c>
      <c r="AQ49" s="332">
        <v>3.5000000000000003E-2</v>
      </c>
      <c r="AR49" s="332">
        <v>0.03</v>
      </c>
      <c r="AS49" s="332">
        <v>2.5000000000000001E-2</v>
      </c>
      <c r="AT49" s="332">
        <v>2.5000000000000001E-2</v>
      </c>
      <c r="AU49" s="332">
        <v>2.5000000000000001E-2</v>
      </c>
    </row>
    <row r="50" spans="2:47" ht="12" outlineLevel="1" x14ac:dyDescent="0.2">
      <c r="B50" s="2" t="s">
        <v>181</v>
      </c>
      <c r="C50" s="1">
        <v>4163</v>
      </c>
      <c r="D50" s="8">
        <f>8040-C50</f>
        <v>3877</v>
      </c>
      <c r="E50" s="8">
        <f>12675-D50-C50</f>
        <v>4635</v>
      </c>
      <c r="F50" s="5">
        <f>AB50-E50-D50-C50</f>
        <v>11722</v>
      </c>
      <c r="G50" s="1">
        <v>3296</v>
      </c>
      <c r="H50" s="8">
        <f>7191-G50</f>
        <v>3895</v>
      </c>
      <c r="I50" s="8">
        <f>18280-H50-G50</f>
        <v>11089</v>
      </c>
      <c r="J50" s="5">
        <f>AC50-I50-H50-G50</f>
        <v>7101</v>
      </c>
      <c r="K50" s="1">
        <v>1900</v>
      </c>
      <c r="L50" s="1"/>
      <c r="M50" s="1"/>
      <c r="O50" s="1"/>
      <c r="P50" s="1"/>
      <c r="Q50" s="1"/>
      <c r="R50" s="1"/>
      <c r="S50" s="1"/>
      <c r="T50" s="1"/>
      <c r="U50" s="1"/>
      <c r="V50" s="1"/>
      <c r="W50" s="1"/>
      <c r="X50" s="1"/>
      <c r="Y50" s="1"/>
      <c r="Z50" s="1"/>
      <c r="AA50" s="1">
        <v>8582</v>
      </c>
      <c r="AB50" s="1">
        <v>24397</v>
      </c>
      <c r="AC50" s="1">
        <v>25381</v>
      </c>
      <c r="AD50" s="1"/>
      <c r="AE50" s="1"/>
      <c r="AF50" s="1"/>
      <c r="AG50" s="234"/>
      <c r="AH50" s="237">
        <f t="shared" si="3"/>
        <v>-1</v>
      </c>
    </row>
    <row r="51" spans="2:47" ht="12" outlineLevel="1" x14ac:dyDescent="0.2">
      <c r="B51" s="6" t="s">
        <v>187</v>
      </c>
      <c r="C51" s="41">
        <f>C50/C$12</f>
        <v>4.6318857994815138E-2</v>
      </c>
      <c r="D51" s="42">
        <f>D50/D$48</f>
        <v>7.877839639127078E-2</v>
      </c>
      <c r="E51" s="42">
        <f>E50/E$12</f>
        <v>2.6288177409749595E-2</v>
      </c>
      <c r="F51" s="41">
        <f>F50/F$12</f>
        <v>5.785642012783495E-2</v>
      </c>
      <c r="G51" s="41">
        <f>G50/G$12</f>
        <v>1.9764931638282562E-2</v>
      </c>
      <c r="H51" s="42">
        <f>H50/H$48</f>
        <v>9.0260236831738228E-2</v>
      </c>
      <c r="I51" s="42">
        <f>I50/I$12</f>
        <v>6.71987298355331E-2</v>
      </c>
      <c r="J51" s="41">
        <f>J50/J$12</f>
        <v>3.433885256683044E-2</v>
      </c>
      <c r="K51" s="42">
        <f>K50/K$48</f>
        <v>4.6683046683046681E-2</v>
      </c>
      <c r="L51" s="41"/>
      <c r="M51" s="41"/>
      <c r="O51" s="41"/>
      <c r="P51" s="41"/>
      <c r="Q51" s="41"/>
      <c r="R51" s="41"/>
      <c r="S51" s="41"/>
      <c r="T51" s="41"/>
      <c r="U51" s="41"/>
      <c r="V51" s="41"/>
      <c r="W51" s="41"/>
      <c r="X51" s="41"/>
      <c r="Y51" s="41"/>
      <c r="Z51" s="41"/>
      <c r="AA51" s="41">
        <f>AA50/AA$12</f>
        <v>3.0115979155334864E-2</v>
      </c>
      <c r="AB51" s="41">
        <f>AB50/AB$12</f>
        <v>3.8334325853554299E-2</v>
      </c>
      <c r="AC51" s="41">
        <f>AC50/AC$12</f>
        <v>3.6025486530717687E-2</v>
      </c>
      <c r="AD51" s="41"/>
      <c r="AE51" s="41"/>
      <c r="AF51" s="41"/>
      <c r="AG51" s="234"/>
      <c r="AH51" s="237">
        <f t="shared" si="3"/>
        <v>-1</v>
      </c>
    </row>
    <row r="52" spans="2:47" ht="12" outlineLevel="1" x14ac:dyDescent="0.2">
      <c r="B52" s="2" t="s">
        <v>182</v>
      </c>
      <c r="C52" s="1">
        <v>-2444</v>
      </c>
      <c r="D52" s="8">
        <f>-4926-C52</f>
        <v>-2482</v>
      </c>
      <c r="E52" s="8">
        <f>-7489-D52-C52</f>
        <v>-2563</v>
      </c>
      <c r="F52" s="5">
        <f>AB52-E52-D52-C52</f>
        <v>-3025</v>
      </c>
      <c r="G52" s="1">
        <v>-2535</v>
      </c>
      <c r="H52" s="8">
        <f>-5089-G52</f>
        <v>-2554</v>
      </c>
      <c r="I52" s="8">
        <f>-7258-H52-G52</f>
        <v>-2169</v>
      </c>
      <c r="J52" s="5">
        <f>AC52-I52-H52-G52</f>
        <v>-2853</v>
      </c>
      <c r="K52" s="1">
        <v>-2418</v>
      </c>
      <c r="L52" s="1"/>
      <c r="M52" s="1"/>
      <c r="O52" s="1"/>
      <c r="P52" s="1"/>
      <c r="Q52" s="1"/>
      <c r="R52" s="1"/>
      <c r="S52" s="1"/>
      <c r="T52" s="1"/>
      <c r="U52" s="1"/>
      <c r="V52" s="1"/>
      <c r="W52" s="1"/>
      <c r="X52" s="1"/>
      <c r="Y52" s="1"/>
      <c r="Z52" s="1"/>
      <c r="AA52" s="1">
        <v>-9731</v>
      </c>
      <c r="AB52" s="1">
        <v>-10514</v>
      </c>
      <c r="AC52" s="1">
        <v>-10111</v>
      </c>
      <c r="AD52" s="1"/>
      <c r="AE52" s="1"/>
      <c r="AF52" s="1"/>
      <c r="AG52" s="234"/>
      <c r="AH52" s="237">
        <f t="shared" si="3"/>
        <v>-1</v>
      </c>
    </row>
    <row r="53" spans="2:47" ht="12" outlineLevel="1" x14ac:dyDescent="0.2">
      <c r="B53" s="6" t="s">
        <v>187</v>
      </c>
      <c r="C53" s="35">
        <f>-C52/C$12</f>
        <v>2.7192718938104297E-2</v>
      </c>
      <c r="D53" s="43">
        <f>-D52/D$48</f>
        <v>5.0432803673751372E-2</v>
      </c>
      <c r="E53" s="43">
        <f>-E52/E$12</f>
        <v>1.4536482999177609E-2</v>
      </c>
      <c r="F53" s="35">
        <f>-F52/F$12</f>
        <v>1.4930529848720417E-2</v>
      </c>
      <c r="G53" s="35">
        <f>-G52/G$12</f>
        <v>1.5201487167186375E-2</v>
      </c>
      <c r="H53" s="43">
        <f>-H52/H$48</f>
        <v>5.9184761198526177E-2</v>
      </c>
      <c r="I53" s="43">
        <f>-I52/I$12</f>
        <v>1.3144020652292478E-2</v>
      </c>
      <c r="J53" s="35">
        <f>-J52/J$12</f>
        <v>1.3796471817091571E-2</v>
      </c>
      <c r="K53" s="43">
        <f>-K52/K$48</f>
        <v>5.9410319410319413E-2</v>
      </c>
      <c r="L53" s="43"/>
      <c r="M53" s="43"/>
      <c r="O53" s="35"/>
      <c r="P53" s="43"/>
      <c r="Q53" s="43"/>
      <c r="R53" s="43"/>
      <c r="S53" s="43"/>
      <c r="T53" s="43"/>
      <c r="U53" s="35"/>
      <c r="V53" s="43"/>
      <c r="W53" s="35"/>
      <c r="X53" s="35"/>
      <c r="Y53" s="35"/>
      <c r="Z53" s="35"/>
      <c r="AA53" s="35">
        <f>-AA52/AA$12</f>
        <v>3.4148053269699788E-2</v>
      </c>
      <c r="AB53" s="35">
        <f>-AB52/AB$12</f>
        <v>1.6520355044647696E-2</v>
      </c>
      <c r="AC53" s="35">
        <f>-AC52/AC$12</f>
        <v>1.4351431949571983E-2</v>
      </c>
      <c r="AD53" s="35"/>
      <c r="AE53" s="35"/>
      <c r="AF53" s="35"/>
      <c r="AG53" s="234"/>
      <c r="AH53" s="237">
        <f t="shared" si="3"/>
        <v>-1</v>
      </c>
    </row>
    <row r="54" spans="2:47" ht="12" outlineLevel="1" x14ac:dyDescent="0.2">
      <c r="B54" s="2" t="s">
        <v>183</v>
      </c>
      <c r="C54" s="1">
        <v>2105</v>
      </c>
      <c r="D54" s="8">
        <f>4622-C54</f>
        <v>2517</v>
      </c>
      <c r="E54" s="8">
        <f>5174-D54-C54</f>
        <v>552</v>
      </c>
      <c r="F54" s="5">
        <f>AB54-E54-D54-C54</f>
        <v>1473</v>
      </c>
      <c r="G54" s="1">
        <v>2105</v>
      </c>
      <c r="H54" s="8">
        <f>4622-G54</f>
        <v>2517</v>
      </c>
      <c r="I54" s="8">
        <f>4429-H54-G54</f>
        <v>-193</v>
      </c>
      <c r="J54" s="5">
        <f>AC54-I54-H54-G54</f>
        <v>1691</v>
      </c>
      <c r="K54" s="1">
        <v>11805</v>
      </c>
      <c r="L54" s="8"/>
      <c r="M54" s="8"/>
      <c r="O54" s="1"/>
      <c r="P54" s="8"/>
      <c r="Q54" s="8"/>
      <c r="R54" s="8"/>
      <c r="S54" s="8"/>
      <c r="T54" s="8"/>
      <c r="U54" s="1"/>
      <c r="V54" s="8"/>
      <c r="W54" s="1"/>
      <c r="X54" s="1"/>
      <c r="Y54" s="1"/>
      <c r="Z54" s="1"/>
      <c r="AA54" s="1">
        <v>5444</v>
      </c>
      <c r="AB54" s="1">
        <v>6647</v>
      </c>
      <c r="AC54" s="1">
        <v>6120</v>
      </c>
      <c r="AD54" s="1"/>
      <c r="AE54" s="1"/>
      <c r="AF54" s="1"/>
      <c r="AG54" s="234"/>
      <c r="AH54" s="237">
        <f t="shared" si="3"/>
        <v>-1</v>
      </c>
    </row>
    <row r="55" spans="2:47" ht="12" outlineLevel="1" x14ac:dyDescent="0.2">
      <c r="B55" s="6" t="s">
        <v>188</v>
      </c>
      <c r="C55" s="35">
        <f>C54/C$12</f>
        <v>2.3420897448735493E-2</v>
      </c>
      <c r="D55" s="43">
        <f>D54/D$48</f>
        <v>5.1143983419352217E-2</v>
      </c>
      <c r="E55" s="43">
        <f>E54/E$12</f>
        <v>3.1307602869863598E-3</v>
      </c>
      <c r="F55" s="35">
        <f>F54/F$12</f>
        <v>7.2703042866661734E-3</v>
      </c>
      <c r="G55" s="35">
        <f>G54/G$12</f>
        <v>1.2622931158551211E-2</v>
      </c>
      <c r="H55" s="43">
        <f>H54/H$48</f>
        <v>5.8327346882024428E-2</v>
      </c>
      <c r="I55" s="43">
        <f>I54/I$12</f>
        <v>-1.1695693803100268E-3</v>
      </c>
      <c r="J55" s="35">
        <f>J54/J$12</f>
        <v>8.1772989283918143E-3</v>
      </c>
      <c r="K55" s="43">
        <f>K54/K$48</f>
        <v>0.29004914004914006</v>
      </c>
      <c r="L55" s="43"/>
      <c r="M55" s="43"/>
      <c r="O55" s="35"/>
      <c r="P55" s="43"/>
      <c r="Q55" s="43"/>
      <c r="R55" s="43"/>
      <c r="S55" s="43"/>
      <c r="T55" s="43"/>
      <c r="U55" s="35"/>
      <c r="V55" s="43"/>
      <c r="W55" s="35"/>
      <c r="X55" s="35"/>
      <c r="Y55" s="35"/>
      <c r="Z55" s="35"/>
      <c r="AA55" s="35">
        <f>AA54/AA$12</f>
        <v>1.9104100503570615E-2</v>
      </c>
      <c r="AB55" s="35">
        <f>AB54/AB$12</f>
        <v>1.0444245765814462E-2</v>
      </c>
      <c r="AC55" s="35">
        <f>AC54/AC$12</f>
        <v>8.6866544883177268E-3</v>
      </c>
      <c r="AD55" s="35"/>
      <c r="AE55" s="35"/>
      <c r="AF55" s="35"/>
      <c r="AG55" s="234"/>
      <c r="AH55" s="237">
        <f t="shared" si="3"/>
        <v>-1</v>
      </c>
    </row>
    <row r="56" spans="2:47" outlineLevel="1" x14ac:dyDescent="0.25">
      <c r="B56" s="70" t="s">
        <v>320</v>
      </c>
      <c r="C56" s="72"/>
      <c r="D56" s="72"/>
      <c r="E56" s="75"/>
      <c r="F56" s="71"/>
      <c r="G56" s="71"/>
      <c r="H56" s="71"/>
      <c r="I56" s="75"/>
      <c r="J56" s="71"/>
      <c r="K56" s="71"/>
      <c r="L56" s="73"/>
      <c r="M56" s="73"/>
      <c r="N56" s="71"/>
      <c r="O56" s="71"/>
      <c r="P56" s="73"/>
      <c r="Q56" s="73"/>
      <c r="R56" s="73"/>
      <c r="S56" s="73"/>
      <c r="T56" s="73"/>
      <c r="U56" s="71"/>
      <c r="V56" s="73"/>
      <c r="W56" s="72"/>
      <c r="X56" s="72"/>
      <c r="Y56" s="72"/>
      <c r="Z56" s="72"/>
      <c r="AA56" s="72"/>
      <c r="AB56" s="72"/>
      <c r="AC56" s="72"/>
      <c r="AD56" s="72"/>
      <c r="AE56" s="72"/>
      <c r="AF56" s="72"/>
      <c r="AG56" s="234"/>
      <c r="AH56" s="72"/>
      <c r="AI56" s="72"/>
      <c r="AJ56" s="72"/>
      <c r="AL56" s="72"/>
      <c r="AM56" s="72"/>
      <c r="AN56" s="72"/>
      <c r="AO56" s="72"/>
      <c r="AP56" s="72"/>
      <c r="AQ56" s="72"/>
      <c r="AR56" s="72"/>
      <c r="AS56" s="72"/>
      <c r="AT56" s="72"/>
      <c r="AU56" s="72"/>
    </row>
    <row r="57" spans="2:47" ht="12" outlineLevel="1" x14ac:dyDescent="0.2">
      <c r="B57" s="9" t="s">
        <v>8</v>
      </c>
      <c r="C57" s="1">
        <v>108622</v>
      </c>
      <c r="D57" s="8">
        <f>227434-C57</f>
        <v>118812</v>
      </c>
      <c r="E57" s="8">
        <f>348609-D57-C57</f>
        <v>121175</v>
      </c>
      <c r="F57" s="5">
        <f>AB57-E57-D57-C57</f>
        <v>130985</v>
      </c>
      <c r="G57" s="1">
        <v>139764</v>
      </c>
      <c r="H57" s="8">
        <f>281986-G57</f>
        <v>142222</v>
      </c>
      <c r="I57" s="8">
        <f>418024-H57-G57</f>
        <v>136038</v>
      </c>
      <c r="J57" s="5">
        <f>AC57-I57-H57-G57</f>
        <v>149257</v>
      </c>
      <c r="K57" s="1">
        <v>147649</v>
      </c>
      <c r="L57" s="8">
        <f>311671-K57</f>
        <v>164022</v>
      </c>
      <c r="M57" s="8">
        <f>469420-L57-K57</f>
        <v>157749</v>
      </c>
      <c r="N57" s="5">
        <f>AD57-M57-L57-K57</f>
        <v>173228</v>
      </c>
      <c r="O57" s="1">
        <v>170377</v>
      </c>
      <c r="P57" s="8">
        <f>356661-O57</f>
        <v>186284</v>
      </c>
      <c r="Q57" s="8"/>
      <c r="R57" s="8"/>
      <c r="S57" s="8"/>
      <c r="T57" s="8"/>
      <c r="U57" s="1"/>
      <c r="V57" s="8"/>
      <c r="W57" s="1"/>
      <c r="X57" s="1"/>
      <c r="Y57" s="1"/>
      <c r="Z57" s="1"/>
      <c r="AA57" s="1">
        <v>382972</v>
      </c>
      <c r="AB57" s="1">
        <v>479594</v>
      </c>
      <c r="AC57" s="1">
        <v>567281</v>
      </c>
      <c r="AD57" s="1">
        <v>642648</v>
      </c>
      <c r="AE57" s="1"/>
      <c r="AF57" s="1">
        <v>525650</v>
      </c>
      <c r="AG57" s="234"/>
      <c r="AH57" s="237">
        <f t="shared" si="3"/>
        <v>3.1037138755531046E-2</v>
      </c>
    </row>
    <row r="58" spans="2:47" ht="14.25" outlineLevel="1" x14ac:dyDescent="0.35">
      <c r="B58" s="6" t="s">
        <v>180</v>
      </c>
      <c r="C58" s="3">
        <v>0</v>
      </c>
      <c r="D58" s="39">
        <v>0</v>
      </c>
      <c r="E58" s="39">
        <v>0</v>
      </c>
      <c r="F58" s="17">
        <f>AB58-E58-D58-C58</f>
        <v>0</v>
      </c>
      <c r="G58" s="3">
        <v>0</v>
      </c>
      <c r="H58" s="39">
        <v>0</v>
      </c>
      <c r="I58" s="39">
        <v>0</v>
      </c>
      <c r="J58" s="17">
        <f>AC58-I58-H58-G58</f>
        <v>0</v>
      </c>
      <c r="K58" s="3">
        <v>0</v>
      </c>
      <c r="L58" s="39">
        <v>0</v>
      </c>
      <c r="M58" s="39">
        <v>0</v>
      </c>
      <c r="N58" s="17">
        <f>AD58-M58-L58-K58</f>
        <v>0</v>
      </c>
      <c r="O58" s="3">
        <v>0</v>
      </c>
      <c r="P58" s="39">
        <v>0</v>
      </c>
      <c r="Q58" s="39"/>
      <c r="R58" s="39"/>
      <c r="S58" s="39"/>
      <c r="T58" s="39"/>
      <c r="U58" s="3"/>
      <c r="V58" s="39"/>
      <c r="W58" s="3"/>
      <c r="X58" s="3"/>
      <c r="Y58" s="3"/>
      <c r="Z58" s="3"/>
      <c r="AA58" s="3">
        <v>0</v>
      </c>
      <c r="AB58" s="3">
        <v>0</v>
      </c>
      <c r="AC58" s="3">
        <v>0</v>
      </c>
      <c r="AD58" s="3">
        <v>0</v>
      </c>
      <c r="AE58" s="3"/>
      <c r="AF58" s="3"/>
      <c r="AG58" s="269"/>
      <c r="AH58" s="237" t="str">
        <f t="shared" si="3"/>
        <v/>
      </c>
    </row>
    <row r="59" spans="2:47" ht="12" outlineLevel="1" x14ac:dyDescent="0.2">
      <c r="B59" s="2" t="s">
        <v>185</v>
      </c>
      <c r="C59" s="5">
        <f t="shared" ref="C59:P59" si="80">C58+C57</f>
        <v>108622</v>
      </c>
      <c r="D59" s="44">
        <f t="shared" si="80"/>
        <v>118812</v>
      </c>
      <c r="E59" s="44">
        <f t="shared" si="80"/>
        <v>121175</v>
      </c>
      <c r="F59" s="5">
        <f t="shared" si="80"/>
        <v>130985</v>
      </c>
      <c r="G59" s="5">
        <f t="shared" si="80"/>
        <v>139764</v>
      </c>
      <c r="H59" s="44">
        <f t="shared" si="80"/>
        <v>142222</v>
      </c>
      <c r="I59" s="44">
        <f t="shared" si="80"/>
        <v>136038</v>
      </c>
      <c r="J59" s="5">
        <f t="shared" si="80"/>
        <v>149257</v>
      </c>
      <c r="K59" s="5">
        <f t="shared" si="80"/>
        <v>147649</v>
      </c>
      <c r="L59" s="44">
        <f t="shared" si="80"/>
        <v>164022</v>
      </c>
      <c r="M59" s="44">
        <f t="shared" si="80"/>
        <v>157749</v>
      </c>
      <c r="N59" s="44">
        <f t="shared" si="80"/>
        <v>173228</v>
      </c>
      <c r="O59" s="5">
        <f>O58+O57</f>
        <v>170377</v>
      </c>
      <c r="P59" s="44">
        <f t="shared" si="80"/>
        <v>186284</v>
      </c>
      <c r="Q59" s="44"/>
      <c r="R59" s="44"/>
      <c r="S59" s="44"/>
      <c r="T59" s="44"/>
      <c r="U59" s="5"/>
      <c r="V59" s="44"/>
      <c r="W59" s="5"/>
      <c r="X59" s="5"/>
      <c r="Y59" s="5"/>
      <c r="Z59" s="5"/>
      <c r="AA59" s="5">
        <f>AA58+AA57</f>
        <v>382972</v>
      </c>
      <c r="AB59" s="5">
        <f t="shared" ref="AB59" si="81">AB58+AB57</f>
        <v>479594</v>
      </c>
      <c r="AC59" s="5">
        <f>AC58+AC57</f>
        <v>567281</v>
      </c>
      <c r="AD59" s="5">
        <f>AD58+AD57</f>
        <v>642648</v>
      </c>
      <c r="AE59" s="5"/>
      <c r="AF59" s="5">
        <f>AF58+AF57</f>
        <v>525650</v>
      </c>
      <c r="AG59" s="5"/>
      <c r="AH59" s="237">
        <f t="shared" si="3"/>
        <v>3.1037138755531046E-2</v>
      </c>
    </row>
    <row r="60" spans="2:47" ht="12" x14ac:dyDescent="0.2">
      <c r="B60" s="6" t="s">
        <v>319</v>
      </c>
      <c r="C60" s="5"/>
      <c r="D60" s="44"/>
      <c r="E60" s="44"/>
      <c r="F60" s="5"/>
      <c r="G60" s="5"/>
      <c r="H60" s="5"/>
      <c r="I60" s="44"/>
      <c r="J60" s="5"/>
      <c r="K60" s="5"/>
      <c r="L60" s="44"/>
      <c r="M60" s="44"/>
      <c r="N60" s="44"/>
      <c r="O60" s="5"/>
      <c r="P60" s="44"/>
      <c r="Q60" s="44"/>
      <c r="R60" s="44"/>
      <c r="S60" s="5"/>
      <c r="T60" s="44"/>
      <c r="U60" s="24" t="e">
        <f>U59/S59-1</f>
        <v>#DIV/0!</v>
      </c>
      <c r="V60" s="93">
        <f>V59/AD59-1</f>
        <v>-1</v>
      </c>
      <c r="W60" s="5"/>
      <c r="X60" s="5"/>
      <c r="Y60" s="5"/>
      <c r="Z60" s="5"/>
      <c r="AA60" s="5"/>
      <c r="AB60" s="35">
        <f>AB57/AA57-1</f>
        <v>0.25229520696029994</v>
      </c>
      <c r="AC60" s="35">
        <f t="shared" ref="AC60" si="82">AC57/AB57-1</f>
        <v>0.18283589869764838</v>
      </c>
      <c r="AD60" s="35">
        <f t="shared" ref="AD60" si="83">AD57/AC57-1</f>
        <v>0.13285655609830038</v>
      </c>
      <c r="AE60" s="35"/>
      <c r="AF60" s="35">
        <f>AF57/AD57-1</f>
        <v>-0.1820561178125506</v>
      </c>
      <c r="AG60" s="233"/>
      <c r="AH60" s="237">
        <f t="shared" ref="AH60" si="84">IFERROR(((AF60/AB60))^(1/(2025-2022))-1,"")</f>
        <v>-1.8969441999234888</v>
      </c>
      <c r="AI60" s="24"/>
      <c r="AJ60" s="24"/>
      <c r="AL60" s="35">
        <f>AL59/AF59-1</f>
        <v>-1</v>
      </c>
      <c r="AM60" s="332">
        <v>7.0000000000000007E-2</v>
      </c>
      <c r="AN60" s="332">
        <v>0.06</v>
      </c>
      <c r="AO60" s="332">
        <v>0.05</v>
      </c>
      <c r="AP60" s="332">
        <v>0.04</v>
      </c>
      <c r="AQ60" s="332">
        <v>3.5000000000000003E-2</v>
      </c>
      <c r="AR60" s="332">
        <v>0.03</v>
      </c>
      <c r="AS60" s="332">
        <v>2.5000000000000001E-2</v>
      </c>
      <c r="AT60" s="332">
        <v>2.5000000000000001E-2</v>
      </c>
      <c r="AU60" s="332">
        <v>2.5000000000000001E-2</v>
      </c>
    </row>
    <row r="61" spans="2:47" ht="12" outlineLevel="1" x14ac:dyDescent="0.2">
      <c r="B61" s="2" t="s">
        <v>181</v>
      </c>
      <c r="C61" s="1">
        <v>1435</v>
      </c>
      <c r="D61" s="8">
        <f>3149-C61</f>
        <v>1714</v>
      </c>
      <c r="E61" s="8">
        <f>9829-D61-C61</f>
        <v>6680</v>
      </c>
      <c r="F61" s="5">
        <f>AB61-E61-D61-C61</f>
        <v>23461</v>
      </c>
      <c r="G61" s="1">
        <v>7175</v>
      </c>
      <c r="H61" s="8">
        <f>13465-G61</f>
        <v>6290</v>
      </c>
      <c r="I61" s="8">
        <f>18692-H61-G61</f>
        <v>5227</v>
      </c>
      <c r="J61" s="5">
        <f>AC61-I61-H61-G61</f>
        <v>6375</v>
      </c>
      <c r="K61" s="1">
        <v>8183</v>
      </c>
      <c r="L61" s="8">
        <f>18189-K61</f>
        <v>10006</v>
      </c>
      <c r="M61" s="8">
        <f>25450-L61-K61</f>
        <v>7261</v>
      </c>
      <c r="N61" s="5">
        <f>AD61-M61-L61-K61</f>
        <v>10046</v>
      </c>
      <c r="O61" s="1">
        <v>10205</v>
      </c>
      <c r="P61" s="8">
        <f>24033-O61</f>
        <v>13828</v>
      </c>
      <c r="Q61" s="8"/>
      <c r="R61" s="8"/>
      <c r="S61" s="8"/>
      <c r="T61" s="8"/>
      <c r="U61" s="1"/>
      <c r="V61" s="8"/>
      <c r="W61" s="66"/>
      <c r="X61" s="1"/>
      <c r="Y61" s="1"/>
      <c r="Z61" s="1"/>
      <c r="AA61" s="1">
        <v>8564</v>
      </c>
      <c r="AB61" s="1">
        <v>33290</v>
      </c>
      <c r="AC61" s="1">
        <v>25067</v>
      </c>
      <c r="AD61" s="1">
        <v>35496</v>
      </c>
      <c r="AE61" s="1"/>
      <c r="AF61" s="1">
        <v>36398</v>
      </c>
      <c r="AG61" s="236"/>
      <c r="AH61" s="237">
        <f t="shared" si="3"/>
        <v>3.0199279561899939E-2</v>
      </c>
    </row>
    <row r="62" spans="2:47" ht="12" outlineLevel="1" x14ac:dyDescent="0.2">
      <c r="B62" s="6" t="s">
        <v>187</v>
      </c>
      <c r="C62" s="41">
        <f>C61/C$12</f>
        <v>1.596626500662016E-2</v>
      </c>
      <c r="D62" s="42">
        <f>D61/D$59</f>
        <v>1.4426152240514425E-2</v>
      </c>
      <c r="E62" s="42">
        <f>E61/E$12</f>
        <v>3.788673680628421E-2</v>
      </c>
      <c r="F62" s="41">
        <f>F61/F$12</f>
        <v>0.11579674736556353</v>
      </c>
      <c r="G62" s="41">
        <f>G61/G$12</f>
        <v>4.3025905492923962E-2</v>
      </c>
      <c r="H62" s="42">
        <f>H61/H$59</f>
        <v>4.4226631604111881E-2</v>
      </c>
      <c r="I62" s="42">
        <f>I61/I$12</f>
        <v>3.1675332387981918E-2</v>
      </c>
      <c r="J62" s="41">
        <f>J61/J$12</f>
        <v>3.0828078455646252E-2</v>
      </c>
      <c r="K62" s="42">
        <f>K61/K$59</f>
        <v>5.5421980507825992E-2</v>
      </c>
      <c r="L62" s="42">
        <f>L61/L$59</f>
        <v>6.1004011656972848E-2</v>
      </c>
      <c r="M62" s="42">
        <f>M61/M$12</f>
        <v>3.5764773102289912E-2</v>
      </c>
      <c r="N62" s="41">
        <f>N61/N$12</f>
        <v>4.9337484898191709E-2</v>
      </c>
      <c r="O62" s="42">
        <f>O61/O$59</f>
        <v>5.9896582285167602E-2</v>
      </c>
      <c r="P62" s="42">
        <f>P61/P$59</f>
        <v>7.4230744454703568E-2</v>
      </c>
      <c r="Q62" s="42"/>
      <c r="R62" s="42"/>
      <c r="S62" s="42"/>
      <c r="T62" s="42"/>
      <c r="U62" s="42"/>
      <c r="V62" s="42"/>
      <c r="W62" s="41"/>
      <c r="X62" s="41"/>
      <c r="Y62" s="41"/>
      <c r="Z62" s="41"/>
      <c r="AA62" s="41">
        <f>AA61/AA$12</f>
        <v>3.0052813503412698E-2</v>
      </c>
      <c r="AB62" s="41">
        <f>AB61/AB$12</f>
        <v>5.230764879554136E-2</v>
      </c>
      <c r="AC62" s="41">
        <f>AC61/AC$12</f>
        <v>3.5579798702395499E-2</v>
      </c>
      <c r="AD62" s="41">
        <f>AD61/AD$12</f>
        <v>4.352032014948156E-2</v>
      </c>
      <c r="AE62" s="41"/>
      <c r="AF62" s="41">
        <f>AF61/AF$12</f>
        <v>4.1301663958460043E-2</v>
      </c>
      <c r="AG62" s="235"/>
      <c r="AH62" s="237">
        <f t="shared" si="3"/>
        <v>-7.5725900377141109E-2</v>
      </c>
    </row>
    <row r="63" spans="2:47" ht="12" outlineLevel="1" x14ac:dyDescent="0.2">
      <c r="B63" s="2" t="s">
        <v>182</v>
      </c>
      <c r="C63" s="1">
        <v>-1841</v>
      </c>
      <c r="D63" s="8">
        <f>-3827-C63</f>
        <v>-1986</v>
      </c>
      <c r="E63" s="8">
        <f>-5893-D63-C63</f>
        <v>-2066</v>
      </c>
      <c r="F63" s="5">
        <f>AB63-E63-D63-C63</f>
        <v>-3186</v>
      </c>
      <c r="G63" s="1">
        <v>-2384</v>
      </c>
      <c r="H63" s="8">
        <f>-4869-G63</f>
        <v>-2485</v>
      </c>
      <c r="I63" s="8">
        <f>-7458-H63-G63</f>
        <v>-2589</v>
      </c>
      <c r="J63" s="5">
        <f>AC63-I63-H63-G63</f>
        <v>-2716</v>
      </c>
      <c r="K63" s="1">
        <v>-2380</v>
      </c>
      <c r="L63" s="8">
        <f>-4740-K63</f>
        <v>-2360</v>
      </c>
      <c r="M63" s="8">
        <f>-7168-L63-K63</f>
        <v>-2428</v>
      </c>
      <c r="N63" s="5">
        <f>AD63-M63-L63-K63</f>
        <v>-2812</v>
      </c>
      <c r="O63" s="1">
        <v>-2231</v>
      </c>
      <c r="P63" s="8">
        <f>-4475-O63</f>
        <v>-2244</v>
      </c>
      <c r="Q63" s="8"/>
      <c r="R63" s="8"/>
      <c r="S63" s="8"/>
      <c r="T63" s="8"/>
      <c r="U63" s="1"/>
      <c r="V63" s="8"/>
      <c r="W63" s="1"/>
      <c r="X63" s="1"/>
      <c r="Y63" s="1"/>
      <c r="Z63" s="1"/>
      <c r="AA63" s="1">
        <v>-7644</v>
      </c>
      <c r="AB63" s="1">
        <v>-9079</v>
      </c>
      <c r="AC63" s="1">
        <v>-10174</v>
      </c>
      <c r="AD63" s="1">
        <v>-9980</v>
      </c>
      <c r="AE63" s="1"/>
      <c r="AF63" s="1">
        <v>-7029</v>
      </c>
      <c r="AG63" s="236"/>
      <c r="AH63" s="237">
        <f t="shared" si="3"/>
        <v>-8.1769228978664121E-2</v>
      </c>
    </row>
    <row r="64" spans="2:47" ht="12" outlineLevel="1" x14ac:dyDescent="0.2">
      <c r="B64" s="6" t="s">
        <v>187</v>
      </c>
      <c r="C64" s="35">
        <f>-C63/C$12</f>
        <v>2.0483549740200495E-2</v>
      </c>
      <c r="D64" s="43">
        <f>-D63/D$59</f>
        <v>1.6715483284516715E-2</v>
      </c>
      <c r="E64" s="43">
        <f>-E63/E$12</f>
        <v>1.1717664407452571E-2</v>
      </c>
      <c r="F64" s="35">
        <f>-F63/F$12</f>
        <v>1.5725179536536609E-2</v>
      </c>
      <c r="G64" s="35">
        <f>-G63/G$12</f>
        <v>1.4295994243223795E-2</v>
      </c>
      <c r="H64" s="43">
        <f>-H63/H$59</f>
        <v>1.7472683551068048E-2</v>
      </c>
      <c r="I64" s="43">
        <f>-I63/I$12</f>
        <v>1.5689197542086319E-2</v>
      </c>
      <c r="J64" s="35">
        <f>-J63/J$12</f>
        <v>1.3133970366358466E-2</v>
      </c>
      <c r="K64" s="43">
        <f>-K63/K$59</f>
        <v>1.6119309985167526E-2</v>
      </c>
      <c r="L64" s="43">
        <f>-L63/L$59</f>
        <v>1.4388313762787919E-2</v>
      </c>
      <c r="M64" s="43">
        <f>-M63/M$12</f>
        <v>1.19593539584575E-2</v>
      </c>
      <c r="N64" s="35">
        <f>-N63/N$12</f>
        <v>1.3810173953186849E-2</v>
      </c>
      <c r="O64" s="43">
        <f>-O63/O$59</f>
        <v>1.3094490453523656E-2</v>
      </c>
      <c r="P64" s="43">
        <f>-P63/P$59</f>
        <v>1.2046123123832428E-2</v>
      </c>
      <c r="Q64" s="43"/>
      <c r="R64" s="43"/>
      <c r="S64" s="43"/>
      <c r="T64" s="43"/>
      <c r="U64" s="43"/>
      <c r="V64" s="43"/>
      <c r="W64" s="35"/>
      <c r="X64" s="35"/>
      <c r="Y64" s="35"/>
      <c r="Z64" s="35"/>
      <c r="AA64" s="35">
        <f>-AA63/AA$12</f>
        <v>2.6824346849613111E-2</v>
      </c>
      <c r="AB64" s="35">
        <f>-AB63/AB$12</f>
        <v>1.4265579555864223E-2</v>
      </c>
      <c r="AC64" s="35">
        <f>-AC63/AC$12</f>
        <v>1.4440853392834078E-2</v>
      </c>
      <c r="AD64" s="35">
        <f>-AD63/AD$12</f>
        <v>1.2236105338399424E-2</v>
      </c>
      <c r="AE64" s="35"/>
      <c r="AF64" s="35">
        <f>-AF63/AF$12</f>
        <v>7.9759710963244034E-3</v>
      </c>
      <c r="AG64" s="112"/>
      <c r="AH64" s="237">
        <f t="shared" si="3"/>
        <v>-0.17618179708622628</v>
      </c>
    </row>
    <row r="65" spans="2:37" ht="12" outlineLevel="1" x14ac:dyDescent="0.2">
      <c r="B65" s="2" t="s">
        <v>183</v>
      </c>
      <c r="C65" s="1">
        <v>1128</v>
      </c>
      <c r="D65" s="8">
        <f>3101-C65</f>
        <v>1973</v>
      </c>
      <c r="E65" s="8">
        <f>6080-D65-C65</f>
        <v>2979</v>
      </c>
      <c r="F65" s="5">
        <f>AB65-E65-D65-C65</f>
        <v>2131</v>
      </c>
      <c r="G65" s="1">
        <v>2227</v>
      </c>
      <c r="H65" s="8">
        <f>4559-G65</f>
        <v>2332</v>
      </c>
      <c r="I65" s="8">
        <f>4559-H65-G65</f>
        <v>0</v>
      </c>
      <c r="J65" s="5">
        <f>AC65-I65-H65-G65</f>
        <v>9148</v>
      </c>
      <c r="K65" s="1">
        <v>3876</v>
      </c>
      <c r="L65" s="8">
        <f>8735-K65</f>
        <v>4859</v>
      </c>
      <c r="M65" s="8">
        <f>15512-L65-K65</f>
        <v>6777</v>
      </c>
      <c r="N65" s="5">
        <f>AD65-M65-L65-K65</f>
        <v>12800</v>
      </c>
      <c r="O65" s="1">
        <v>6278</v>
      </c>
      <c r="P65" s="8">
        <f>12568-O65</f>
        <v>6290</v>
      </c>
      <c r="Q65" s="8"/>
      <c r="R65" s="8"/>
      <c r="S65" s="8"/>
      <c r="T65" s="8"/>
      <c r="U65" s="1"/>
      <c r="V65" s="8"/>
      <c r="W65" s="1"/>
      <c r="X65" s="1"/>
      <c r="Y65" s="1"/>
      <c r="Z65" s="1"/>
      <c r="AA65" s="1">
        <v>6454</v>
      </c>
      <c r="AB65" s="1">
        <v>8211</v>
      </c>
      <c r="AC65" s="1">
        <v>13707</v>
      </c>
      <c r="AD65" s="1">
        <v>28312</v>
      </c>
      <c r="AE65" s="1"/>
      <c r="AF65" s="1">
        <v>22207</v>
      </c>
      <c r="AG65" s="236"/>
      <c r="AH65" s="237">
        <f t="shared" si="3"/>
        <v>0.39325714895264863</v>
      </c>
    </row>
    <row r="66" spans="2:37" ht="12" outlineLevel="1" x14ac:dyDescent="0.2">
      <c r="B66" s="6" t="s">
        <v>188</v>
      </c>
      <c r="C66" s="35">
        <f>C65/C$12</f>
        <v>1.2550485663740445E-2</v>
      </c>
      <c r="D66" s="43">
        <f>D65/D$59</f>
        <v>1.6606066727266607E-2</v>
      </c>
      <c r="E66" s="43">
        <f>E65/E$12</f>
        <v>1.6895896548790517E-2</v>
      </c>
      <c r="F66" s="35">
        <f>F65/F$12</f>
        <v>1.0518003010784531E-2</v>
      </c>
      <c r="G66" s="35">
        <f>G65/G$12</f>
        <v>1.3354521467977932E-2</v>
      </c>
      <c r="H66" s="43">
        <f>H65/H$59</f>
        <v>1.639690062015722E-2</v>
      </c>
      <c r="I66" s="43">
        <f>I65/I$12</f>
        <v>0</v>
      </c>
      <c r="J66" s="35">
        <f>J65/J$12</f>
        <v>4.4237688111725793E-2</v>
      </c>
      <c r="K66" s="43">
        <f>K65/K$59</f>
        <v>2.6251447690129971E-2</v>
      </c>
      <c r="L66" s="43">
        <f>L65/L$59</f>
        <v>2.9624074819231565E-2</v>
      </c>
      <c r="M66" s="43">
        <f>M65/M$12</f>
        <v>3.3380783268725893E-2</v>
      </c>
      <c r="N66" s="35">
        <f>N65/N$12</f>
        <v>6.2862811735701171E-2</v>
      </c>
      <c r="O66" s="43">
        <f>O65/O$59</f>
        <v>3.6847696578763564E-2</v>
      </c>
      <c r="P66" s="43">
        <f>P65/P$59</f>
        <v>3.376564815013635E-2</v>
      </c>
      <c r="Q66" s="43"/>
      <c r="R66" s="43"/>
      <c r="S66" s="43"/>
      <c r="T66" s="43"/>
      <c r="U66" s="43"/>
      <c r="V66" s="43"/>
      <c r="W66" s="35"/>
      <c r="X66" s="35"/>
      <c r="Y66" s="35"/>
      <c r="Z66" s="35"/>
      <c r="AA66" s="35">
        <f>AA65/AA$12</f>
        <v>2.2648395416981031E-2</v>
      </c>
      <c r="AB66" s="35">
        <f>AB65/AB$12</f>
        <v>1.2901715357770805E-2</v>
      </c>
      <c r="AC66" s="35">
        <f>AC65/AC$12</f>
        <v>1.9455551155452791E-2</v>
      </c>
      <c r="AD66" s="35">
        <f>AD65/AD$12</f>
        <v>3.4712286006088625E-2</v>
      </c>
      <c r="AE66" s="35"/>
      <c r="AF66" s="35">
        <f>AF65/AF$12</f>
        <v>2.5198803547599378E-2</v>
      </c>
      <c r="AG66" s="112"/>
      <c r="AH66" s="237">
        <f t="shared" si="3"/>
        <v>0.25000232716037885</v>
      </c>
    </row>
    <row r="67" spans="2:37" ht="12" outlineLevel="1" x14ac:dyDescent="0.2">
      <c r="B67" s="13" t="s">
        <v>189</v>
      </c>
      <c r="C67" s="35"/>
      <c r="D67" s="43"/>
      <c r="E67" s="43"/>
      <c r="F67" s="35"/>
      <c r="G67" s="35"/>
      <c r="H67" s="35"/>
      <c r="I67" s="43"/>
      <c r="K67" s="35"/>
      <c r="L67" s="43"/>
      <c r="M67" s="43"/>
      <c r="O67" s="35"/>
      <c r="P67" s="43"/>
      <c r="Q67" s="43"/>
      <c r="R67" s="43"/>
      <c r="S67" s="43"/>
      <c r="T67" s="43"/>
      <c r="U67" s="35"/>
      <c r="V67" s="43"/>
      <c r="W67" s="35"/>
      <c r="X67" s="35"/>
      <c r="Y67" s="35"/>
      <c r="Z67" s="35"/>
      <c r="AA67" s="35"/>
      <c r="AB67" s="35"/>
      <c r="AC67" s="35"/>
      <c r="AD67" s="35"/>
      <c r="AE67" s="35"/>
      <c r="AF67" s="35"/>
      <c r="AG67" s="112"/>
      <c r="AH67" s="237" t="str">
        <f t="shared" si="3"/>
        <v/>
      </c>
    </row>
    <row r="68" spans="2:37" ht="12" outlineLevel="1" x14ac:dyDescent="0.2">
      <c r="B68" s="9" t="s">
        <v>8</v>
      </c>
      <c r="C68" s="1">
        <v>-504</v>
      </c>
      <c r="D68" s="8">
        <f>-736-C68</f>
        <v>-232</v>
      </c>
      <c r="E68" s="8">
        <f>-648-D68-C68</f>
        <v>88</v>
      </c>
      <c r="F68" s="5">
        <f>AB68-E68-D68-C68</f>
        <v>-460</v>
      </c>
      <c r="G68" s="1">
        <v>-595</v>
      </c>
      <c r="H68" s="8">
        <f>-1005-G68</f>
        <v>-410</v>
      </c>
      <c r="I68" s="8">
        <f>4899-H68-G68</f>
        <v>5904</v>
      </c>
      <c r="K68" s="1">
        <v>-438</v>
      </c>
      <c r="L68" s="8">
        <f>-1102-K68</f>
        <v>-664</v>
      </c>
      <c r="M68" s="8">
        <f>4899-L68-K68</f>
        <v>6001</v>
      </c>
      <c r="O68" s="1">
        <v>17068</v>
      </c>
      <c r="P68" s="8">
        <f>34072-O68</f>
        <v>17004</v>
      </c>
      <c r="Q68" s="8"/>
      <c r="R68" s="8"/>
      <c r="S68" s="8"/>
      <c r="T68" s="8"/>
      <c r="U68" s="1"/>
      <c r="V68" s="8"/>
      <c r="W68" s="1"/>
      <c r="X68" s="1"/>
      <c r="Y68" s="1"/>
      <c r="Z68" s="1"/>
      <c r="AA68" s="1">
        <v>-379</v>
      </c>
      <c r="AB68" s="1">
        <v>-1108</v>
      </c>
      <c r="AC68" s="1">
        <v>-1462</v>
      </c>
      <c r="AD68" s="1">
        <v>35406</v>
      </c>
      <c r="AE68" s="1"/>
      <c r="AF68" s="1"/>
      <c r="AG68" s="236"/>
      <c r="AH68" s="237">
        <f t="shared" si="3"/>
        <v>-1</v>
      </c>
    </row>
    <row r="69" spans="2:37" x14ac:dyDescent="0.25">
      <c r="B69" s="68"/>
      <c r="P69" s="45"/>
      <c r="Q69" s="45"/>
      <c r="R69" s="45"/>
      <c r="S69" s="45"/>
      <c r="T69" s="45"/>
      <c r="V69" s="45"/>
      <c r="AE69" s="174" t="s">
        <v>312</v>
      </c>
      <c r="AF69" s="175">
        <f>AF44+AF23</f>
        <v>1666652.5</v>
      </c>
      <c r="AG69" s="18"/>
      <c r="AH69" s="237" t="str">
        <f t="shared" si="3"/>
        <v/>
      </c>
    </row>
    <row r="70" spans="2:37" ht="9.75" customHeight="1" x14ac:dyDescent="0.25">
      <c r="B70" s="40" t="s">
        <v>232</v>
      </c>
      <c r="E70" s="2"/>
      <c r="P70" s="45"/>
      <c r="Q70" s="45"/>
      <c r="R70" s="45"/>
      <c r="S70" s="45"/>
      <c r="T70" s="45"/>
      <c r="V70" s="45"/>
      <c r="AH70" s="237" t="str">
        <f t="shared" si="3"/>
        <v/>
      </c>
    </row>
    <row r="71" spans="2:37" ht="9.75" customHeight="1" x14ac:dyDescent="0.2">
      <c r="B71" s="9" t="s">
        <v>179</v>
      </c>
      <c r="D71" s="35">
        <v>1.1990000000000001</v>
      </c>
      <c r="E71" s="35">
        <f>E12/AD12-1</f>
        <v>-0.78382676225051151</v>
      </c>
      <c r="F71" s="35" t="e">
        <f>F12/W12-1</f>
        <v>#DIV/0!</v>
      </c>
      <c r="G71" s="35">
        <f t="shared" ref="G71:P71" si="85">G12/C12-1</f>
        <v>0.8554246358912736</v>
      </c>
      <c r="H71" s="35">
        <f t="shared" si="85"/>
        <v>-9.968382747718163E-3</v>
      </c>
      <c r="I71" s="35">
        <f t="shared" si="85"/>
        <v>-6.4072824206675594E-2</v>
      </c>
      <c r="J71" s="35">
        <f t="shared" si="85"/>
        <v>2.0665827595567787E-2</v>
      </c>
      <c r="K71" s="35">
        <f t="shared" si="85"/>
        <v>0.24594027344686986</v>
      </c>
      <c r="L71" s="35">
        <f t="shared" si="85"/>
        <v>0.21238980712103595</v>
      </c>
      <c r="M71" s="35">
        <f t="shared" si="85"/>
        <v>0.23029608891151265</v>
      </c>
      <c r="N71" s="35">
        <f t="shared" si="85"/>
        <v>-1.534875623815235E-2</v>
      </c>
      <c r="O71" s="35">
        <f t="shared" si="85"/>
        <v>6.5215403348847012E-2</v>
      </c>
      <c r="P71" s="35">
        <f t="shared" si="85"/>
        <v>3.6643854339063697E-2</v>
      </c>
      <c r="Q71" s="35"/>
      <c r="R71" s="35"/>
      <c r="S71" s="35"/>
      <c r="T71" s="35"/>
      <c r="U71" s="35"/>
      <c r="V71" s="35"/>
      <c r="X71" s="35"/>
      <c r="Y71" s="35"/>
      <c r="Z71" s="35"/>
      <c r="AA71" s="35">
        <f>AA12/AI12-1</f>
        <v>873829.40575806028</v>
      </c>
      <c r="AB71" s="35">
        <f>AB12/AA12-1</f>
        <v>1.2333514642149037</v>
      </c>
      <c r="AC71" s="35">
        <f>AC12/AB12-1</f>
        <v>0.10700677375409895</v>
      </c>
      <c r="AD71" s="35">
        <f>AD12/AC12-1</f>
        <v>0.15767981161882627</v>
      </c>
      <c r="AE71" s="35"/>
      <c r="AF71" s="35"/>
      <c r="AG71" s="112"/>
      <c r="AH71" s="237">
        <f t="shared" si="3"/>
        <v>-1</v>
      </c>
    </row>
    <row r="72" spans="2:37" ht="9.75" customHeight="1" x14ac:dyDescent="0.2">
      <c r="B72" s="9" t="s">
        <v>186</v>
      </c>
      <c r="D72" s="35">
        <v>0.21299999999999999</v>
      </c>
      <c r="E72" s="35">
        <f>E59/AD59-1</f>
        <v>-0.8114442120725498</v>
      </c>
      <c r="F72" s="35" t="e">
        <f>F59/W59-1</f>
        <v>#DIV/0!</v>
      </c>
      <c r="G72" s="35">
        <f t="shared" ref="G72:N72" si="86">G59/C59-1</f>
        <v>0.28670066837288943</v>
      </c>
      <c r="H72" s="35">
        <f t="shared" si="86"/>
        <v>0.19703396963269704</v>
      </c>
      <c r="I72" s="35">
        <f t="shared" si="86"/>
        <v>0.1226573138023519</v>
      </c>
      <c r="J72" s="35">
        <f t="shared" si="86"/>
        <v>0.13949688895675072</v>
      </c>
      <c r="K72" s="35">
        <f t="shared" si="86"/>
        <v>5.6416530723219172E-2</v>
      </c>
      <c r="L72" s="35">
        <f t="shared" si="86"/>
        <v>0.15328148950232734</v>
      </c>
      <c r="M72" s="35">
        <f t="shared" si="86"/>
        <v>0.15959511313015473</v>
      </c>
      <c r="N72" s="35">
        <f t="shared" si="86"/>
        <v>0.1606021828121964</v>
      </c>
      <c r="O72" s="35">
        <f>O59/K59-1</f>
        <v>0.15393263753902842</v>
      </c>
      <c r="P72" s="35">
        <f>P59/L59-1</f>
        <v>0.13572569533355283</v>
      </c>
      <c r="Q72" s="35"/>
      <c r="R72" s="35"/>
      <c r="S72" s="35"/>
      <c r="T72" s="35"/>
      <c r="U72" s="35"/>
      <c r="V72" s="35"/>
      <c r="AB72" s="35">
        <f>AB59/AA59-1</f>
        <v>0.25229520696029994</v>
      </c>
      <c r="AC72" s="35">
        <f>AC59/AB59-1</f>
        <v>0.18283589869764838</v>
      </c>
      <c r="AD72" s="35">
        <f>AD59/AC59-1</f>
        <v>0.13285655609830038</v>
      </c>
      <c r="AE72" s="35"/>
      <c r="AF72" s="35"/>
      <c r="AG72" s="112"/>
      <c r="AH72" s="237">
        <f t="shared" si="3"/>
        <v>-1</v>
      </c>
    </row>
    <row r="73" spans="2:37" ht="9.75" customHeight="1" x14ac:dyDescent="0.2">
      <c r="B73" s="9" t="s">
        <v>233</v>
      </c>
      <c r="D73" s="35">
        <v>0.71699999999999997</v>
      </c>
      <c r="E73" s="35" t="e">
        <f>E46/AD46-1</f>
        <v>#DIV/0!</v>
      </c>
      <c r="F73" s="35" t="e">
        <f>F46/W46-1</f>
        <v>#DIV/0!</v>
      </c>
      <c r="G73" s="35">
        <f t="shared" ref="G73:N73" si="87">G46/C46-1</f>
        <v>3.5822279118017164E-2</v>
      </c>
      <c r="H73" s="35">
        <f t="shared" si="87"/>
        <v>-0.12351432758059266</v>
      </c>
      <c r="I73" s="35">
        <f t="shared" si="87"/>
        <v>-0.19316858584551688</v>
      </c>
      <c r="J73" s="35">
        <f t="shared" si="87"/>
        <v>-0.23063285591920479</v>
      </c>
      <c r="K73" s="35">
        <f t="shared" si="87"/>
        <v>-0.13379501385041548</v>
      </c>
      <c r="L73" s="35">
        <f t="shared" si="87"/>
        <v>-1</v>
      </c>
      <c r="M73" s="35">
        <f t="shared" si="87"/>
        <v>-1</v>
      </c>
      <c r="N73" s="35">
        <f t="shared" si="87"/>
        <v>-1</v>
      </c>
      <c r="O73" s="35">
        <f>O46/K46-1</f>
        <v>-1</v>
      </c>
      <c r="P73" s="35" t="e">
        <f>P46/L46-1</f>
        <v>#DIV/0!</v>
      </c>
      <c r="Q73" s="35"/>
      <c r="R73" s="35"/>
      <c r="S73" s="35"/>
      <c r="T73" s="35"/>
      <c r="U73" s="35"/>
      <c r="V73" s="35"/>
      <c r="AB73" s="35">
        <f>AB46/AA46-1</f>
        <v>0.55941972194329481</v>
      </c>
      <c r="AC73" s="35">
        <f>AC46/AB46-1</f>
        <v>-0.13078348637301196</v>
      </c>
      <c r="AD73" s="35">
        <f>AD46/AC46-1</f>
        <v>-1</v>
      </c>
      <c r="AE73" s="35"/>
      <c r="AF73" s="35"/>
      <c r="AG73" s="112"/>
      <c r="AH73" s="237">
        <f t="shared" si="3"/>
        <v>-1</v>
      </c>
    </row>
    <row r="74" spans="2:37" s="13" customFormat="1" ht="9.75" customHeight="1" x14ac:dyDescent="0.2">
      <c r="B74" s="4" t="s">
        <v>234</v>
      </c>
      <c r="D74" s="46">
        <v>0.61099999999999999</v>
      </c>
      <c r="E74" s="46">
        <f>E86/AD86-1</f>
        <v>-0.76983650370596513</v>
      </c>
      <c r="F74" s="46" t="e">
        <f>F86/W86-1</f>
        <v>#DIV/0!</v>
      </c>
      <c r="G74" s="46">
        <f t="shared" ref="G74:N74" si="88">G86/C86-1</f>
        <v>0.45130648164513509</v>
      </c>
      <c r="H74" s="46">
        <f t="shared" si="88"/>
        <v>-8.2462059345978278E-2</v>
      </c>
      <c r="I74" s="46">
        <f t="shared" si="88"/>
        <v>-0.12521633909171037</v>
      </c>
      <c r="J74" s="49">
        <f t="shared" si="88"/>
        <v>-0.19520303284715301</v>
      </c>
      <c r="K74" s="49">
        <f t="shared" si="88"/>
        <v>5.5227651210476569E-3</v>
      </c>
      <c r="L74" s="49">
        <f t="shared" si="88"/>
        <v>0.18404383867782337</v>
      </c>
      <c r="M74" s="49">
        <f t="shared" si="88"/>
        <v>-0.30497670753239503</v>
      </c>
      <c r="N74" s="49">
        <f t="shared" si="88"/>
        <v>0.83078204019218127</v>
      </c>
      <c r="O74" s="49">
        <f>O86/K86-1</f>
        <v>0.15134888489553111</v>
      </c>
      <c r="P74" s="49">
        <f>P86/L86-1</f>
        <v>0.12990686254337946</v>
      </c>
      <c r="Q74" s="49"/>
      <c r="R74" s="49"/>
      <c r="S74" s="49"/>
      <c r="T74" s="49"/>
      <c r="U74" s="49"/>
      <c r="V74" s="49"/>
      <c r="X74" s="41"/>
      <c r="Y74" s="41"/>
      <c r="Z74" s="41"/>
      <c r="AA74" s="41">
        <f>AA86/AI86-1</f>
        <v>14322827.671741711</v>
      </c>
      <c r="AB74" s="41">
        <f>AB86/AA86-1</f>
        <v>0.65322535731825249</v>
      </c>
      <c r="AC74" s="41">
        <f>AC86/AB86-1</f>
        <v>-2.7398413945276645E-2</v>
      </c>
      <c r="AD74" s="41">
        <f>AD86/AC86-1</f>
        <v>0.17579828519429319</v>
      </c>
      <c r="AE74" s="41"/>
      <c r="AF74" s="41"/>
      <c r="AG74" s="235"/>
      <c r="AH74" s="237">
        <f t="shared" si="3"/>
        <v>-1</v>
      </c>
      <c r="AK74" s="62"/>
    </row>
    <row r="75" spans="2:37" ht="9.75" customHeight="1" x14ac:dyDescent="0.25">
      <c r="B75" s="9" t="s">
        <v>236</v>
      </c>
      <c r="F75" s="47"/>
      <c r="G75" s="47"/>
      <c r="H75" s="47"/>
      <c r="J75" s="46">
        <f t="shared" ref="J75:P75" si="89">J98/F98-1</f>
        <v>-0.2143205412660586</v>
      </c>
      <c r="K75" s="46">
        <f t="shared" si="89"/>
        <v>-2.4702380106167876E-2</v>
      </c>
      <c r="L75" s="46">
        <f t="shared" si="89"/>
        <v>0.21730759039762582</v>
      </c>
      <c r="M75" s="46">
        <f t="shared" si="89"/>
        <v>-0.34492148436444225</v>
      </c>
      <c r="N75" s="46">
        <f t="shared" si="89"/>
        <v>0.81920175157237085</v>
      </c>
      <c r="O75" s="46">
        <f t="shared" si="89"/>
        <v>0.11680985601380689</v>
      </c>
      <c r="P75" s="46">
        <f t="shared" si="89"/>
        <v>9.8916024552696769E-2</v>
      </c>
      <c r="Q75" s="46"/>
      <c r="R75" s="46"/>
      <c r="S75" s="46"/>
      <c r="T75" s="46"/>
      <c r="U75" s="46"/>
      <c r="V75" s="46"/>
      <c r="X75" s="35"/>
      <c r="Y75" s="35"/>
      <c r="Z75" s="35"/>
      <c r="AA75" s="35"/>
      <c r="AB75" s="35">
        <f>AB98/AA98-1</f>
        <v>0.58940004097244159</v>
      </c>
      <c r="AC75" s="35">
        <f>AC98/AB98-1</f>
        <v>-8.191138831706668E-2</v>
      </c>
      <c r="AD75" s="35">
        <f>AD98/AC98-1</f>
        <v>0.15251384110356647</v>
      </c>
      <c r="AE75" s="35"/>
      <c r="AF75" s="35"/>
      <c r="AG75" s="112"/>
      <c r="AH75" s="237">
        <f t="shared" si="3"/>
        <v>-1</v>
      </c>
    </row>
    <row r="76" spans="2:37" ht="9.75" customHeight="1" x14ac:dyDescent="0.25">
      <c r="B76" s="40" t="s">
        <v>261</v>
      </c>
      <c r="F76" s="47"/>
      <c r="G76" s="47"/>
      <c r="H76" s="47"/>
      <c r="K76" s="46"/>
      <c r="L76" s="46"/>
      <c r="M76" s="46"/>
      <c r="N76" s="46"/>
      <c r="O76" s="46"/>
      <c r="P76" s="46"/>
      <c r="Q76" s="46"/>
      <c r="R76" s="46"/>
      <c r="S76" s="46"/>
      <c r="T76" s="46"/>
      <c r="U76" s="46"/>
      <c r="V76" s="46"/>
      <c r="X76" s="35"/>
      <c r="Y76" s="35"/>
      <c r="Z76" s="35"/>
      <c r="AA76" s="35"/>
      <c r="AB76" s="35"/>
      <c r="AC76" s="35"/>
      <c r="AD76" s="35"/>
      <c r="AE76" s="35"/>
      <c r="AF76" s="35"/>
      <c r="AG76" s="112"/>
      <c r="AH76" s="237" t="str">
        <f t="shared" si="3"/>
        <v/>
      </c>
    </row>
    <row r="77" spans="2:37" ht="9.75" customHeight="1" x14ac:dyDescent="0.2">
      <c r="B77" s="9" t="s">
        <v>179</v>
      </c>
      <c r="C77" s="46">
        <f t="shared" ref="C77:P77" si="90">C12/C$86</f>
        <v>0.36942787736294991</v>
      </c>
      <c r="D77" s="46">
        <f t="shared" si="90"/>
        <v>0.49960658551996279</v>
      </c>
      <c r="E77" s="46">
        <f t="shared" si="90"/>
        <v>0.51285817754494767</v>
      </c>
      <c r="F77" s="46">
        <f t="shared" si="90"/>
        <v>0.52825825089822542</v>
      </c>
      <c r="G77" s="46">
        <f t="shared" si="90"/>
        <v>0.47229554440303156</v>
      </c>
      <c r="H77" s="46">
        <f t="shared" si="90"/>
        <v>0.53907995946156639</v>
      </c>
      <c r="I77" s="46">
        <f t="shared" si="90"/>
        <v>0.54870469939250055</v>
      </c>
      <c r="J77" s="46">
        <f t="shared" si="90"/>
        <v>0.66995176031127401</v>
      </c>
      <c r="K77" s="46">
        <f t="shared" si="90"/>
        <v>0.58522000709791178</v>
      </c>
      <c r="L77" s="46">
        <f t="shared" si="90"/>
        <v>0.55198551499938275</v>
      </c>
      <c r="M77" s="46">
        <f t="shared" si="90"/>
        <v>0.97129010343408828</v>
      </c>
      <c r="N77" s="46">
        <f t="shared" si="90"/>
        <v>0.36032079164469422</v>
      </c>
      <c r="O77" s="46">
        <f t="shared" si="90"/>
        <v>0.54143915374980434</v>
      </c>
      <c r="P77" s="46">
        <f t="shared" si="90"/>
        <v>0.50642438839628234</v>
      </c>
      <c r="Q77" s="46"/>
      <c r="R77" s="46"/>
      <c r="S77" s="46"/>
      <c r="T77" s="46"/>
      <c r="U77" s="46"/>
      <c r="V77" s="46"/>
      <c r="X77" s="46"/>
      <c r="Y77" s="46"/>
      <c r="Z77" s="46"/>
      <c r="AA77" s="46">
        <f>AA12/AA$86</f>
        <v>0.36069144815784276</v>
      </c>
      <c r="AB77" s="46">
        <f>AB12/AB$86</f>
        <v>0.4872601126683786</v>
      </c>
      <c r="AC77" s="46">
        <f>AC12/AC$86</f>
        <v>0.55459527625501048</v>
      </c>
      <c r="AD77" s="46">
        <f>AD12/AD$86</f>
        <v>0.54604923567608177</v>
      </c>
      <c r="AE77" s="46"/>
      <c r="AF77" s="46">
        <f>AF12/AF$86</f>
        <v>0.89987144285231446</v>
      </c>
      <c r="AG77" s="271"/>
      <c r="AH77" s="237">
        <f t="shared" si="3"/>
        <v>0.22689256936420588</v>
      </c>
    </row>
    <row r="78" spans="2:37" ht="9.75" customHeight="1" x14ac:dyDescent="0.2">
      <c r="B78" s="9" t="s">
        <v>186</v>
      </c>
      <c r="C78" s="46">
        <f t="shared" ref="C78:P78" si="91">C59/C$86</f>
        <v>0.4464767948965625</v>
      </c>
      <c r="D78" s="46">
        <f t="shared" si="91"/>
        <v>0.35410879698620668</v>
      </c>
      <c r="E78" s="46">
        <f t="shared" si="91"/>
        <v>0.35246910168737222</v>
      </c>
      <c r="F78" s="46">
        <f t="shared" si="91"/>
        <v>0.34152122106514676</v>
      </c>
      <c r="G78" s="46">
        <f t="shared" si="91"/>
        <v>0.39583781762979914</v>
      </c>
      <c r="H78" s="46">
        <f t="shared" si="91"/>
        <v>0.46197572891221872</v>
      </c>
      <c r="I78" s="46">
        <f t="shared" si="91"/>
        <v>0.45234271349766075</v>
      </c>
      <c r="J78" s="46">
        <f t="shared" si="91"/>
        <v>0.48355347348436989</v>
      </c>
      <c r="K78" s="46">
        <f t="shared" si="91"/>
        <v>0.41587284598094831</v>
      </c>
      <c r="L78" s="46">
        <f t="shared" si="91"/>
        <v>0.44997325212954198</v>
      </c>
      <c r="M78" s="46">
        <f t="shared" si="91"/>
        <v>0.75470046215230935</v>
      </c>
      <c r="N78" s="46">
        <f t="shared" si="91"/>
        <v>0.30654288960223108</v>
      </c>
      <c r="O78" s="46">
        <f>O59/O$86</f>
        <v>0.41680611006732426</v>
      </c>
      <c r="P78" s="46">
        <f t="shared" si="91"/>
        <v>0.45229053968747268</v>
      </c>
      <c r="Q78" s="46"/>
      <c r="R78" s="46"/>
      <c r="S78" s="46"/>
      <c r="T78" s="46"/>
      <c r="U78" s="46"/>
      <c r="V78" s="46"/>
      <c r="X78" s="46"/>
      <c r="Y78" s="46"/>
      <c r="Z78" s="46"/>
      <c r="AA78" s="46">
        <f>AA59/AA$86</f>
        <v>0.48474277642484292</v>
      </c>
      <c r="AB78" s="46">
        <f>AB59/AB$86</f>
        <v>0.36718590894961772</v>
      </c>
      <c r="AC78" s="46">
        <f>AC59/AC$86</f>
        <v>0.44655558949201324</v>
      </c>
      <c r="AD78" s="46">
        <f>AD59/AD$86</f>
        <v>0.4302467809219287</v>
      </c>
      <c r="AE78" s="46"/>
      <c r="AF78" s="46">
        <v>0</v>
      </c>
      <c r="AG78" s="271"/>
      <c r="AH78" s="237">
        <f t="shared" si="3"/>
        <v>-1</v>
      </c>
    </row>
    <row r="79" spans="2:37" ht="9.75" customHeight="1" x14ac:dyDescent="0.2">
      <c r="B79" s="9" t="s">
        <v>233</v>
      </c>
      <c r="C79" s="46">
        <f t="shared" ref="C79:P79" si="92">C48/C$86</f>
        <v>0.18657799224783897</v>
      </c>
      <c r="D79" s="46">
        <f t="shared" si="92"/>
        <v>0.14667803197386775</v>
      </c>
      <c r="E79" s="46">
        <f t="shared" si="92"/>
        <v>0.13441674980874896</v>
      </c>
      <c r="F79" s="46">
        <f t="shared" si="92"/>
        <v>0.13142250752214926</v>
      </c>
      <c r="G79" s="46">
        <f t="shared" si="92"/>
        <v>0.13354895718865767</v>
      </c>
      <c r="H79" s="46">
        <f t="shared" si="92"/>
        <v>0.14017267813523204</v>
      </c>
      <c r="I79" s="46">
        <f t="shared" si="92"/>
        <v>0.12508770004754921</v>
      </c>
      <c r="J79" s="46">
        <f t="shared" si="92"/>
        <v>0.12617480974642575</v>
      </c>
      <c r="K79" s="46">
        <f t="shared" si="92"/>
        <v>0.11463690801444369</v>
      </c>
      <c r="L79" s="46">
        <f t="shared" si="92"/>
        <v>0</v>
      </c>
      <c r="M79" s="46">
        <f t="shared" si="92"/>
        <v>0</v>
      </c>
      <c r="N79" s="46">
        <f t="shared" si="92"/>
        <v>0</v>
      </c>
      <c r="O79" s="46">
        <f>O48/O$86</f>
        <v>0</v>
      </c>
      <c r="P79" s="46">
        <f t="shared" si="92"/>
        <v>0</v>
      </c>
      <c r="Q79" s="46"/>
      <c r="R79" s="46"/>
      <c r="S79" s="46"/>
      <c r="T79" s="46"/>
      <c r="U79" s="46"/>
      <c r="V79" s="46"/>
      <c r="X79" s="46"/>
      <c r="Y79" s="46"/>
      <c r="Z79" s="46"/>
      <c r="AA79" s="46">
        <f>AA48/AA$86</f>
        <v>0.15504549067656306</v>
      </c>
      <c r="AB79" s="46">
        <f>AB48/AB$86</f>
        <v>0.14640304899803541</v>
      </c>
      <c r="AC79" s="46">
        <f>AC48/AC$86</f>
        <v>0.13135928107888548</v>
      </c>
      <c r="AD79" s="46">
        <f>AD48/AD$86</f>
        <v>0</v>
      </c>
      <c r="AE79" s="46"/>
      <c r="AF79" s="46">
        <f>AF48/AF$86</f>
        <v>0</v>
      </c>
      <c r="AG79" s="271"/>
      <c r="AH79" s="237">
        <f t="shared" ref="AH79:AH153" si="93">IFERROR(((AF79/AB79))^(1/(2025-2022))-1,"")</f>
        <v>-1</v>
      </c>
    </row>
    <row r="80" spans="2:37" ht="9.75" customHeight="1" x14ac:dyDescent="0.2">
      <c r="B80" s="9" t="s">
        <v>180</v>
      </c>
      <c r="C80" s="63">
        <f t="shared" ref="C80:P80" si="94">C68/C$86</f>
        <v>-2.0716273372601082E-3</v>
      </c>
      <c r="D80" s="63">
        <f t="shared" si="94"/>
        <v>-6.9145575279264669E-4</v>
      </c>
      <c r="E80" s="63">
        <f t="shared" si="94"/>
        <v>2.559709589312049E-4</v>
      </c>
      <c r="F80" s="63">
        <f t="shared" si="94"/>
        <v>-1.1993721547502959E-3</v>
      </c>
      <c r="G80" s="63">
        <f t="shared" si="94"/>
        <v>-1.685151408729934E-3</v>
      </c>
      <c r="H80" s="63">
        <f t="shared" si="94"/>
        <v>-1.3317914869289539E-3</v>
      </c>
      <c r="I80" s="63">
        <f t="shared" si="94"/>
        <v>1.9631510169880396E-2</v>
      </c>
      <c r="J80" s="63">
        <f t="shared" si="94"/>
        <v>0</v>
      </c>
      <c r="K80" s="63">
        <f t="shared" si="94"/>
        <v>-1.2336846611873792E-3</v>
      </c>
      <c r="L80" s="63">
        <f t="shared" si="94"/>
        <v>-1.8215985624734235E-3</v>
      </c>
      <c r="M80" s="63">
        <f t="shared" si="94"/>
        <v>2.8709896565911722E-2</v>
      </c>
      <c r="N80" s="63">
        <f t="shared" si="94"/>
        <v>0</v>
      </c>
      <c r="O80" s="63">
        <f>O68/O$86</f>
        <v>4.1754736182871455E-2</v>
      </c>
      <c r="P80" s="63">
        <f t="shared" si="94"/>
        <v>4.128507191624501E-2</v>
      </c>
      <c r="Q80" s="63"/>
      <c r="R80" s="63"/>
      <c r="S80" s="63"/>
      <c r="T80" s="63"/>
      <c r="U80" s="63"/>
      <c r="V80" s="63"/>
      <c r="X80" s="63"/>
      <c r="Y80" s="63"/>
      <c r="Z80" s="63"/>
      <c r="AA80" s="63">
        <f>AA68/AA$86</f>
        <v>-4.7971525924875834E-4</v>
      </c>
      <c r="AB80" s="63">
        <f>AB68/AB$86</f>
        <v>-8.4830499780267569E-4</v>
      </c>
      <c r="AC80" s="63">
        <f>AC68/AC$86</f>
        <v>-1.1508657470236502E-3</v>
      </c>
      <c r="AD80" s="63">
        <f>AD68/AD$86</f>
        <v>2.3703983401989592E-2</v>
      </c>
      <c r="AE80" s="63"/>
      <c r="AF80" s="63">
        <f>AF68/AF$86</f>
        <v>0</v>
      </c>
      <c r="AG80" s="272"/>
      <c r="AH80" s="237">
        <f t="shared" si="93"/>
        <v>-1</v>
      </c>
    </row>
    <row r="81" spans="2:65" ht="12" x14ac:dyDescent="0.2">
      <c r="B81" s="9"/>
      <c r="C81" s="64">
        <f t="shared" ref="C81:I81" si="95">C77+C78+C79+C80</f>
        <v>1.0004110371700914</v>
      </c>
      <c r="D81" s="64">
        <f t="shared" si="95"/>
        <v>0.99970195872724466</v>
      </c>
      <c r="E81" s="64">
        <f t="shared" si="95"/>
        <v>1</v>
      </c>
      <c r="F81" s="64">
        <f t="shared" si="95"/>
        <v>1.0000026073307713</v>
      </c>
      <c r="G81" s="64">
        <f t="shared" si="95"/>
        <v>0.99999716781275838</v>
      </c>
      <c r="H81" s="64">
        <f t="shared" si="95"/>
        <v>1.1398965750220884</v>
      </c>
      <c r="I81" s="64">
        <f t="shared" si="95"/>
        <v>1.1457666231075909</v>
      </c>
      <c r="J81" s="64">
        <f t="shared" ref="J81" si="96">J77+J78+J79+J80</f>
        <v>1.2796800435420697</v>
      </c>
      <c r="K81" s="64">
        <f t="shared" ref="K81:P81" si="97">K77+K78+K79+K80</f>
        <v>1.1144960764321163</v>
      </c>
      <c r="L81" s="64">
        <f t="shared" si="97"/>
        <v>1.0001371685664513</v>
      </c>
      <c r="M81" s="64">
        <f t="shared" si="97"/>
        <v>1.7547004621523095</v>
      </c>
      <c r="N81" s="64">
        <f t="shared" si="97"/>
        <v>0.6668636812469253</v>
      </c>
      <c r="O81" s="64">
        <f>O77+O78+O79+O80</f>
        <v>1</v>
      </c>
      <c r="P81" s="64">
        <f t="shared" si="97"/>
        <v>1</v>
      </c>
      <c r="Q81" s="64"/>
      <c r="R81" s="64"/>
      <c r="S81" s="64"/>
      <c r="T81" s="64"/>
      <c r="U81" s="64"/>
      <c r="V81" s="64"/>
      <c r="X81" s="64"/>
      <c r="Y81" s="64"/>
      <c r="Z81" s="64"/>
      <c r="AA81" s="64">
        <f>AA77+AA78+AA79+AA80</f>
        <v>1</v>
      </c>
      <c r="AB81" s="64">
        <f>AB77+AB78+AB79+AB80</f>
        <v>1.000000765618229</v>
      </c>
      <c r="AC81" s="64">
        <f t="shared" ref="AC81" si="98">AC77+AC78+AC79+AC80</f>
        <v>1.1313592810788857</v>
      </c>
      <c r="AD81" s="64">
        <f>AD77+AD78+AD79+AD80</f>
        <v>1</v>
      </c>
      <c r="AE81" s="64"/>
      <c r="AF81" s="64">
        <f>AF77+AF78+AF79+AF80</f>
        <v>0.89987144285231446</v>
      </c>
      <c r="AG81" s="273"/>
      <c r="AH81" s="237">
        <f t="shared" si="93"/>
        <v>-3.4556834548573612E-2</v>
      </c>
      <c r="AI81" s="2" t="s">
        <v>331</v>
      </c>
    </row>
    <row r="82" spans="2:65" ht="12" x14ac:dyDescent="0.2">
      <c r="B82" s="9" t="s">
        <v>328</v>
      </c>
      <c r="C82" s="64"/>
      <c r="D82" s="64"/>
      <c r="E82" s="64"/>
      <c r="F82" s="64"/>
      <c r="G82" s="64"/>
      <c r="H82" s="64"/>
      <c r="I82" s="64"/>
      <c r="J82" s="64"/>
      <c r="K82" s="64"/>
      <c r="L82" s="64"/>
      <c r="M82" s="64"/>
      <c r="N82" s="64"/>
      <c r="O82" s="64"/>
      <c r="P82" s="64"/>
      <c r="Q82" s="64"/>
      <c r="R82" s="64"/>
      <c r="S82" s="64"/>
      <c r="T82" s="64"/>
      <c r="U82" s="64"/>
      <c r="V82" s="64"/>
      <c r="X82" s="64"/>
      <c r="Y82" s="64"/>
      <c r="Z82" s="64"/>
      <c r="AA82" s="64"/>
      <c r="AB82" s="64"/>
      <c r="AC82" s="64"/>
      <c r="AD82" s="19">
        <f>AD44+AD23</f>
        <v>0</v>
      </c>
      <c r="AE82" s="19"/>
      <c r="AF82" s="19">
        <f>AF44+AF23</f>
        <v>1666652.5</v>
      </c>
      <c r="AG82" s="270"/>
      <c r="AH82" s="237" t="str">
        <f t="shared" si="93"/>
        <v/>
      </c>
      <c r="AI82" s="24">
        <f ca="1">AF82/Main!C12-1</f>
        <v>4.4899867862793208E-2</v>
      </c>
      <c r="AJ82" s="24"/>
    </row>
    <row r="83" spans="2:65" ht="12" x14ac:dyDescent="0.2">
      <c r="B83" s="9" t="s">
        <v>314</v>
      </c>
      <c r="C83" s="64"/>
      <c r="D83" s="64"/>
      <c r="E83" s="64"/>
      <c r="F83" s="64"/>
      <c r="G83" s="64"/>
      <c r="H83" s="64"/>
      <c r="I83" s="64"/>
      <c r="J83" s="64"/>
      <c r="K83" s="64"/>
      <c r="L83" s="64"/>
      <c r="M83" s="64"/>
      <c r="N83" s="64"/>
      <c r="O83" s="64"/>
      <c r="P83" s="64"/>
      <c r="Q83" s="64"/>
      <c r="R83" s="64"/>
      <c r="S83" s="64"/>
      <c r="T83" s="64"/>
      <c r="U83" s="64"/>
      <c r="V83" s="64"/>
      <c r="X83" s="64"/>
      <c r="Y83" s="64"/>
      <c r="Z83" s="64"/>
      <c r="AA83" s="64"/>
      <c r="AB83" s="64"/>
      <c r="AC83" s="64"/>
      <c r="AD83" s="64"/>
      <c r="AE83" s="64"/>
      <c r="AF83" s="98">
        <f ca="1">(AF82/AF137)/Main!E3</f>
        <v>24.548795311954539</v>
      </c>
      <c r="AG83" s="270"/>
      <c r="AH83" s="237" t="str">
        <f t="shared" ca="1" si="93"/>
        <v/>
      </c>
    </row>
    <row r="84" spans="2:65" ht="12" x14ac:dyDescent="0.2">
      <c r="B84" s="85" t="s">
        <v>301</v>
      </c>
      <c r="C84" s="86"/>
      <c r="D84" s="86"/>
      <c r="E84" s="86"/>
      <c r="F84" s="86"/>
      <c r="G84" s="86"/>
      <c r="H84" s="86"/>
      <c r="I84" s="86"/>
      <c r="J84" s="86"/>
      <c r="K84" s="86"/>
      <c r="L84" s="86"/>
      <c r="M84" s="86" t="s">
        <v>304</v>
      </c>
      <c r="N84" s="86"/>
      <c r="O84" s="86"/>
      <c r="P84" s="86"/>
      <c r="Q84" s="86"/>
      <c r="R84" s="86"/>
      <c r="S84" s="86"/>
      <c r="T84" s="86"/>
      <c r="U84" s="86"/>
      <c r="V84" s="86"/>
      <c r="W84" s="87"/>
      <c r="X84" s="86"/>
      <c r="Y84" s="86"/>
      <c r="Z84" s="86"/>
      <c r="AA84" s="86"/>
      <c r="AB84" s="86"/>
      <c r="AC84" s="86"/>
      <c r="AD84" s="86"/>
      <c r="AE84" s="86"/>
      <c r="AF84" s="86"/>
      <c r="AG84" s="270"/>
      <c r="AH84" s="86"/>
      <c r="AI84" s="86"/>
      <c r="AJ84" s="86"/>
      <c r="AL84" s="86"/>
      <c r="AM84" s="86"/>
      <c r="AN84" s="86"/>
      <c r="AO84" s="86"/>
      <c r="AP84" s="86"/>
      <c r="AQ84" s="86"/>
      <c r="AR84" s="86"/>
      <c r="AS84" s="86"/>
      <c r="AT84" s="86"/>
      <c r="AU84" s="86"/>
    </row>
    <row r="85" spans="2:65" ht="12" x14ac:dyDescent="0.2">
      <c r="C85" s="5">
        <f>C59+C48+C12+C68</f>
        <v>243387</v>
      </c>
      <c r="D85" s="5">
        <f>D59+D48+D12+D68</f>
        <v>335424</v>
      </c>
      <c r="E85" s="5">
        <f>E59+E48+E12+E68</f>
        <v>343789</v>
      </c>
      <c r="F85" s="5">
        <f>F59+F48+F12+F68</f>
        <v>383535</v>
      </c>
      <c r="G85" s="5">
        <f>G59+G48+G12+G68</f>
        <v>353083</v>
      </c>
      <c r="K85" s="5">
        <f>K59+K48+K12+K68</f>
        <v>395684</v>
      </c>
      <c r="L85" s="5">
        <f>L59+L48+L12+L68</f>
        <v>364565</v>
      </c>
      <c r="O85" s="5">
        <f>O59+O48+O12+O68</f>
        <v>408768</v>
      </c>
      <c r="P85" s="5">
        <f>P59+P48+P12+P68</f>
        <v>411868</v>
      </c>
      <c r="Q85" s="5"/>
      <c r="R85" s="5"/>
      <c r="S85" s="5"/>
      <c r="T85" s="5"/>
      <c r="U85" s="5"/>
      <c r="V85" s="5"/>
      <c r="W85" s="5"/>
      <c r="X85" s="5"/>
      <c r="Y85" s="5"/>
      <c r="Z85" s="5"/>
      <c r="AA85" s="5">
        <f>AA59+AA48+AA12+AA68</f>
        <v>790052</v>
      </c>
      <c r="AB85" s="5">
        <f>AB59+AB48+AB12+AB68</f>
        <v>1306135</v>
      </c>
      <c r="AC85" s="65">
        <f>AC59+AC48+AC12+AC68</f>
        <v>1437220</v>
      </c>
      <c r="AD85" s="5">
        <f>AD59+AD48+AD12+AD68</f>
        <v>1493673</v>
      </c>
      <c r="AE85" s="5"/>
      <c r="AF85" s="5">
        <f>AF59+AF48+AF12+AF33</f>
        <v>1504992</v>
      </c>
      <c r="AG85" s="270"/>
      <c r="AH85" s="237">
        <f t="shared" si="93"/>
        <v>4.8371906958255551E-2</v>
      </c>
      <c r="AI85" s="24">
        <f t="shared" ref="AI85:AI99" si="99">((AF85/AA85)^(1/(2025-2021)))-1</f>
        <v>0.17481539412357483</v>
      </c>
      <c r="AJ85" s="24"/>
      <c r="AL85" s="5">
        <f t="shared" ref="AL85:AU85" si="100">AL59+AL48+AL12+AL33</f>
        <v>1050000</v>
      </c>
      <c r="AM85" s="5">
        <f t="shared" si="100"/>
        <v>1119000</v>
      </c>
      <c r="AN85" s="5">
        <f t="shared" si="100"/>
        <v>1182552.5000000002</v>
      </c>
      <c r="AO85" s="5">
        <f t="shared" si="100"/>
        <v>1239053.5625000002</v>
      </c>
      <c r="AP85" s="5">
        <f t="shared" si="100"/>
        <v>1287000.3690625003</v>
      </c>
      <c r="AQ85" s="5">
        <f t="shared" si="100"/>
        <v>1330941.5690890627</v>
      </c>
      <c r="AR85" s="5">
        <f t="shared" si="100"/>
        <v>1370304.1120552891</v>
      </c>
      <c r="AS85" s="5">
        <f>AS59+AS48+AS12+AS33</f>
        <v>1397710.1942963949</v>
      </c>
      <c r="AT85" s="5">
        <f t="shared" si="100"/>
        <v>1425664.3981823227</v>
      </c>
      <c r="AU85" s="5">
        <f t="shared" si="100"/>
        <v>1454177.6861459692</v>
      </c>
    </row>
    <row r="86" spans="2:65" ht="12" x14ac:dyDescent="0.2">
      <c r="B86" s="2" t="s">
        <v>8</v>
      </c>
      <c r="C86" s="1">
        <v>243287</v>
      </c>
      <c r="D86" s="8">
        <f>578811-C86</f>
        <v>335524</v>
      </c>
      <c r="E86" s="1">
        <v>343789</v>
      </c>
      <c r="F86" s="5">
        <f>AB86-E86-D86-C86</f>
        <v>383534</v>
      </c>
      <c r="G86" s="1">
        <v>353084</v>
      </c>
      <c r="H86" s="1">
        <v>307856</v>
      </c>
      <c r="I86" s="1">
        <v>300741</v>
      </c>
      <c r="J86" s="5">
        <f>AC86-I86-H86-G86</f>
        <v>308667</v>
      </c>
      <c r="K86" s="1">
        <v>355034</v>
      </c>
      <c r="L86" s="1">
        <v>364515</v>
      </c>
      <c r="M86" s="1">
        <v>209022</v>
      </c>
      <c r="N86" s="5">
        <f>AD86-M86-L86-K86</f>
        <v>565102</v>
      </c>
      <c r="O86" s="1">
        <v>408768</v>
      </c>
      <c r="P86" s="1">
        <v>411868</v>
      </c>
      <c r="Q86" s="1">
        <v>248355</v>
      </c>
      <c r="R86" s="1"/>
      <c r="S86" s="1">
        <v>238391</v>
      </c>
      <c r="T86" s="1"/>
      <c r="U86" s="1">
        <v>248192</v>
      </c>
      <c r="V86" s="8">
        <f>Q86+P86+O86+N86</f>
        <v>1634093</v>
      </c>
      <c r="X86" s="1">
        <v>766038</v>
      </c>
      <c r="Y86" s="1">
        <v>783262</v>
      </c>
      <c r="Z86" s="1">
        <v>614185</v>
      </c>
      <c r="AA86" s="1">
        <v>790052</v>
      </c>
      <c r="AB86" s="1">
        <v>1306134</v>
      </c>
      <c r="AC86" s="1">
        <v>1270348</v>
      </c>
      <c r="AD86" s="1">
        <v>1493673</v>
      </c>
      <c r="AE86" s="1">
        <v>851025</v>
      </c>
      <c r="AF86" s="1">
        <v>979331</v>
      </c>
      <c r="AG86" s="270"/>
      <c r="AH86" s="237">
        <f>IFERROR(((AF86/AB86))^(1/(2025-2022))-1,"")</f>
        <v>-9.1523029884701179E-2</v>
      </c>
      <c r="AI86" s="24">
        <f t="shared" si="99"/>
        <v>5.5160333067359568E-2</v>
      </c>
      <c r="AJ86" s="24">
        <f t="shared" ref="AJ86:AJ123" si="101">IFERROR((AF86/X86)^(1/(2025-2018))-1,"")</f>
        <v>3.5714088920537623E-2</v>
      </c>
      <c r="AL86" s="5">
        <f t="shared" ref="AL86:AP86" si="102">AL85</f>
        <v>1050000</v>
      </c>
      <c r="AM86" s="5">
        <f t="shared" si="102"/>
        <v>1119000</v>
      </c>
      <c r="AN86" s="5">
        <f t="shared" si="102"/>
        <v>1182552.5000000002</v>
      </c>
      <c r="AO86" s="5">
        <f t="shared" si="102"/>
        <v>1239053.5625000002</v>
      </c>
      <c r="AP86" s="5">
        <f t="shared" si="102"/>
        <v>1287000.3690625003</v>
      </c>
      <c r="AQ86" s="5">
        <f ca="1">AP86*(1+AQ87)</f>
        <v>1336273.0443315099</v>
      </c>
      <c r="AR86" s="5">
        <f t="shared" ref="AR86:BM86" ca="1" si="103">AQ86*(1+AR87)</f>
        <v>1387432.1188483562</v>
      </c>
      <c r="AS86" s="5">
        <f t="shared" ca="1" si="103"/>
        <v>1440549.8132120389</v>
      </c>
      <c r="AT86" s="5">
        <f t="shared" ca="1" si="103"/>
        <v>1495701.1129796787</v>
      </c>
      <c r="AU86" s="5">
        <f t="shared" ca="1" si="103"/>
        <v>1552963.8745226513</v>
      </c>
      <c r="AV86" s="5">
        <f t="shared" ca="1" si="103"/>
        <v>1599552.7907583308</v>
      </c>
      <c r="AW86" s="5">
        <f t="shared" ca="1" si="103"/>
        <v>1647539.3744810808</v>
      </c>
      <c r="AX86" s="5">
        <f t="shared" ca="1" si="103"/>
        <v>1696965.5557155132</v>
      </c>
      <c r="AY86" s="5">
        <f t="shared" ca="1" si="103"/>
        <v>1747874.5223869786</v>
      </c>
      <c r="AZ86" s="5">
        <f t="shared" ca="1" si="103"/>
        <v>1800310.758058588</v>
      </c>
      <c r="BA86" s="5">
        <f t="shared" ca="1" si="103"/>
        <v>1854320.0808003456</v>
      </c>
      <c r="BB86" s="5">
        <f t="shared" ca="1" si="103"/>
        <v>1909949.683224356</v>
      </c>
      <c r="BC86" s="5">
        <f t="shared" ca="1" si="103"/>
        <v>1967248.1737210867</v>
      </c>
      <c r="BD86" s="5">
        <f t="shared" ca="1" si="103"/>
        <v>2026265.6189327193</v>
      </c>
      <c r="BE86" s="5">
        <f t="shared" ca="1" si="103"/>
        <v>2087053.587500701</v>
      </c>
      <c r="BF86" s="5">
        <f t="shared" ca="1" si="103"/>
        <v>2149665.1951257219</v>
      </c>
      <c r="BG86" s="5">
        <f t="shared" ca="1" si="103"/>
        <v>2214155.1509794937</v>
      </c>
      <c r="BH86" s="5">
        <f t="shared" ca="1" si="103"/>
        <v>2280579.8055088785</v>
      </c>
      <c r="BI86" s="5">
        <f t="shared" ca="1" si="103"/>
        <v>2348997.1996741449</v>
      </c>
      <c r="BJ86" s="5">
        <f t="shared" ca="1" si="103"/>
        <v>2419467.1156643694</v>
      </c>
      <c r="BK86" s="5">
        <f t="shared" ca="1" si="103"/>
        <v>2492051.1291343006</v>
      </c>
      <c r="BL86" s="5">
        <f t="shared" ca="1" si="103"/>
        <v>2566812.6630083299</v>
      </c>
      <c r="BM86" s="5">
        <f t="shared" ca="1" si="103"/>
        <v>2643817.04289858</v>
      </c>
    </row>
    <row r="87" spans="2:65" ht="12" x14ac:dyDescent="0.2">
      <c r="B87" s="6" t="s">
        <v>303</v>
      </c>
      <c r="C87" s="1"/>
      <c r="D87" s="8"/>
      <c r="E87" s="1"/>
      <c r="F87" s="5"/>
      <c r="G87" s="1"/>
      <c r="H87" s="1"/>
      <c r="I87" s="1"/>
      <c r="J87" s="35">
        <f t="shared" ref="J87:Q87" si="104">J86/F86-1</f>
        <v>-0.19520303284715301</v>
      </c>
      <c r="K87" s="35">
        <f t="shared" si="104"/>
        <v>5.5227651210476569E-3</v>
      </c>
      <c r="L87" s="35">
        <f t="shared" si="104"/>
        <v>0.18404383867782337</v>
      </c>
      <c r="M87" s="35">
        <f t="shared" si="104"/>
        <v>-0.30497670753239503</v>
      </c>
      <c r="N87" s="35">
        <f t="shared" si="104"/>
        <v>0.83078204019218127</v>
      </c>
      <c r="O87" s="35">
        <f t="shared" si="104"/>
        <v>0.15134888489553111</v>
      </c>
      <c r="P87" s="35">
        <f t="shared" si="104"/>
        <v>0.12990686254337946</v>
      </c>
      <c r="Q87" s="35">
        <f t="shared" si="104"/>
        <v>0.18817636421046591</v>
      </c>
      <c r="R87" s="35"/>
      <c r="S87" s="35"/>
      <c r="T87" s="35"/>
      <c r="U87" s="35">
        <f>U86/S86-1</f>
        <v>4.1113129270819782E-2</v>
      </c>
      <c r="V87" s="93">
        <f>V86/AD86-1</f>
        <v>9.4009866952137422E-2</v>
      </c>
      <c r="X87" s="1"/>
      <c r="Y87" s="35">
        <f>Y86/X86-1</f>
        <v>2.2484524266420225E-2</v>
      </c>
      <c r="Z87" s="35">
        <f>Z86/Y86-1</f>
        <v>-0.21586263600174649</v>
      </c>
      <c r="AA87" s="35">
        <f>AA86/Z86-1</f>
        <v>0.28634206305917598</v>
      </c>
      <c r="AB87" s="35">
        <f>AB86/AA86-1</f>
        <v>0.65322535731825249</v>
      </c>
      <c r="AC87" s="35">
        <f t="shared" ref="AC87:AD87" si="105">AC86/AB86-1</f>
        <v>-2.7398413945276645E-2</v>
      </c>
      <c r="AD87" s="35">
        <f t="shared" si="105"/>
        <v>0.17579828519429319</v>
      </c>
      <c r="AE87" s="107" t="s">
        <v>330</v>
      </c>
      <c r="AF87" s="35">
        <f>AF86/AE86-1</f>
        <v>0.15076642871831036</v>
      </c>
      <c r="AG87" s="112"/>
      <c r="AH87" s="237">
        <f t="shared" si="93"/>
        <v>-0.38659515187629923</v>
      </c>
      <c r="AI87" s="24">
        <f t="shared" si="99"/>
        <v>-0.14816618825738104</v>
      </c>
      <c r="AJ87" s="24" t="str">
        <f t="shared" si="101"/>
        <v/>
      </c>
      <c r="AL87" s="41">
        <f>AL86/AF86-1</f>
        <v>7.2160485065825508E-2</v>
      </c>
      <c r="AM87" s="41">
        <f t="shared" ref="AM87" si="106">AM86/AL86-1</f>
        <v>6.5714285714285614E-2</v>
      </c>
      <c r="AN87" s="41">
        <f t="shared" ref="AN87" si="107">AN86/AM86-1</f>
        <v>5.6794012511170999E-2</v>
      </c>
      <c r="AO87" s="41">
        <f t="shared" ref="AO87" si="108">AO86/AN86-1</f>
        <v>4.777890410785135E-2</v>
      </c>
      <c r="AP87" s="41">
        <f t="shared" ref="AP87" si="109">AP86/AO86-1</f>
        <v>3.8696314682118649E-2</v>
      </c>
      <c r="AQ87" s="41">
        <f t="shared" ref="AQ87" ca="1" si="110">AQ86/AP86-1</f>
        <v>3.8284895990279733E-2</v>
      </c>
      <c r="AR87" s="41">
        <f t="shared" ref="AR87" ca="1" si="111">AR86/AQ86-1</f>
        <v>3.8284895990279733E-2</v>
      </c>
      <c r="AS87" s="41">
        <f t="shared" ref="AS87" ca="1" si="112">AS86/AR86-1</f>
        <v>3.8284895990279733E-2</v>
      </c>
      <c r="AT87" s="41">
        <f t="shared" ref="AT87" ca="1" si="113">AT86/AS86-1</f>
        <v>3.8284895990279733E-2</v>
      </c>
      <c r="AU87" s="41">
        <f t="shared" ref="AU87" ca="1" si="114">AU86/AT86-1</f>
        <v>3.8284895990279733E-2</v>
      </c>
      <c r="AV87" s="113">
        <v>0.03</v>
      </c>
      <c r="AW87" s="113">
        <v>0.03</v>
      </c>
      <c r="AX87" s="113">
        <v>0.03</v>
      </c>
      <c r="AY87" s="113">
        <v>0.03</v>
      </c>
      <c r="AZ87" s="113">
        <v>0.03</v>
      </c>
      <c r="BA87" s="113">
        <v>0.03</v>
      </c>
      <c r="BB87" s="113">
        <v>0.03</v>
      </c>
      <c r="BC87" s="113">
        <v>0.03</v>
      </c>
      <c r="BD87" s="113">
        <v>0.03</v>
      </c>
      <c r="BE87" s="113">
        <v>0.03</v>
      </c>
      <c r="BF87" s="113">
        <v>0.03</v>
      </c>
      <c r="BG87" s="113">
        <v>0.03</v>
      </c>
      <c r="BH87" s="113">
        <v>0.03</v>
      </c>
      <c r="BI87" s="113">
        <v>0.03</v>
      </c>
      <c r="BJ87" s="113">
        <v>0.03</v>
      </c>
      <c r="BK87" s="113">
        <v>0.03</v>
      </c>
      <c r="BL87" s="113">
        <v>0.03</v>
      </c>
      <c r="BM87" s="113">
        <v>0.03</v>
      </c>
    </row>
    <row r="88" spans="2:65" ht="12" x14ac:dyDescent="0.2">
      <c r="B88" s="2" t="s">
        <v>9</v>
      </c>
      <c r="C88" s="1">
        <v>17034</v>
      </c>
      <c r="D88" s="8">
        <f>27170-C88</f>
        <v>10136</v>
      </c>
      <c r="E88" s="1">
        <v>1997</v>
      </c>
      <c r="F88" s="5">
        <f t="shared" ref="F88:F97" si="115">AB88-E88-D88-C88</f>
        <v>-16734</v>
      </c>
      <c r="G88" s="1">
        <v>11082</v>
      </c>
      <c r="H88" s="1">
        <v>-5484</v>
      </c>
      <c r="I88" s="1">
        <v>6491</v>
      </c>
      <c r="J88" s="5">
        <f t="shared" ref="J88:J97" si="116">AC88-I88-H88-G88</f>
        <v>-15781</v>
      </c>
      <c r="K88" s="1">
        <v>17546</v>
      </c>
      <c r="L88" s="1">
        <v>13057</v>
      </c>
      <c r="M88" s="1">
        <v>1159</v>
      </c>
      <c r="N88" s="5">
        <f t="shared" ref="N88:N97" si="117">AD88-M88-L88-K88</f>
        <v>-9672</v>
      </c>
      <c r="O88" s="1">
        <v>10938</v>
      </c>
      <c r="P88" s="1">
        <v>5779</v>
      </c>
      <c r="Q88" s="1">
        <v>-11360</v>
      </c>
      <c r="R88" s="1"/>
      <c r="S88" s="1">
        <v>4751</v>
      </c>
      <c r="T88" s="1"/>
      <c r="U88" s="1">
        <v>11380</v>
      </c>
      <c r="V88" s="8">
        <f t="shared" ref="V88:V97" si="118">Q88+P88+O88+N88</f>
        <v>-4315</v>
      </c>
      <c r="X88" s="1">
        <v>-5835</v>
      </c>
      <c r="Y88" s="1">
        <v>13313</v>
      </c>
      <c r="Z88" s="1">
        <v>-9396</v>
      </c>
      <c r="AA88" s="1">
        <v>21830</v>
      </c>
      <c r="AB88" s="1">
        <v>12433</v>
      </c>
      <c r="AC88" s="1">
        <v>-3692</v>
      </c>
      <c r="AD88" s="1">
        <v>22090</v>
      </c>
      <c r="AE88" s="1">
        <v>17818</v>
      </c>
      <c r="AF88" s="1">
        <v>-9653</v>
      </c>
      <c r="AG88" s="236"/>
      <c r="AH88" s="237">
        <f t="shared" si="93"/>
        <v>-1.919098641494581</v>
      </c>
      <c r="AI88" s="24" t="e">
        <f t="shared" si="99"/>
        <v>#NUM!</v>
      </c>
      <c r="AJ88" s="24">
        <f t="shared" si="101"/>
        <v>7.4562387653338558E-2</v>
      </c>
    </row>
    <row r="89" spans="2:65" ht="12" x14ac:dyDescent="0.2">
      <c r="B89" s="2" t="s">
        <v>10</v>
      </c>
      <c r="C89" s="1">
        <v>6676</v>
      </c>
      <c r="D89" s="8">
        <f>10806-C89</f>
        <v>4130</v>
      </c>
      <c r="E89" s="1">
        <v>6586</v>
      </c>
      <c r="F89" s="5">
        <f t="shared" si="115"/>
        <v>12347</v>
      </c>
      <c r="G89" s="1">
        <v>3450</v>
      </c>
      <c r="H89" s="1">
        <v>2737</v>
      </c>
      <c r="I89" s="1">
        <v>2052</v>
      </c>
      <c r="J89" s="5">
        <f t="shared" si="116"/>
        <v>5535</v>
      </c>
      <c r="K89" s="1">
        <v>2128</v>
      </c>
      <c r="L89" s="1">
        <v>2430</v>
      </c>
      <c r="M89" s="1">
        <v>2740</v>
      </c>
      <c r="N89" s="5">
        <f t="shared" si="117"/>
        <v>6685</v>
      </c>
      <c r="O89" s="1">
        <v>2089</v>
      </c>
      <c r="P89" s="1">
        <v>2621</v>
      </c>
      <c r="Q89" s="1">
        <v>1753</v>
      </c>
      <c r="R89" s="1"/>
      <c r="S89" s="1">
        <v>2089</v>
      </c>
      <c r="T89" s="1"/>
      <c r="U89" s="1">
        <v>1144</v>
      </c>
      <c r="V89" s="8">
        <f t="shared" si="118"/>
        <v>13148</v>
      </c>
      <c r="X89" s="1">
        <v>1463</v>
      </c>
      <c r="Y89" s="1">
        <v>29112</v>
      </c>
      <c r="Z89" s="1">
        <v>42140</v>
      </c>
      <c r="AA89" s="1">
        <v>34584</v>
      </c>
      <c r="AB89" s="1">
        <v>29739</v>
      </c>
      <c r="AC89" s="1">
        <v>13774</v>
      </c>
      <c r="AD89" s="1">
        <v>13983</v>
      </c>
      <c r="AE89" s="1">
        <v>13848</v>
      </c>
      <c r="AF89" s="1">
        <v>8316</v>
      </c>
      <c r="AG89" s="236"/>
      <c r="AH89" s="237">
        <f t="shared" si="93"/>
        <v>-0.34607284350931544</v>
      </c>
      <c r="AI89" s="24">
        <f t="shared" si="99"/>
        <v>-0.29973920171194812</v>
      </c>
      <c r="AJ89" s="24">
        <f t="shared" si="101"/>
        <v>0.28176976220791716</v>
      </c>
    </row>
    <row r="90" spans="2:65" ht="12" x14ac:dyDescent="0.2">
      <c r="B90" s="6" t="s">
        <v>674</v>
      </c>
      <c r="C90" s="1"/>
      <c r="D90" s="8"/>
      <c r="E90" s="1"/>
      <c r="F90" s="5"/>
      <c r="G90" s="1"/>
      <c r="H90" s="1"/>
      <c r="I90" s="1"/>
      <c r="J90" s="5"/>
      <c r="K90" s="1"/>
      <c r="L90" s="1"/>
      <c r="M90" s="1"/>
      <c r="N90" s="5"/>
      <c r="O90" s="1"/>
      <c r="P90" s="1"/>
      <c r="Q90" s="1"/>
      <c r="R90" s="1"/>
      <c r="S90" s="1"/>
      <c r="T90" s="1"/>
      <c r="U90" s="1"/>
      <c r="V90" s="8"/>
      <c r="X90" s="69">
        <f>X89/X$86</f>
        <v>1.9098269276458871E-3</v>
      </c>
      <c r="Y90" s="69">
        <f t="shared" ref="Y90:AF90" si="119">Y89/Y$86</f>
        <v>3.7167639946786644E-2</v>
      </c>
      <c r="Z90" s="69">
        <f t="shared" si="119"/>
        <v>6.861124905362391E-2</v>
      </c>
      <c r="AA90" s="69">
        <f t="shared" si="119"/>
        <v>4.3774333841316772E-2</v>
      </c>
      <c r="AB90" s="69">
        <f t="shared" si="119"/>
        <v>2.2768720514127955E-2</v>
      </c>
      <c r="AC90" s="69">
        <f t="shared" si="119"/>
        <v>1.08426982212748E-2</v>
      </c>
      <c r="AD90" s="69">
        <f t="shared" si="119"/>
        <v>9.3614867511162079E-3</v>
      </c>
      <c r="AE90" s="69">
        <f t="shared" si="119"/>
        <v>1.6272142416497753E-2</v>
      </c>
      <c r="AF90" s="69">
        <f t="shared" si="119"/>
        <v>8.4915110417213384E-3</v>
      </c>
      <c r="AG90" s="236"/>
      <c r="AH90" s="237"/>
      <c r="AI90" s="24"/>
      <c r="AJ90" s="24"/>
    </row>
    <row r="91" spans="2:65" ht="12" x14ac:dyDescent="0.2">
      <c r="B91" s="2" t="s">
        <v>11</v>
      </c>
      <c r="C91" s="1">
        <v>4705</v>
      </c>
      <c r="D91" s="8">
        <f>12073-C91</f>
        <v>7368</v>
      </c>
      <c r="E91" s="1">
        <v>26667</v>
      </c>
      <c r="F91" s="5">
        <f t="shared" si="115"/>
        <v>66092</v>
      </c>
      <c r="G91" s="1">
        <v>5450</v>
      </c>
      <c r="H91" s="1">
        <v>9434</v>
      </c>
      <c r="I91" s="1">
        <v>5804</v>
      </c>
      <c r="J91" s="5">
        <f t="shared" si="116"/>
        <v>13366</v>
      </c>
      <c r="K91" s="1">
        <v>4993</v>
      </c>
      <c r="L91" s="1">
        <v>2864</v>
      </c>
      <c r="M91" s="1">
        <v>11895</v>
      </c>
      <c r="N91" s="5">
        <f t="shared" si="117"/>
        <v>14250</v>
      </c>
      <c r="O91" s="1">
        <v>9831</v>
      </c>
      <c r="P91" s="1">
        <v>11284</v>
      </c>
      <c r="Q91" s="1">
        <v>6077</v>
      </c>
      <c r="R91" s="1"/>
      <c r="S91" s="1">
        <v>9662</v>
      </c>
      <c r="T91" s="1"/>
      <c r="U91" s="1">
        <v>3675</v>
      </c>
      <c r="V91" s="8">
        <f t="shared" si="118"/>
        <v>41442</v>
      </c>
      <c r="X91" s="1">
        <v>24184</v>
      </c>
      <c r="Y91" s="1">
        <v>25420</v>
      </c>
      <c r="Z91" s="1">
        <v>37934</v>
      </c>
      <c r="AA91" s="1">
        <v>33999</v>
      </c>
      <c r="AB91" s="1">
        <v>104832</v>
      </c>
      <c r="AC91" s="1">
        <v>34054</v>
      </c>
      <c r="AD91" s="1">
        <v>34002</v>
      </c>
      <c r="AE91" s="1">
        <v>33484</v>
      </c>
      <c r="AF91" s="1">
        <v>36714</v>
      </c>
      <c r="AG91" s="236"/>
      <c r="AH91" s="237">
        <f t="shared" si="93"/>
        <v>-0.29512418340600266</v>
      </c>
      <c r="AI91" s="24">
        <f t="shared" si="99"/>
        <v>1.939239673006754E-2</v>
      </c>
      <c r="AJ91" s="24">
        <f t="shared" si="101"/>
        <v>6.1452367181737966E-2</v>
      </c>
    </row>
    <row r="92" spans="2:65" ht="12" x14ac:dyDescent="0.2">
      <c r="B92" s="2" t="s">
        <v>12</v>
      </c>
      <c r="C92" s="1">
        <v>-173683</v>
      </c>
      <c r="D92" s="8">
        <f>-393255-C92</f>
        <v>-219572</v>
      </c>
      <c r="E92" s="1">
        <v>-227588</v>
      </c>
      <c r="F92" s="5">
        <f t="shared" si="115"/>
        <v>-236307</v>
      </c>
      <c r="G92" s="1">
        <v>-234434</v>
      </c>
      <c r="H92" s="1">
        <v>-183964</v>
      </c>
      <c r="I92" s="1">
        <v>-197315</v>
      </c>
      <c r="J92" s="5">
        <f t="shared" si="116"/>
        <v>-187707</v>
      </c>
      <c r="K92" s="1">
        <v>-235753</v>
      </c>
      <c r="L92" s="1">
        <v>-228317</v>
      </c>
      <c r="M92" s="1">
        <v>-101042</v>
      </c>
      <c r="N92" s="5">
        <f t="shared" si="117"/>
        <v>-362785</v>
      </c>
      <c r="O92" s="1">
        <v>-256973</v>
      </c>
      <c r="P92" s="1">
        <v>-253224</v>
      </c>
      <c r="Q92" s="1">
        <v>-108290</v>
      </c>
      <c r="R92" s="1"/>
      <c r="S92" s="1">
        <v>-114590</v>
      </c>
      <c r="T92" s="1"/>
      <c r="U92" s="1">
        <v>-122222</v>
      </c>
      <c r="V92" s="8">
        <f t="shared" si="118"/>
        <v>-981272</v>
      </c>
      <c r="X92" s="1">
        <v>-460023</v>
      </c>
      <c r="Y92" s="1">
        <v>-469028</v>
      </c>
      <c r="Z92" s="1">
        <v>-400948</v>
      </c>
      <c r="AA92" s="1">
        <v>-558334</v>
      </c>
      <c r="AB92" s="1">
        <v>-857150</v>
      </c>
      <c r="AC92" s="1">
        <v>-803420</v>
      </c>
      <c r="AD92" s="1">
        <v>-927897</v>
      </c>
      <c r="AE92" s="1">
        <v>-410617</v>
      </c>
      <c r="AF92" s="1">
        <v>-445879</v>
      </c>
      <c r="AG92" s="236"/>
      <c r="AH92" s="237">
        <f t="shared" si="93"/>
        <v>-0.19575803685729787</v>
      </c>
      <c r="AI92" s="24">
        <f t="shared" si="99"/>
        <v>-5.4675887134622458E-2</v>
      </c>
      <c r="AJ92" s="24">
        <f t="shared" si="101"/>
        <v>-4.4513309663346545E-3</v>
      </c>
    </row>
    <row r="93" spans="2:65" ht="12" x14ac:dyDescent="0.2">
      <c r="B93" s="6" t="s">
        <v>674</v>
      </c>
      <c r="C93" s="1"/>
      <c r="D93" s="8"/>
      <c r="E93" s="1"/>
      <c r="F93" s="5"/>
      <c r="G93" s="1"/>
      <c r="H93" s="1"/>
      <c r="I93" s="1"/>
      <c r="J93" s="5"/>
      <c r="K93" s="1"/>
      <c r="L93" s="1"/>
      <c r="M93" s="1"/>
      <c r="N93" s="5"/>
      <c r="O93" s="1"/>
      <c r="P93" s="1"/>
      <c r="Q93" s="1"/>
      <c r="R93" s="1"/>
      <c r="S93" s="1"/>
      <c r="T93" s="1"/>
      <c r="U93" s="1"/>
      <c r="V93" s="8"/>
      <c r="X93" s="69">
        <f>-X92/X$86</f>
        <v>0.60052242839128089</v>
      </c>
      <c r="Y93" s="69">
        <f t="shared" ref="Y93:AF93" si="120">-Y92/Y$86</f>
        <v>0.59881367920312745</v>
      </c>
      <c r="Z93" s="69">
        <f t="shared" si="120"/>
        <v>0.65281307749293782</v>
      </c>
      <c r="AA93" s="69">
        <f t="shared" si="120"/>
        <v>0.70670538141793193</v>
      </c>
      <c r="AB93" s="69">
        <f t="shared" si="120"/>
        <v>0.65624966504202475</v>
      </c>
      <c r="AC93" s="69">
        <f t="shared" si="120"/>
        <v>0.63244087446904318</v>
      </c>
      <c r="AD93" s="69">
        <f t="shared" si="120"/>
        <v>0.62121829878427204</v>
      </c>
      <c r="AE93" s="69">
        <f t="shared" si="120"/>
        <v>0.48249698892511972</v>
      </c>
      <c r="AF93" s="69">
        <f t="shared" si="120"/>
        <v>0.45528937611491926</v>
      </c>
      <c r="AG93" s="236"/>
      <c r="AH93" s="237"/>
      <c r="AI93" s="24"/>
      <c r="AJ93" s="24"/>
    </row>
    <row r="94" spans="2:65" ht="12" x14ac:dyDescent="0.2">
      <c r="B94" s="2" t="s">
        <v>13</v>
      </c>
      <c r="C94" s="1">
        <v>-50052</v>
      </c>
      <c r="D94" s="8">
        <f>-121957-C94</f>
        <v>-71905</v>
      </c>
      <c r="E94" s="1">
        <v>-73155</v>
      </c>
      <c r="F94" s="5">
        <f t="shared" si="115"/>
        <v>-73153</v>
      </c>
      <c r="G94" s="1">
        <v>-70301</v>
      </c>
      <c r="H94" s="1">
        <v>-61085</v>
      </c>
      <c r="I94" s="1">
        <v>-61564</v>
      </c>
      <c r="J94" s="5">
        <f t="shared" si="116"/>
        <v>-55547</v>
      </c>
      <c r="K94" s="1">
        <v>-68186</v>
      </c>
      <c r="L94" s="1">
        <v>-70973</v>
      </c>
      <c r="M94" s="1">
        <v>-60011</v>
      </c>
      <c r="N94" s="5">
        <f t="shared" si="117"/>
        <v>-95390</v>
      </c>
      <c r="O94" s="1">
        <v>-82925</v>
      </c>
      <c r="P94" s="1">
        <v>-83068</v>
      </c>
      <c r="Q94" s="1">
        <v>-65123</v>
      </c>
      <c r="R94" s="1"/>
      <c r="S94" s="1">
        <v>-69303</v>
      </c>
      <c r="T94" s="1"/>
      <c r="U94" s="1">
        <v>-70369</v>
      </c>
      <c r="V94" s="8">
        <f t="shared" si="118"/>
        <v>-326506</v>
      </c>
      <c r="X94" s="1">
        <v>-160037</v>
      </c>
      <c r="Y94" s="1">
        <v>-180960</v>
      </c>
      <c r="Z94" s="1">
        <v>-156954</v>
      </c>
      <c r="AA94" s="1">
        <v>-173645</v>
      </c>
      <c r="AB94" s="1">
        <v>-268265</v>
      </c>
      <c r="AC94" s="1">
        <v>-248497</v>
      </c>
      <c r="AD94" s="1">
        <v>-294560</v>
      </c>
      <c r="AE94" s="1">
        <v>-242556</v>
      </c>
      <c r="AF94" s="1">
        <v>-276864</v>
      </c>
      <c r="AG94" s="236"/>
      <c r="AH94" s="237">
        <f t="shared" si="93"/>
        <v>1.0572536081586481E-2</v>
      </c>
      <c r="AI94" s="24">
        <f t="shared" si="99"/>
        <v>0.12370173553867514</v>
      </c>
      <c r="AJ94" s="24">
        <f t="shared" si="101"/>
        <v>8.1450346000814688E-2</v>
      </c>
    </row>
    <row r="95" spans="2:65" ht="12" hidden="1" outlineLevel="1" x14ac:dyDescent="0.2">
      <c r="B95" s="9" t="s">
        <v>665</v>
      </c>
      <c r="C95" s="1"/>
      <c r="D95" s="8"/>
      <c r="E95" s="1"/>
      <c r="F95" s="5"/>
      <c r="G95" s="1"/>
      <c r="H95" s="1"/>
      <c r="I95" s="1"/>
      <c r="J95" s="5"/>
      <c r="K95" s="1"/>
      <c r="L95" s="1"/>
      <c r="M95" s="1"/>
      <c r="N95" s="5"/>
      <c r="O95" s="1"/>
      <c r="P95" s="1"/>
      <c r="Q95" s="1"/>
      <c r="R95" s="1"/>
      <c r="S95" s="1"/>
      <c r="T95" s="1"/>
      <c r="U95" s="1"/>
      <c r="V95" s="8"/>
      <c r="X95" s="1"/>
      <c r="Y95" s="1"/>
      <c r="Z95" s="1"/>
      <c r="AA95" s="1"/>
      <c r="AB95" s="1"/>
      <c r="AC95" s="1"/>
      <c r="AD95" s="1"/>
      <c r="AE95" s="1">
        <v>-380</v>
      </c>
      <c r="AF95" s="1">
        <v>-446</v>
      </c>
      <c r="AG95" s="236"/>
      <c r="AH95" s="237"/>
      <c r="AI95" s="24"/>
      <c r="AJ95" s="24"/>
    </row>
    <row r="96" spans="2:65" ht="12" hidden="1" outlineLevel="1" x14ac:dyDescent="0.2">
      <c r="B96" s="117" t="s">
        <v>536</v>
      </c>
      <c r="C96" s="1"/>
      <c r="D96" s="8"/>
      <c r="E96" s="1"/>
      <c r="F96" s="5"/>
      <c r="G96" s="1"/>
      <c r="H96" s="1"/>
      <c r="I96" s="1"/>
      <c r="J96" s="5"/>
      <c r="K96" s="1"/>
      <c r="L96" s="1"/>
      <c r="M96" s="1"/>
      <c r="N96" s="5"/>
      <c r="O96" s="1"/>
      <c r="P96" s="1"/>
      <c r="Q96" s="1"/>
      <c r="R96" s="1"/>
      <c r="S96" s="1"/>
      <c r="T96" s="1"/>
      <c r="U96" s="1"/>
      <c r="V96" s="8"/>
      <c r="X96" s="1"/>
      <c r="Y96" s="1"/>
      <c r="Z96" s="1"/>
      <c r="AA96" s="1"/>
      <c r="AB96" s="1"/>
      <c r="AC96" s="1"/>
      <c r="AD96" s="1"/>
      <c r="AE96" s="455">
        <f>-AE95/AE86</f>
        <v>4.4652037249199493E-4</v>
      </c>
      <c r="AF96" s="455">
        <f>-AF95/AF86</f>
        <v>4.554129298470078E-4</v>
      </c>
      <c r="AG96" s="236"/>
      <c r="AH96" s="237"/>
      <c r="AI96" s="24"/>
      <c r="AJ96" s="24"/>
    </row>
    <row r="97" spans="2:66" ht="14.25" collapsed="1" x14ac:dyDescent="0.35">
      <c r="B97" s="2" t="s">
        <v>14</v>
      </c>
      <c r="C97" s="3">
        <v>-33563</v>
      </c>
      <c r="D97" s="39">
        <f>-85015-C97</f>
        <v>-51452</v>
      </c>
      <c r="E97" s="3">
        <v>-60174</v>
      </c>
      <c r="F97" s="17">
        <f t="shared" si="115"/>
        <v>-55610</v>
      </c>
      <c r="G97" s="3">
        <v>-46972</v>
      </c>
      <c r="H97" s="3">
        <v>-38006</v>
      </c>
      <c r="I97" s="3">
        <v>-37113</v>
      </c>
      <c r="J97" s="17">
        <f t="shared" si="116"/>
        <v>-43574</v>
      </c>
      <c r="K97" s="3">
        <v>-39080</v>
      </c>
      <c r="L97" s="3">
        <v>-45275</v>
      </c>
      <c r="M97" s="3">
        <v>-32845</v>
      </c>
      <c r="N97" s="17">
        <f t="shared" si="117"/>
        <v>-63623</v>
      </c>
      <c r="O97" s="3">
        <v>-43189</v>
      </c>
      <c r="P97" s="3">
        <v>-42356</v>
      </c>
      <c r="Q97" s="3">
        <v>-35368</v>
      </c>
      <c r="R97" s="3"/>
      <c r="S97" s="3">
        <v>-32821</v>
      </c>
      <c r="T97" s="3"/>
      <c r="U97" s="3">
        <v>-31212</v>
      </c>
      <c r="V97" s="39">
        <f t="shared" si="118"/>
        <v>-184536</v>
      </c>
      <c r="X97" s="3">
        <v>-100306</v>
      </c>
      <c r="Y97" s="3">
        <v>-112268</v>
      </c>
      <c r="Z97" s="3">
        <v>-93670</v>
      </c>
      <c r="AA97" s="3">
        <v>-102433</v>
      </c>
      <c r="AB97" s="3">
        <v>-200799</v>
      </c>
      <c r="AC97" s="3">
        <v>-165665</v>
      </c>
      <c r="AD97" s="3">
        <v>-180823</v>
      </c>
      <c r="AE97" s="3">
        <v>-138318</v>
      </c>
      <c r="AF97" s="3">
        <v>-131373</v>
      </c>
      <c r="AG97" s="269"/>
      <c r="AH97" s="237">
        <f t="shared" si="93"/>
        <v>-0.13187647749547615</v>
      </c>
      <c r="AI97" s="24">
        <f t="shared" si="99"/>
        <v>6.4183586557635008E-2</v>
      </c>
      <c r="AJ97" s="24">
        <f t="shared" si="101"/>
        <v>3.9297509317845591E-2</v>
      </c>
    </row>
    <row r="98" spans="2:66" ht="12" x14ac:dyDescent="0.2">
      <c r="B98" s="13" t="s">
        <v>235</v>
      </c>
      <c r="C98" s="8">
        <f>SUM(C92:C97)</f>
        <v>-257298</v>
      </c>
      <c r="D98" s="8">
        <f>SUM(D92:D97)</f>
        <v>-342929</v>
      </c>
      <c r="E98" s="8">
        <f>SUM(E92:E97)</f>
        <v>-360917</v>
      </c>
      <c r="F98" s="8">
        <f t="shared" ref="F98" si="121">SUM(F92:F97)</f>
        <v>-365070</v>
      </c>
      <c r="G98" s="8">
        <f t="shared" ref="G98:V98" si="122">SUM(G92:G97)</f>
        <v>-351707</v>
      </c>
      <c r="H98" s="8">
        <f t="shared" si="122"/>
        <v>-283055</v>
      </c>
      <c r="I98" s="8">
        <f t="shared" si="122"/>
        <v>-295992</v>
      </c>
      <c r="J98" s="8">
        <f t="shared" si="122"/>
        <v>-286828</v>
      </c>
      <c r="K98" s="8">
        <f t="shared" si="122"/>
        <v>-343019</v>
      </c>
      <c r="L98" s="8">
        <f t="shared" si="122"/>
        <v>-344565</v>
      </c>
      <c r="M98" s="8">
        <f t="shared" si="122"/>
        <v>-193898</v>
      </c>
      <c r="N98" s="8">
        <f t="shared" si="122"/>
        <v>-521798</v>
      </c>
      <c r="O98" s="8">
        <f t="shared" ref="O98" si="123">SUM(O92:O97)</f>
        <v>-383087</v>
      </c>
      <c r="P98" s="8">
        <f t="shared" si="122"/>
        <v>-378648</v>
      </c>
      <c r="Q98" s="8">
        <f t="shared" si="122"/>
        <v>-208781</v>
      </c>
      <c r="R98" s="8"/>
      <c r="S98" s="8">
        <f t="shared" si="122"/>
        <v>-216714</v>
      </c>
      <c r="T98" s="8"/>
      <c r="U98" s="8">
        <f t="shared" si="122"/>
        <v>-223803</v>
      </c>
      <c r="V98" s="8">
        <f t="shared" si="122"/>
        <v>-1492314</v>
      </c>
      <c r="X98" s="8">
        <f t="shared" ref="X98" si="124">SUM(X92:X97)</f>
        <v>-720365.3994775716</v>
      </c>
      <c r="Y98" s="8">
        <f>SUM(Y92:Y97)</f>
        <v>-762255.40118632081</v>
      </c>
      <c r="Z98" s="8">
        <f>SUM(Z92:Z97)</f>
        <v>-651571.34718692256</v>
      </c>
      <c r="AA98" s="8">
        <f>SUM(AA92:AA97)</f>
        <v>-834411.2932946186</v>
      </c>
      <c r="AB98" s="8">
        <f t="shared" ref="AB98" si="125">SUM(AB92:AB97)</f>
        <v>-1326213.3437503348</v>
      </c>
      <c r="AC98" s="8">
        <f>SUM(AC92:AC97)</f>
        <v>-1217581.3675591256</v>
      </c>
      <c r="AD98" s="8">
        <f>SUM(AD92:AD97)</f>
        <v>-1403279.3787817012</v>
      </c>
      <c r="AE98" s="8">
        <f>+AE92+AE94+AE97</f>
        <v>-791491</v>
      </c>
      <c r="AF98" s="8">
        <f>+AF92+AF94+AF97</f>
        <v>-854116</v>
      </c>
      <c r="AG98" s="275"/>
      <c r="AH98" s="237">
        <f t="shared" si="93"/>
        <v>-0.13642282567004893</v>
      </c>
      <c r="AI98" s="24">
        <f t="shared" si="99"/>
        <v>5.8522020474762737E-3</v>
      </c>
      <c r="AJ98" s="24">
        <f t="shared" si="101"/>
        <v>2.4628160161839219E-2</v>
      </c>
    </row>
    <row r="99" spans="2:66" ht="12" x14ac:dyDescent="0.2">
      <c r="B99" s="78" t="s">
        <v>345</v>
      </c>
      <c r="C99" s="79">
        <f t="shared" ref="C99:Q99" si="126">C86+C88+C89+C91+C92+C94+C97</f>
        <v>14404</v>
      </c>
      <c r="D99" s="79">
        <f t="shared" si="126"/>
        <v>14229</v>
      </c>
      <c r="E99" s="79">
        <f t="shared" si="126"/>
        <v>18122</v>
      </c>
      <c r="F99" s="79">
        <f t="shared" si="126"/>
        <v>80169</v>
      </c>
      <c r="G99" s="79">
        <f t="shared" si="126"/>
        <v>21359</v>
      </c>
      <c r="H99" s="79">
        <f t="shared" si="126"/>
        <v>31488</v>
      </c>
      <c r="I99" s="79">
        <f t="shared" si="126"/>
        <v>19096</v>
      </c>
      <c r="J99" s="79">
        <f t="shared" si="126"/>
        <v>24959</v>
      </c>
      <c r="K99" s="79">
        <f t="shared" si="126"/>
        <v>36682</v>
      </c>
      <c r="L99" s="79">
        <f t="shared" si="126"/>
        <v>38301</v>
      </c>
      <c r="M99" s="79">
        <f t="shared" si="126"/>
        <v>30918</v>
      </c>
      <c r="N99" s="79">
        <f t="shared" si="126"/>
        <v>54567</v>
      </c>
      <c r="O99" s="79">
        <f t="shared" si="126"/>
        <v>48539</v>
      </c>
      <c r="P99" s="79">
        <f t="shared" si="126"/>
        <v>52904</v>
      </c>
      <c r="Q99" s="79">
        <f t="shared" si="126"/>
        <v>36044</v>
      </c>
      <c r="R99" s="79"/>
      <c r="S99" s="79">
        <f>S86+S88+S89+S91+S92+S94+S97</f>
        <v>38179</v>
      </c>
      <c r="T99" s="79"/>
      <c r="U99" s="79">
        <f>U86+U88+U89+U91+U92+U94+U97</f>
        <v>40588</v>
      </c>
      <c r="V99" s="89">
        <f>V86+V88+V89+V91+V92+V94+V97</f>
        <v>192054</v>
      </c>
      <c r="W99" s="80"/>
      <c r="X99" s="79">
        <f t="shared" ref="X99:AF99" si="127">+X86+X88+X89+X91+X92+X94+X97</f>
        <v>65484</v>
      </c>
      <c r="Y99" s="79">
        <f t="shared" si="127"/>
        <v>88851</v>
      </c>
      <c r="Z99" s="79">
        <f t="shared" si="127"/>
        <v>33291</v>
      </c>
      <c r="AA99" s="79">
        <f t="shared" si="127"/>
        <v>46053</v>
      </c>
      <c r="AB99" s="79">
        <f t="shared" si="127"/>
        <v>126924</v>
      </c>
      <c r="AC99" s="79">
        <f t="shared" si="127"/>
        <v>96902</v>
      </c>
      <c r="AD99" s="79">
        <f t="shared" si="127"/>
        <v>160468</v>
      </c>
      <c r="AE99" s="79">
        <f t="shared" si="127"/>
        <v>124684</v>
      </c>
      <c r="AF99" s="79">
        <f t="shared" si="127"/>
        <v>160592</v>
      </c>
      <c r="AG99" s="5"/>
      <c r="AH99" s="237">
        <f t="shared" si="93"/>
        <v>8.1583497079533052E-2</v>
      </c>
      <c r="AI99" s="110">
        <f t="shared" si="99"/>
        <v>0.36652158211400909</v>
      </c>
      <c r="AJ99" s="24">
        <f t="shared" si="101"/>
        <v>0.1367253089244076</v>
      </c>
      <c r="AL99" s="111">
        <f t="shared" ref="AL99:AU99" si="128">AL14+AL35</f>
        <v>180000</v>
      </c>
      <c r="AM99" s="111">
        <f t="shared" si="128"/>
        <v>213550.00000000003</v>
      </c>
      <c r="AN99" s="111">
        <f t="shared" si="128"/>
        <v>220616.80000000005</v>
      </c>
      <c r="AO99" s="111">
        <f t="shared" si="128"/>
        <v>231384.98375000004</v>
      </c>
      <c r="AP99" s="111">
        <f t="shared" si="128"/>
        <v>240478.84950625006</v>
      </c>
      <c r="AQ99" s="111">
        <f t="shared" si="128"/>
        <v>248785.22794990629</v>
      </c>
      <c r="AR99" s="111">
        <f t="shared" si="128"/>
        <v>256192.21437775894</v>
      </c>
      <c r="AS99" s="111">
        <f t="shared" si="128"/>
        <v>261316.05866531411</v>
      </c>
      <c r="AT99" s="111">
        <f t="shared" si="128"/>
        <v>266542.37983862037</v>
      </c>
      <c r="AU99" s="111">
        <f t="shared" si="128"/>
        <v>271873.22743539279</v>
      </c>
      <c r="AV99" s="111">
        <f t="shared" ref="AV99:BM99" ca="1" si="129">AV86*AV106</f>
        <v>287919.50233649951</v>
      </c>
      <c r="AW99" s="111">
        <f t="shared" ca="1" si="129"/>
        <v>329507.87489621621</v>
      </c>
      <c r="AX99" s="111">
        <f t="shared" ca="1" si="129"/>
        <v>339393.11114310264</v>
      </c>
      <c r="AY99" s="111">
        <f t="shared" ca="1" si="129"/>
        <v>349574.90447739576</v>
      </c>
      <c r="AZ99" s="111">
        <f t="shared" ca="1" si="129"/>
        <v>360062.15161171765</v>
      </c>
      <c r="BA99" s="111">
        <f t="shared" ca="1" si="129"/>
        <v>370864.01616006915</v>
      </c>
      <c r="BB99" s="111">
        <f t="shared" ca="1" si="129"/>
        <v>381989.93664487125</v>
      </c>
      <c r="BC99" s="111">
        <f t="shared" ca="1" si="129"/>
        <v>393449.63474421739</v>
      </c>
      <c r="BD99" s="111">
        <f t="shared" ca="1" si="129"/>
        <v>405253.1237865439</v>
      </c>
      <c r="BE99" s="111">
        <f t="shared" ca="1" si="129"/>
        <v>417410.71750014019</v>
      </c>
      <c r="BF99" s="111">
        <f t="shared" ca="1" si="129"/>
        <v>429933.03902514442</v>
      </c>
      <c r="BG99" s="111">
        <f t="shared" ca="1" si="129"/>
        <v>442831.03019589878</v>
      </c>
      <c r="BH99" s="111">
        <f t="shared" ca="1" si="129"/>
        <v>456115.96110177576</v>
      </c>
      <c r="BI99" s="111">
        <f t="shared" ca="1" si="129"/>
        <v>469799.43993482902</v>
      </c>
      <c r="BJ99" s="111">
        <f t="shared" ca="1" si="129"/>
        <v>483893.4231328739</v>
      </c>
      <c r="BK99" s="111">
        <f t="shared" ca="1" si="129"/>
        <v>498410.22582686017</v>
      </c>
      <c r="BL99" s="111">
        <f t="shared" ca="1" si="129"/>
        <v>513362.532601666</v>
      </c>
      <c r="BM99" s="111">
        <f t="shared" ca="1" si="129"/>
        <v>528763.40857971599</v>
      </c>
    </row>
    <row r="100" spans="2:66" ht="12" x14ac:dyDescent="0.2">
      <c r="B100" s="6" t="s">
        <v>15</v>
      </c>
      <c r="C100" s="5"/>
      <c r="D100" s="5"/>
      <c r="E100" s="5"/>
      <c r="F100" s="5"/>
      <c r="G100" s="112">
        <f t="shared" ref="G100:Q100" si="130">G99/G$86</f>
        <v>6.0492687292542285E-2</v>
      </c>
      <c r="H100" s="112">
        <f t="shared" si="130"/>
        <v>0.10228158619614365</v>
      </c>
      <c r="I100" s="112">
        <f t="shared" si="130"/>
        <v>6.3496496985778458E-2</v>
      </c>
      <c r="J100" s="112">
        <f t="shared" si="130"/>
        <v>8.0860603822242097E-2</v>
      </c>
      <c r="K100" s="112">
        <f t="shared" si="130"/>
        <v>0.10331968205861974</v>
      </c>
      <c r="L100" s="112">
        <f t="shared" si="130"/>
        <v>0.10507386527303403</v>
      </c>
      <c r="M100" s="112">
        <f t="shared" si="130"/>
        <v>0.14791744409679364</v>
      </c>
      <c r="N100" s="112">
        <f t="shared" si="130"/>
        <v>9.6561328751269687E-2</v>
      </c>
      <c r="O100" s="112">
        <f t="shared" si="130"/>
        <v>0.1187446179740097</v>
      </c>
      <c r="P100" s="112">
        <f t="shared" si="130"/>
        <v>0.12844892052793613</v>
      </c>
      <c r="Q100" s="112">
        <f t="shared" si="130"/>
        <v>0.14513096172817136</v>
      </c>
      <c r="R100" s="5"/>
      <c r="S100" s="112">
        <f>S99/S$86</f>
        <v>0.16015285811964378</v>
      </c>
      <c r="T100" s="5"/>
      <c r="U100" s="112">
        <f>U99/U$86</f>
        <v>0.16353468282619907</v>
      </c>
      <c r="V100" s="44"/>
      <c r="X100" s="112">
        <f>X99/X$86</f>
        <v>8.5484009931622196E-2</v>
      </c>
      <c r="Y100" s="112">
        <f>Y99/Y$86</f>
        <v>0.11343713853091303</v>
      </c>
      <c r="Z100" s="112">
        <f>Z99/Z$86</f>
        <v>5.4203538021931501E-2</v>
      </c>
      <c r="AA100" s="112">
        <f t="shared" ref="AA100:AF100" si="131">AA99/AA$86</f>
        <v>5.8291099826340544E-2</v>
      </c>
      <c r="AB100" s="112">
        <f t="shared" si="131"/>
        <v>9.7175328105692071E-2</v>
      </c>
      <c r="AC100" s="112">
        <f t="shared" si="131"/>
        <v>7.627988551168656E-2</v>
      </c>
      <c r="AD100" s="112">
        <f t="shared" si="131"/>
        <v>0.10743181405836486</v>
      </c>
      <c r="AE100" s="112">
        <f t="shared" si="131"/>
        <v>0.14651038453629447</v>
      </c>
      <c r="AF100" s="112">
        <f t="shared" si="131"/>
        <v>0.16398133011208671</v>
      </c>
      <c r="AG100" s="112"/>
      <c r="AH100" s="237">
        <f t="shared" si="93"/>
        <v>0.19054586154480568</v>
      </c>
      <c r="AI100" s="110">
        <f>((AF100/AB100)^(1/(2025-2022)))-1</f>
        <v>0.19054586154480568</v>
      </c>
      <c r="AJ100" s="24">
        <f t="shared" si="101"/>
        <v>9.7528093017589246E-2</v>
      </c>
      <c r="AL100" s="112">
        <f>AL99/AL$86</f>
        <v>0.17142857142857143</v>
      </c>
      <c r="AM100" s="112">
        <f t="shared" ref="AM100:BM100" si="132">AM99/AM$86</f>
        <v>0.19084003574620198</v>
      </c>
      <c r="AN100" s="112">
        <f t="shared" si="132"/>
        <v>0.18655983560983549</v>
      </c>
      <c r="AO100" s="112">
        <f t="shared" si="132"/>
        <v>0.18674332632008392</v>
      </c>
      <c r="AP100" s="112">
        <f t="shared" si="132"/>
        <v>0.18685219933652694</v>
      </c>
      <c r="AQ100" s="112">
        <f ca="1">AQ99/AQ$86</f>
        <v>0.18617843786137642</v>
      </c>
      <c r="AR100" s="112">
        <f t="shared" ca="1" si="132"/>
        <v>0.18465207118775104</v>
      </c>
      <c r="AS100" s="112">
        <f t="shared" ca="1" si="132"/>
        <v>0.18140022390662738</v>
      </c>
      <c r="AT100" s="112">
        <f t="shared" ca="1" si="132"/>
        <v>0.17820564384526319</v>
      </c>
      <c r="AU100" s="112">
        <f t="shared" ca="1" si="132"/>
        <v>0.17506732248936632</v>
      </c>
      <c r="AV100" s="112">
        <f t="shared" ca="1" si="132"/>
        <v>0.17999999999999997</v>
      </c>
      <c r="AW100" s="112">
        <f t="shared" ca="1" si="132"/>
        <v>0.20000000000000004</v>
      </c>
      <c r="AX100" s="112">
        <f t="shared" ca="1" si="132"/>
        <v>0.2</v>
      </c>
      <c r="AY100" s="112">
        <f t="shared" ca="1" si="132"/>
        <v>0.2</v>
      </c>
      <c r="AZ100" s="112">
        <f t="shared" ca="1" si="132"/>
        <v>0.20000000000000004</v>
      </c>
      <c r="BA100" s="112">
        <f t="shared" ca="1" si="132"/>
        <v>0.2</v>
      </c>
      <c r="BB100" s="112">
        <f t="shared" ca="1" si="132"/>
        <v>0.2</v>
      </c>
      <c r="BC100" s="112">
        <f t="shared" ca="1" si="132"/>
        <v>0.2</v>
      </c>
      <c r="BD100" s="112">
        <f t="shared" ca="1" si="132"/>
        <v>0.2</v>
      </c>
      <c r="BE100" s="112">
        <f t="shared" ca="1" si="132"/>
        <v>0.2</v>
      </c>
      <c r="BF100" s="112">
        <f t="shared" ca="1" si="132"/>
        <v>0.2</v>
      </c>
      <c r="BG100" s="112">
        <f t="shared" ca="1" si="132"/>
        <v>0.2</v>
      </c>
      <c r="BH100" s="112">
        <f t="shared" ca="1" si="132"/>
        <v>0.2</v>
      </c>
      <c r="BI100" s="112">
        <f t="shared" ca="1" si="132"/>
        <v>0.2</v>
      </c>
      <c r="BJ100" s="112">
        <f t="shared" ca="1" si="132"/>
        <v>0.2</v>
      </c>
      <c r="BK100" s="112">
        <f t="shared" ca="1" si="132"/>
        <v>0.2</v>
      </c>
      <c r="BL100" s="112">
        <f t="shared" ca="1" si="132"/>
        <v>0.2</v>
      </c>
      <c r="BM100" s="112">
        <f t="shared" ca="1" si="132"/>
        <v>0.2</v>
      </c>
    </row>
    <row r="101" spans="2:66" ht="12" x14ac:dyDescent="0.2">
      <c r="B101" s="117" t="s">
        <v>346</v>
      </c>
      <c r="C101" s="5"/>
      <c r="D101" s="5"/>
      <c r="E101" s="5"/>
      <c r="F101" s="5"/>
      <c r="G101" s="5"/>
      <c r="H101" s="5"/>
      <c r="I101" s="5"/>
      <c r="J101" s="5"/>
      <c r="K101" s="5"/>
      <c r="L101" s="5"/>
      <c r="M101" s="5"/>
      <c r="N101" s="5"/>
      <c r="O101" s="5"/>
      <c r="P101" s="5"/>
      <c r="Q101" s="5"/>
      <c r="R101" s="5"/>
      <c r="S101" s="5"/>
      <c r="T101" s="5"/>
      <c r="U101" s="5"/>
      <c r="V101" s="44"/>
      <c r="X101" s="23">
        <f>3638+5753+1439</f>
        <v>10830</v>
      </c>
      <c r="Y101" s="23">
        <f>3188+8370+1519</f>
        <v>13077</v>
      </c>
      <c r="Z101" s="23">
        <f>4867+5203+1488</f>
        <v>11558</v>
      </c>
      <c r="AA101" s="5"/>
      <c r="AB101" s="20">
        <v>2568</v>
      </c>
      <c r="AC101" s="20">
        <v>14657</v>
      </c>
      <c r="AD101" s="5"/>
      <c r="AE101" s="20">
        <v>3432</v>
      </c>
      <c r="AF101" s="20">
        <v>0</v>
      </c>
      <c r="AG101" s="20"/>
      <c r="AH101" s="237">
        <f t="shared" si="93"/>
        <v>-1</v>
      </c>
      <c r="AI101" s="116"/>
      <c r="AJ101" s="24">
        <f t="shared" si="101"/>
        <v>-1</v>
      </c>
      <c r="AL101" s="94"/>
      <c r="AM101" s="94"/>
      <c r="AN101" s="94"/>
      <c r="AO101" s="94"/>
      <c r="AP101" s="94"/>
      <c r="AQ101" s="94"/>
      <c r="AR101" s="94"/>
      <c r="AS101" s="94"/>
      <c r="AT101" s="94"/>
      <c r="AU101" s="94"/>
      <c r="AV101" s="94"/>
      <c r="AW101" s="94"/>
      <c r="AX101" s="94"/>
      <c r="AY101" s="94"/>
      <c r="AZ101" s="94"/>
      <c r="BA101" s="94"/>
      <c r="BB101" s="94"/>
      <c r="BC101" s="94"/>
      <c r="BD101" s="94"/>
      <c r="BE101" s="94"/>
      <c r="BF101" s="94"/>
      <c r="BG101" s="94"/>
      <c r="BH101" s="94"/>
      <c r="BI101" s="94"/>
      <c r="BJ101" s="94"/>
      <c r="BK101" s="94"/>
      <c r="BL101" s="94"/>
      <c r="BM101" s="94"/>
    </row>
    <row r="102" spans="2:66" ht="12" x14ac:dyDescent="0.2">
      <c r="B102" s="117" t="s">
        <v>347</v>
      </c>
      <c r="C102" s="5"/>
      <c r="D102" s="5"/>
      <c r="E102" s="5"/>
      <c r="F102" s="5"/>
      <c r="G102" s="5"/>
      <c r="H102" s="5"/>
      <c r="I102" s="5"/>
      <c r="J102" s="5"/>
      <c r="K102" s="5"/>
      <c r="L102" s="5"/>
      <c r="M102" s="5"/>
      <c r="N102" s="5"/>
      <c r="O102" s="5"/>
      <c r="P102" s="5"/>
      <c r="Q102" s="5"/>
      <c r="R102" s="5"/>
      <c r="S102" s="5"/>
      <c r="T102" s="5"/>
      <c r="U102" s="5"/>
      <c r="V102" s="44"/>
      <c r="X102" s="5"/>
      <c r="Y102" s="5"/>
      <c r="Z102" s="5"/>
      <c r="AA102" s="5"/>
      <c r="AB102" s="20">
        <v>2816</v>
      </c>
      <c r="AC102" s="20">
        <v>2198</v>
      </c>
      <c r="AD102" s="5"/>
      <c r="AE102" s="20">
        <v>900</v>
      </c>
      <c r="AF102" s="20">
        <v>747</v>
      </c>
      <c r="AG102" s="20"/>
      <c r="AH102" s="237">
        <f t="shared" si="93"/>
        <v>-0.35746619193992801</v>
      </c>
      <c r="AI102" s="116"/>
      <c r="AJ102" s="24" t="str">
        <f t="shared" si="101"/>
        <v/>
      </c>
      <c r="AL102" s="94">
        <f t="shared" ref="AL102:BM102" si="133">AL86*AL103</f>
        <v>1050</v>
      </c>
      <c r="AM102" s="94">
        <f t="shared" si="133"/>
        <v>1119</v>
      </c>
      <c r="AN102" s="94">
        <f t="shared" si="133"/>
        <v>1182.5525000000002</v>
      </c>
      <c r="AO102" s="94">
        <f t="shared" si="133"/>
        <v>1239.0535625000002</v>
      </c>
      <c r="AP102" s="94">
        <f t="shared" si="133"/>
        <v>1287.0003690625003</v>
      </c>
      <c r="AQ102" s="94">
        <f t="shared" ca="1" si="133"/>
        <v>1336.2730443315099</v>
      </c>
      <c r="AR102" s="94">
        <f t="shared" ca="1" si="133"/>
        <v>1387.4321188483561</v>
      </c>
      <c r="AS102" s="94">
        <f t="shared" ca="1" si="133"/>
        <v>1440.549813212039</v>
      </c>
      <c r="AT102" s="94">
        <f t="shared" ca="1" si="133"/>
        <v>1495.7011129796788</v>
      </c>
      <c r="AU102" s="94">
        <f t="shared" ca="1" si="133"/>
        <v>1552.9638745226514</v>
      </c>
      <c r="AV102" s="94">
        <f t="shared" ca="1" si="133"/>
        <v>1599.552790758331</v>
      </c>
      <c r="AW102" s="94">
        <f t="shared" ca="1" si="133"/>
        <v>1647.5393744810808</v>
      </c>
      <c r="AX102" s="94">
        <f t="shared" ca="1" si="133"/>
        <v>1696.9655557155131</v>
      </c>
      <c r="AY102" s="94">
        <f t="shared" ca="1" si="133"/>
        <v>1747.8745223869787</v>
      </c>
      <c r="AZ102" s="94">
        <f t="shared" ca="1" si="133"/>
        <v>1800.3107580585881</v>
      </c>
      <c r="BA102" s="94">
        <f t="shared" ca="1" si="133"/>
        <v>1854.3200808003457</v>
      </c>
      <c r="BB102" s="94">
        <f t="shared" ca="1" si="133"/>
        <v>1909.949683224356</v>
      </c>
      <c r="BC102" s="94">
        <f t="shared" ca="1" si="133"/>
        <v>1967.2481737210867</v>
      </c>
      <c r="BD102" s="94">
        <f t="shared" ca="1" si="133"/>
        <v>2026.2656189327195</v>
      </c>
      <c r="BE102" s="94">
        <f t="shared" ca="1" si="133"/>
        <v>2087.0535875007008</v>
      </c>
      <c r="BF102" s="94">
        <f t="shared" ca="1" si="133"/>
        <v>2149.6651951257218</v>
      </c>
      <c r="BG102" s="94">
        <f t="shared" ca="1" si="133"/>
        <v>2214.155150979494</v>
      </c>
      <c r="BH102" s="94">
        <f t="shared" ca="1" si="133"/>
        <v>2280.5798055088785</v>
      </c>
      <c r="BI102" s="94">
        <f t="shared" ca="1" si="133"/>
        <v>2348.9971996741451</v>
      </c>
      <c r="BJ102" s="94">
        <f t="shared" ca="1" si="133"/>
        <v>2419.4671156643694</v>
      </c>
      <c r="BK102" s="94">
        <f t="shared" ca="1" si="133"/>
        <v>2492.0511291343005</v>
      </c>
      <c r="BL102" s="94">
        <f t="shared" ca="1" si="133"/>
        <v>2566.8126630083298</v>
      </c>
      <c r="BM102" s="94">
        <f t="shared" ca="1" si="133"/>
        <v>2643.81704289858</v>
      </c>
    </row>
    <row r="103" spans="2:66" ht="12" x14ac:dyDescent="0.2">
      <c r="B103" s="118" t="s">
        <v>349</v>
      </c>
      <c r="C103" s="5"/>
      <c r="D103" s="5"/>
      <c r="E103" s="5"/>
      <c r="F103" s="5"/>
      <c r="G103" s="5"/>
      <c r="H103" s="5"/>
      <c r="I103" s="5"/>
      <c r="J103" s="5"/>
      <c r="K103" s="5"/>
      <c r="L103" s="5"/>
      <c r="M103" s="5"/>
      <c r="N103" s="5"/>
      <c r="O103" s="5"/>
      <c r="P103" s="5"/>
      <c r="Q103" s="5"/>
      <c r="R103" s="5"/>
      <c r="S103" s="5"/>
      <c r="T103" s="5"/>
      <c r="U103" s="5"/>
      <c r="V103" s="44"/>
      <c r="X103" s="5"/>
      <c r="Y103" s="5"/>
      <c r="Z103" s="5"/>
      <c r="AA103" s="5"/>
      <c r="AB103" s="119">
        <f>AB102/AB86</f>
        <v>2.1559809330436233E-3</v>
      </c>
      <c r="AC103" s="119">
        <f>AC102/AC86</f>
        <v>1.7302345499028613E-3</v>
      </c>
      <c r="AD103" s="5"/>
      <c r="AE103" s="119">
        <f>AE102/AE86</f>
        <v>1.0575482506389353E-3</v>
      </c>
      <c r="AF103" s="119">
        <f>AF102/AF86</f>
        <v>7.6276560223254442E-4</v>
      </c>
      <c r="AG103" s="119"/>
      <c r="AH103" s="237">
        <f t="shared" si="93"/>
        <v>-0.2927351719454977</v>
      </c>
      <c r="AI103" s="116"/>
      <c r="AJ103" s="24" t="str">
        <f t="shared" si="101"/>
        <v/>
      </c>
      <c r="AL103" s="120">
        <v>1E-3</v>
      </c>
      <c r="AM103" s="120">
        <v>1E-3</v>
      </c>
      <c r="AN103" s="120">
        <v>1E-3</v>
      </c>
      <c r="AO103" s="120">
        <v>1E-3</v>
      </c>
      <c r="AP103" s="120">
        <v>1E-3</v>
      </c>
      <c r="AQ103" s="120">
        <v>1E-3</v>
      </c>
      <c r="AR103" s="120">
        <v>1E-3</v>
      </c>
      <c r="AS103" s="120">
        <v>1E-3</v>
      </c>
      <c r="AT103" s="120">
        <v>1E-3</v>
      </c>
      <c r="AU103" s="120">
        <v>1E-3</v>
      </c>
      <c r="AV103" s="120">
        <v>1E-3</v>
      </c>
      <c r="AW103" s="120">
        <v>1E-3</v>
      </c>
      <c r="AX103" s="120">
        <v>1E-3</v>
      </c>
      <c r="AY103" s="120">
        <v>1E-3</v>
      </c>
      <c r="AZ103" s="120">
        <v>1E-3</v>
      </c>
      <c r="BA103" s="120">
        <v>1E-3</v>
      </c>
      <c r="BB103" s="120">
        <v>1E-3</v>
      </c>
      <c r="BC103" s="120">
        <v>1E-3</v>
      </c>
      <c r="BD103" s="120">
        <v>1E-3</v>
      </c>
      <c r="BE103" s="120">
        <v>1E-3</v>
      </c>
      <c r="BF103" s="120">
        <v>1E-3</v>
      </c>
      <c r="BG103" s="120">
        <v>1E-3</v>
      </c>
      <c r="BH103" s="120">
        <v>1E-3</v>
      </c>
      <c r="BI103" s="120">
        <v>1E-3</v>
      </c>
      <c r="BJ103" s="120">
        <v>1E-3</v>
      </c>
      <c r="BK103" s="120">
        <v>1E-3</v>
      </c>
      <c r="BL103" s="120">
        <v>1E-3</v>
      </c>
      <c r="BM103" s="120">
        <v>1E-3</v>
      </c>
    </row>
    <row r="104" spans="2:66" s="13" customFormat="1" ht="12" x14ac:dyDescent="0.2">
      <c r="B104" s="4" t="s">
        <v>348</v>
      </c>
      <c r="C104" s="18"/>
      <c r="D104" s="18"/>
      <c r="E104" s="18"/>
      <c r="F104" s="18"/>
      <c r="G104" s="18"/>
      <c r="H104" s="18"/>
      <c r="I104" s="18"/>
      <c r="J104" s="18"/>
      <c r="K104" s="18"/>
      <c r="L104" s="18"/>
      <c r="M104" s="18"/>
      <c r="N104" s="18"/>
      <c r="O104" s="18"/>
      <c r="P104" s="18"/>
      <c r="Q104" s="18"/>
      <c r="R104" s="18"/>
      <c r="S104" s="18"/>
      <c r="T104" s="18"/>
      <c r="U104" s="18"/>
      <c r="V104" s="92"/>
      <c r="X104" s="18">
        <f t="shared" ref="X104" si="134">X99+X101+X102</f>
        <v>76314</v>
      </c>
      <c r="Y104" s="18">
        <f>Y99+Y101+Y102</f>
        <v>101928</v>
      </c>
      <c r="Z104" s="18">
        <f>Z99+Z101+Z102</f>
        <v>44849</v>
      </c>
      <c r="AA104" s="18"/>
      <c r="AB104" s="18">
        <v>134230</v>
      </c>
      <c r="AC104" s="18">
        <v>137665</v>
      </c>
      <c r="AD104" s="18"/>
      <c r="AE104" s="18">
        <f>AE99+AE101+AE102</f>
        <v>129016</v>
      </c>
      <c r="AF104" s="18">
        <f>AF99+AF101+AF102</f>
        <v>161339</v>
      </c>
      <c r="AG104" s="18"/>
      <c r="AH104" s="237">
        <f t="shared" si="93"/>
        <v>6.323661356980903E-2</v>
      </c>
      <c r="AI104" s="24" t="e">
        <f>((AF104/AA104)^(1/(2025-2021)))-1</f>
        <v>#DIV/0!</v>
      </c>
      <c r="AJ104" s="24">
        <f t="shared" si="101"/>
        <v>0.11287882119313353</v>
      </c>
      <c r="AK104" s="62"/>
      <c r="AL104" s="121">
        <f>AL99+AL102</f>
        <v>181050</v>
      </c>
      <c r="AM104" s="121">
        <f t="shared" ref="AM104:AP104" si="135">AM99+AM102</f>
        <v>214669.00000000003</v>
      </c>
      <c r="AN104" s="121">
        <f t="shared" si="135"/>
        <v>221799.35250000004</v>
      </c>
      <c r="AO104" s="121">
        <f t="shared" si="135"/>
        <v>232624.03731250003</v>
      </c>
      <c r="AP104" s="121">
        <f t="shared" si="135"/>
        <v>241765.84987531256</v>
      </c>
      <c r="AQ104" s="121">
        <f t="shared" ref="AQ104:BM104" ca="1" si="136">AQ99+AQ102</f>
        <v>250121.50099423781</v>
      </c>
      <c r="AR104" s="121">
        <f t="shared" ca="1" si="136"/>
        <v>257579.64649660728</v>
      </c>
      <c r="AS104" s="121">
        <f t="shared" ca="1" si="136"/>
        <v>262756.60847852612</v>
      </c>
      <c r="AT104" s="121">
        <f t="shared" ca="1" si="136"/>
        <v>268038.08095160004</v>
      </c>
      <c r="AU104" s="121">
        <f t="shared" ca="1" si="136"/>
        <v>273426.19130991545</v>
      </c>
      <c r="AV104" s="121">
        <f t="shared" ca="1" si="136"/>
        <v>289519.05512725783</v>
      </c>
      <c r="AW104" s="121">
        <f t="shared" ca="1" si="136"/>
        <v>331155.41427069728</v>
      </c>
      <c r="AX104" s="121">
        <f t="shared" ca="1" si="136"/>
        <v>341090.07669881813</v>
      </c>
      <c r="AY104" s="121">
        <f t="shared" ca="1" si="136"/>
        <v>351322.77899978275</v>
      </c>
      <c r="AZ104" s="121">
        <f t="shared" ca="1" si="136"/>
        <v>361862.46236977621</v>
      </c>
      <c r="BA104" s="121">
        <f t="shared" ca="1" si="136"/>
        <v>372718.33624086948</v>
      </c>
      <c r="BB104" s="121">
        <f t="shared" ca="1" si="136"/>
        <v>383899.88632809563</v>
      </c>
      <c r="BC104" s="121">
        <f t="shared" ca="1" si="136"/>
        <v>395416.88291793846</v>
      </c>
      <c r="BD104" s="121">
        <f t="shared" ca="1" si="136"/>
        <v>407279.38940547663</v>
      </c>
      <c r="BE104" s="121">
        <f t="shared" ca="1" si="136"/>
        <v>419497.7710876409</v>
      </c>
      <c r="BF104" s="121">
        <f t="shared" ca="1" si="136"/>
        <v>432082.70422027016</v>
      </c>
      <c r="BG104" s="121">
        <f t="shared" ca="1" si="136"/>
        <v>445045.18534687825</v>
      </c>
      <c r="BH104" s="121">
        <f t="shared" ca="1" si="136"/>
        <v>458396.54090728465</v>
      </c>
      <c r="BI104" s="121">
        <f t="shared" ca="1" si="136"/>
        <v>472148.43713450315</v>
      </c>
      <c r="BJ104" s="121">
        <f t="shared" ca="1" si="136"/>
        <v>486312.89024853829</v>
      </c>
      <c r="BK104" s="121">
        <f t="shared" ca="1" si="136"/>
        <v>500902.27695599449</v>
      </c>
      <c r="BL104" s="121">
        <f t="shared" ca="1" si="136"/>
        <v>515929.34526467434</v>
      </c>
      <c r="BM104" s="121">
        <f t="shared" ca="1" si="136"/>
        <v>531407.22562261461</v>
      </c>
    </row>
    <row r="105" spans="2:66" ht="12" x14ac:dyDescent="0.2">
      <c r="B105" s="6" t="s">
        <v>303</v>
      </c>
      <c r="C105" s="1"/>
      <c r="D105" s="8"/>
      <c r="E105" s="1"/>
      <c r="F105" s="5"/>
      <c r="G105" s="1"/>
      <c r="H105" s="1"/>
      <c r="I105" s="1"/>
      <c r="J105" s="35">
        <f t="shared" ref="J105:Q105" si="137">J99/F99-1</f>
        <v>-0.68867018423580184</v>
      </c>
      <c r="K105" s="35">
        <f t="shared" si="137"/>
        <v>0.71740250011704676</v>
      </c>
      <c r="L105" s="35">
        <f t="shared" si="137"/>
        <v>0.21636814024390238</v>
      </c>
      <c r="M105" s="35">
        <f t="shared" si="137"/>
        <v>0.61908253037285288</v>
      </c>
      <c r="N105" s="35">
        <f t="shared" si="137"/>
        <v>1.1862654753796225</v>
      </c>
      <c r="O105" s="35">
        <f t="shared" si="137"/>
        <v>0.32323755520418729</v>
      </c>
      <c r="P105" s="35">
        <f t="shared" si="137"/>
        <v>0.38126941855304031</v>
      </c>
      <c r="Q105" s="35">
        <f t="shared" si="137"/>
        <v>0.16579338896435725</v>
      </c>
      <c r="R105" s="35"/>
      <c r="S105" s="35"/>
      <c r="T105" s="35"/>
      <c r="U105" s="35">
        <f>U99/S99-1</f>
        <v>6.3097514340344274E-2</v>
      </c>
      <c r="V105" s="93">
        <f>V99/AD99-1</f>
        <v>0.1968367524989405</v>
      </c>
      <c r="X105" s="1"/>
      <c r="Y105" s="1"/>
      <c r="Z105" s="1"/>
      <c r="AA105" s="1"/>
      <c r="AB105" s="35">
        <f>AB99/AA99-1</f>
        <v>1.7560419516643866</v>
      </c>
      <c r="AC105" s="35">
        <f t="shared" ref="AC105" si="138">AC99/AB99-1</f>
        <v>-0.23653524944061011</v>
      </c>
      <c r="AD105" s="35">
        <f>AD99/AC99-1</f>
        <v>0.65598233266599237</v>
      </c>
      <c r="AE105" s="107" t="s">
        <v>330</v>
      </c>
      <c r="AF105" s="35">
        <f>AF104/AE104-1</f>
        <v>0.25053481738699079</v>
      </c>
      <c r="AG105" s="112"/>
      <c r="AH105" s="237">
        <f t="shared" si="93"/>
        <v>-0.47747019514356437</v>
      </c>
      <c r="AJ105" s="24" t="str">
        <f t="shared" si="101"/>
        <v/>
      </c>
      <c r="AL105" s="112">
        <f>AL99/AF99-1</f>
        <v>0.12085284447544087</v>
      </c>
      <c r="AM105" s="112">
        <f t="shared" ref="AM105" si="139">AM99/AL99-1</f>
        <v>0.18638888888888916</v>
      </c>
      <c r="AN105" s="112">
        <f t="shared" ref="AN105" si="140">AN99/AM99-1</f>
        <v>3.3092015921329931E-2</v>
      </c>
      <c r="AO105" s="112">
        <f t="shared" ref="AO105" si="141">AO99/AN99-1</f>
        <v>4.8809445835493959E-2</v>
      </c>
      <c r="AP105" s="112">
        <f t="shared" ref="AP105" si="142">AP99/AO99-1</f>
        <v>3.9301883851181385E-2</v>
      </c>
      <c r="AQ105" s="112">
        <f t="shared" ref="AQ105" si="143">AQ99/AP99-1</f>
        <v>3.4540993774341722E-2</v>
      </c>
      <c r="AR105" s="112">
        <f t="shared" ref="AR105" si="144">AR99/AQ99-1</f>
        <v>2.9772613466198639E-2</v>
      </c>
      <c r="AS105" s="112">
        <f t="shared" ref="AS105" si="145">AS99/AR99-1</f>
        <v>2.0000000000000018E-2</v>
      </c>
      <c r="AT105" s="112">
        <f t="shared" ref="AT105" si="146">AT99/AS99-1</f>
        <v>2.0000000000000018E-2</v>
      </c>
      <c r="AU105" s="112">
        <f t="shared" ref="AU105" si="147">AU99/AT99-1</f>
        <v>2.0000000000000018E-2</v>
      </c>
      <c r="AV105" s="112">
        <f t="shared" ref="AV105" ca="1" si="148">AV99/AU99-1</f>
        <v>5.9021166050342133E-2</v>
      </c>
      <c r="AW105" s="112">
        <f t="shared" ref="AW105" ca="1" si="149">AW99/AV99-1</f>
        <v>0.14444444444444482</v>
      </c>
      <c r="AX105" s="112">
        <f t="shared" ref="AX105" ca="1" si="150">AX99/AW99-1</f>
        <v>2.9999999999999805E-2</v>
      </c>
      <c r="AY105" s="112">
        <f t="shared" ref="AY105" ca="1" si="151">AY99/AX99-1</f>
        <v>3.0000000000000027E-2</v>
      </c>
      <c r="AZ105" s="112">
        <f t="shared" ref="AZ105" ca="1" si="152">AZ99/AY99-1</f>
        <v>3.0000000000000027E-2</v>
      </c>
      <c r="BA105" s="112">
        <f t="shared" ref="BA105" ca="1" si="153">BA99/AZ99-1</f>
        <v>3.0000000000000027E-2</v>
      </c>
      <c r="BB105" s="112">
        <f t="shared" ref="BB105" ca="1" si="154">BB99/BA99-1</f>
        <v>3.0000000000000027E-2</v>
      </c>
      <c r="BC105" s="112">
        <f t="shared" ref="BC105" ca="1" si="155">BC99/BB99-1</f>
        <v>3.0000000000000027E-2</v>
      </c>
      <c r="BD105" s="112">
        <f t="shared" ref="BD105" ca="1" si="156">BD99/BC99-1</f>
        <v>3.0000000000000027E-2</v>
      </c>
      <c r="BE105" s="112">
        <f t="shared" ref="BE105" ca="1" si="157">BE99/BD99-1</f>
        <v>3.0000000000000027E-2</v>
      </c>
      <c r="BF105" s="112">
        <f t="shared" ref="BF105" ca="1" si="158">BF99/BE99-1</f>
        <v>3.0000000000000027E-2</v>
      </c>
      <c r="BG105" s="112">
        <f t="shared" ref="BG105" ca="1" si="159">BG99/BF99-1</f>
        <v>3.0000000000000027E-2</v>
      </c>
      <c r="BH105" s="112">
        <f t="shared" ref="BH105" ca="1" si="160">BH99/BG99-1</f>
        <v>3.0000000000000027E-2</v>
      </c>
      <c r="BI105" s="112">
        <f t="shared" ref="BI105" ca="1" si="161">BI99/BH99-1</f>
        <v>3.0000000000000027E-2</v>
      </c>
      <c r="BJ105" s="112">
        <f t="shared" ref="BJ105" ca="1" si="162">BJ99/BI99-1</f>
        <v>3.0000000000000027E-2</v>
      </c>
      <c r="BK105" s="112">
        <f t="shared" ref="BK105" ca="1" si="163">BK99/BJ99-1</f>
        <v>3.0000000000000027E-2</v>
      </c>
      <c r="BL105" s="112">
        <f t="shared" ref="BL105" ca="1" si="164">BL99/BK99-1</f>
        <v>3.0000000000000027E-2</v>
      </c>
      <c r="BM105" s="112">
        <f t="shared" ref="BM105" ca="1" si="165">BM99/BL99-1</f>
        <v>3.0000000000000027E-2</v>
      </c>
    </row>
    <row r="106" spans="2:66" ht="12" x14ac:dyDescent="0.2">
      <c r="B106" s="81" t="s">
        <v>15</v>
      </c>
      <c r="C106" s="82">
        <f t="shared" ref="C106:Q106" si="166">C99/C$86</f>
        <v>5.9205793979949607E-2</v>
      </c>
      <c r="D106" s="82">
        <f t="shared" si="166"/>
        <v>4.2408292700373149E-2</v>
      </c>
      <c r="E106" s="82">
        <f t="shared" si="166"/>
        <v>5.2712564974446534E-2</v>
      </c>
      <c r="F106" s="82">
        <f t="shared" si="166"/>
        <v>0.20902710059603583</v>
      </c>
      <c r="G106" s="82">
        <f t="shared" si="166"/>
        <v>6.0492687292542285E-2</v>
      </c>
      <c r="H106" s="82">
        <f t="shared" si="166"/>
        <v>0.10228158619614365</v>
      </c>
      <c r="I106" s="82">
        <f t="shared" si="166"/>
        <v>6.3496496985778458E-2</v>
      </c>
      <c r="J106" s="82">
        <f t="shared" si="166"/>
        <v>8.0860603822242097E-2</v>
      </c>
      <c r="K106" s="82">
        <f t="shared" si="166"/>
        <v>0.10331968205861974</v>
      </c>
      <c r="L106" s="82">
        <f t="shared" si="166"/>
        <v>0.10507386527303403</v>
      </c>
      <c r="M106" s="82">
        <f t="shared" si="166"/>
        <v>0.14791744409679364</v>
      </c>
      <c r="N106" s="82">
        <f t="shared" si="166"/>
        <v>9.6561328751269687E-2</v>
      </c>
      <c r="O106" s="82">
        <f>O99/O$86</f>
        <v>0.1187446179740097</v>
      </c>
      <c r="P106" s="82">
        <f t="shared" si="166"/>
        <v>0.12844892052793613</v>
      </c>
      <c r="Q106" s="82">
        <f t="shared" si="166"/>
        <v>0.14513096172817136</v>
      </c>
      <c r="R106" s="82"/>
      <c r="S106" s="82"/>
      <c r="T106" s="82"/>
      <c r="U106" s="82">
        <f t="shared" ref="U106" si="167">U99/U$86</f>
        <v>0.16353468282619907</v>
      </c>
      <c r="V106" s="90">
        <f t="shared" ref="V106" si="168">V99/V$86</f>
        <v>0.11752941846027123</v>
      </c>
      <c r="W106" s="82"/>
      <c r="X106" s="108">
        <f>X104/X$86</f>
        <v>9.9621689785624218E-2</v>
      </c>
      <c r="Y106" s="108">
        <f>Y104/Y$86</f>
        <v>0.13013270144600403</v>
      </c>
      <c r="Z106" s="108">
        <f>Z104/Z$86</f>
        <v>7.3021972207071156E-2</v>
      </c>
      <c r="AA106" s="108">
        <f>AA104/AA$86</f>
        <v>0</v>
      </c>
      <c r="AB106" s="82">
        <f>AB99/AB$86</f>
        <v>9.7175328105692071E-2</v>
      </c>
      <c r="AC106" s="82">
        <f>AC99/AC$86</f>
        <v>7.627988551168656E-2</v>
      </c>
      <c r="AD106" s="82">
        <f>AD99/AD$86</f>
        <v>0.10743181405836486</v>
      </c>
      <c r="AE106" s="108">
        <f>AE104/AE$86</f>
        <v>0.1516007167827032</v>
      </c>
      <c r="AF106" s="108">
        <f>AF104/AF$86</f>
        <v>0.16474409571431928</v>
      </c>
      <c r="AG106" s="235"/>
      <c r="AH106" s="237">
        <f t="shared" si="93"/>
        <v>0.19238896369420622</v>
      </c>
      <c r="AI106" s="110">
        <f>((AF106/AB106)^(1/(2025-2022)))-1</f>
        <v>0.19238896369420622</v>
      </c>
      <c r="AJ106" s="24">
        <f t="shared" si="101"/>
        <v>7.450389359192755E-2</v>
      </c>
      <c r="AL106" s="108">
        <f>AL104/AL$86</f>
        <v>0.17242857142857143</v>
      </c>
      <c r="AM106" s="108">
        <f t="shared" ref="AM106:AU106" si="169">AM104/AM$86</f>
        <v>0.19184003574620198</v>
      </c>
      <c r="AN106" s="108">
        <f t="shared" si="169"/>
        <v>0.1875598356098355</v>
      </c>
      <c r="AO106" s="108">
        <f t="shared" si="169"/>
        <v>0.18774332632008392</v>
      </c>
      <c r="AP106" s="108">
        <f t="shared" si="169"/>
        <v>0.18785219933652694</v>
      </c>
      <c r="AQ106" s="108">
        <f t="shared" ca="1" si="169"/>
        <v>0.18717843786137642</v>
      </c>
      <c r="AR106" s="108">
        <f t="shared" ca="1" si="169"/>
        <v>0.18565207118775104</v>
      </c>
      <c r="AS106" s="108">
        <f t="shared" ca="1" si="169"/>
        <v>0.18240022390662736</v>
      </c>
      <c r="AT106" s="108">
        <f t="shared" ca="1" si="169"/>
        <v>0.17920564384526319</v>
      </c>
      <c r="AU106" s="108">
        <f t="shared" ca="1" si="169"/>
        <v>0.17606732248936632</v>
      </c>
      <c r="AV106" s="113">
        <v>0.18</v>
      </c>
      <c r="AW106" s="113">
        <v>0.2</v>
      </c>
      <c r="AX106" s="113">
        <v>0.2</v>
      </c>
      <c r="AY106" s="113">
        <v>0.2</v>
      </c>
      <c r="AZ106" s="113">
        <v>0.2</v>
      </c>
      <c r="BA106" s="113">
        <v>0.2</v>
      </c>
      <c r="BB106" s="113">
        <v>0.2</v>
      </c>
      <c r="BC106" s="113">
        <v>0.2</v>
      </c>
      <c r="BD106" s="113">
        <v>0.2</v>
      </c>
      <c r="BE106" s="113">
        <v>0.2</v>
      </c>
      <c r="BF106" s="113">
        <v>0.2</v>
      </c>
      <c r="BG106" s="113">
        <v>0.2</v>
      </c>
      <c r="BH106" s="113">
        <v>0.2</v>
      </c>
      <c r="BI106" s="113">
        <v>0.2</v>
      </c>
      <c r="BJ106" s="113">
        <v>0.2</v>
      </c>
      <c r="BK106" s="113">
        <v>0.2</v>
      </c>
      <c r="BL106" s="113">
        <v>0.2</v>
      </c>
      <c r="BM106" s="113">
        <v>0.2</v>
      </c>
    </row>
    <row r="107" spans="2:66" ht="12" hidden="1" x14ac:dyDescent="0.2">
      <c r="B107" s="6" t="s">
        <v>15</v>
      </c>
      <c r="C107" s="7"/>
      <c r="D107" s="7"/>
      <c r="E107" s="7"/>
      <c r="F107" s="7"/>
      <c r="G107" s="7"/>
      <c r="H107" s="7"/>
      <c r="I107" s="7" t="e">
        <f>#REF!/I$86</f>
        <v>#REF!</v>
      </c>
      <c r="K107" s="7" t="e">
        <f>#REF!/K$86</f>
        <v>#REF!</v>
      </c>
      <c r="L107" s="7" t="e">
        <f>#REF!/L$86</f>
        <v>#REF!</v>
      </c>
      <c r="M107" s="7" t="e">
        <f>#REF!/M$86</f>
        <v>#REF!</v>
      </c>
      <c r="O107" s="7" t="e">
        <f>#REF!/O$86</f>
        <v>#REF!</v>
      </c>
      <c r="P107" s="7" t="e">
        <f>#REF!/P$86</f>
        <v>#REF!</v>
      </c>
      <c r="Q107" s="7"/>
      <c r="R107" s="7"/>
      <c r="S107" s="7"/>
      <c r="T107" s="7"/>
      <c r="U107" s="7"/>
      <c r="V107" s="91"/>
      <c r="X107" s="7"/>
      <c r="Y107" s="7"/>
      <c r="Z107" s="7"/>
      <c r="AA107" s="7" t="e">
        <f>#REF!/AA$86</f>
        <v>#REF!</v>
      </c>
      <c r="AB107" s="7" t="e">
        <f>#REF!/AB$86</f>
        <v>#REF!</v>
      </c>
      <c r="AC107" s="7" t="e">
        <f>#REF!/AC$86</f>
        <v>#REF!</v>
      </c>
      <c r="AD107" s="7" t="e">
        <f>#REF!/AD$86</f>
        <v>#REF!</v>
      </c>
      <c r="AE107" s="7"/>
      <c r="AF107" s="7"/>
      <c r="AG107" s="276"/>
      <c r="AH107" s="237" t="str">
        <f t="shared" si="93"/>
        <v/>
      </c>
      <c r="AJ107" s="24" t="str">
        <f t="shared" si="101"/>
        <v/>
      </c>
    </row>
    <row r="108" spans="2:66" ht="14.25" x14ac:dyDescent="0.35">
      <c r="B108" s="2" t="s">
        <v>16</v>
      </c>
      <c r="C108" s="3">
        <v>-19220</v>
      </c>
      <c r="D108" s="39">
        <f>-46599-C108</f>
        <v>-27379</v>
      </c>
      <c r="E108" s="3">
        <v>-29217</v>
      </c>
      <c r="F108" s="17">
        <f>AB108-E108-D108-C108</f>
        <v>-33417</v>
      </c>
      <c r="G108" s="3">
        <v>-27856</v>
      </c>
      <c r="H108" s="3">
        <v>-21686</v>
      </c>
      <c r="I108" s="3">
        <v>-25143</v>
      </c>
      <c r="J108" s="17">
        <f>AC108-I108-H108-G108</f>
        <v>-18201</v>
      </c>
      <c r="K108" s="3">
        <v>-22554</v>
      </c>
      <c r="L108" s="3">
        <v>-23991</v>
      </c>
      <c r="M108" s="3">
        <v>-21102</v>
      </c>
      <c r="N108" s="17">
        <f>AD108-M108-L108-K108</f>
        <v>-27054</v>
      </c>
      <c r="O108" s="3">
        <v>-24896</v>
      </c>
      <c r="P108" s="3">
        <v>-24418</v>
      </c>
      <c r="Q108" s="3">
        <v>-22854</v>
      </c>
      <c r="R108" s="3"/>
      <c r="S108" s="3">
        <v>-22665</v>
      </c>
      <c r="T108" s="3"/>
      <c r="U108" s="3">
        <v>-23431</v>
      </c>
      <c r="V108" s="39">
        <f>Q108+P108+O108+N108</f>
        <v>-99222</v>
      </c>
      <c r="X108" s="1">
        <v>-38284</v>
      </c>
      <c r="Y108" s="1">
        <v>-90405</v>
      </c>
      <c r="Z108" s="1">
        <v>-73167</v>
      </c>
      <c r="AA108" s="1">
        <v>-71808</v>
      </c>
      <c r="AB108" s="1">
        <v>-109233</v>
      </c>
      <c r="AC108" s="1">
        <v>-92886</v>
      </c>
      <c r="AD108" s="1">
        <v>-94701</v>
      </c>
      <c r="AE108" s="1">
        <v>-84721</v>
      </c>
      <c r="AF108" s="1">
        <v>-91777</v>
      </c>
      <c r="AG108" s="236"/>
      <c r="AH108" s="237">
        <f t="shared" si="93"/>
        <v>-5.6388267689678306E-2</v>
      </c>
      <c r="AJ108" s="24">
        <f t="shared" si="101"/>
        <v>0.13303994590072277</v>
      </c>
      <c r="AL108" s="94">
        <f t="shared" ref="AL108:AU108" si="170">+AL16+AL37</f>
        <v>-94250</v>
      </c>
      <c r="AM108" s="94">
        <f t="shared" si="170"/>
        <v>-95585</v>
      </c>
      <c r="AN108" s="94">
        <f t="shared" si="170"/>
        <v>-95789.150000000023</v>
      </c>
      <c r="AO108" s="94">
        <f t="shared" si="170"/>
        <v>-94816.722500000018</v>
      </c>
      <c r="AP108" s="94">
        <f t="shared" si="170"/>
        <v>-92661.68256250002</v>
      </c>
      <c r="AQ108" s="94">
        <f t="shared" si="170"/>
        <v>-89771.685197562518</v>
      </c>
      <c r="AR108" s="94">
        <f t="shared" si="170"/>
        <v>-86170.533738061567</v>
      </c>
      <c r="AS108" s="94">
        <f t="shared" si="170"/>
        <v>-81496.837084629398</v>
      </c>
      <c r="AT108" s="94">
        <f t="shared" si="170"/>
        <v>-83126.77382632198</v>
      </c>
      <c r="AU108" s="94">
        <f t="shared" si="170"/>
        <v>-84789.309302848429</v>
      </c>
      <c r="AV108" s="94">
        <f t="shared" ref="AV108:BM108" ca="1" si="171">-AV86*AV109</f>
        <v>-79977.639537916548</v>
      </c>
      <c r="AW108" s="94">
        <f t="shared" ca="1" si="171"/>
        <v>-82376.968724054052</v>
      </c>
      <c r="AX108" s="94">
        <f t="shared" ca="1" si="171"/>
        <v>-84848.277785775659</v>
      </c>
      <c r="AY108" s="94">
        <f t="shared" ca="1" si="171"/>
        <v>-87393.726119348939</v>
      </c>
      <c r="AZ108" s="94">
        <f t="shared" ca="1" si="171"/>
        <v>-90015.537902929413</v>
      </c>
      <c r="BA108" s="94">
        <f t="shared" ca="1" si="171"/>
        <v>-92716.004040017287</v>
      </c>
      <c r="BB108" s="94">
        <f t="shared" ca="1" si="171"/>
        <v>-95497.484161217813</v>
      </c>
      <c r="BC108" s="94">
        <f t="shared" ca="1" si="171"/>
        <v>-98362.408686054347</v>
      </c>
      <c r="BD108" s="94">
        <f t="shared" ca="1" si="171"/>
        <v>-101313.28094663598</v>
      </c>
      <c r="BE108" s="94">
        <f t="shared" ca="1" si="171"/>
        <v>-104352.67937503505</v>
      </c>
      <c r="BF108" s="94">
        <f t="shared" ca="1" si="171"/>
        <v>-107483.2597562861</v>
      </c>
      <c r="BG108" s="94">
        <f t="shared" ca="1" si="171"/>
        <v>-110707.7575489747</v>
      </c>
      <c r="BH108" s="94">
        <f t="shared" ca="1" si="171"/>
        <v>-114028.99027544394</v>
      </c>
      <c r="BI108" s="94">
        <f t="shared" ca="1" si="171"/>
        <v>-117449.85998370725</v>
      </c>
      <c r="BJ108" s="94">
        <f t="shared" ca="1" si="171"/>
        <v>-120973.35578321847</v>
      </c>
      <c r="BK108" s="94">
        <f t="shared" ca="1" si="171"/>
        <v>-124602.55645671504</v>
      </c>
      <c r="BL108" s="94">
        <f t="shared" ca="1" si="171"/>
        <v>-128340.6331504165</v>
      </c>
      <c r="BM108" s="94">
        <f t="shared" ca="1" si="171"/>
        <v>-132190.852144929</v>
      </c>
      <c r="BN108" s="94">
        <f>AVERAGE(AL108:AU108)</f>
        <v>-89845.769421192395</v>
      </c>
    </row>
    <row r="109" spans="2:66" ht="14.25" x14ac:dyDescent="0.35">
      <c r="B109" s="2" t="s">
        <v>318</v>
      </c>
      <c r="C109" s="3"/>
      <c r="D109" s="39"/>
      <c r="E109" s="3"/>
      <c r="F109" s="17"/>
      <c r="G109" s="3"/>
      <c r="H109" s="3"/>
      <c r="I109" s="3"/>
      <c r="J109" s="17"/>
      <c r="K109" s="3"/>
      <c r="L109" s="3"/>
      <c r="M109" s="3"/>
      <c r="N109" s="17"/>
      <c r="O109" s="3"/>
      <c r="P109" s="3"/>
      <c r="Q109" s="3"/>
      <c r="R109" s="3"/>
      <c r="S109" s="69">
        <f>-S108/S86</f>
        <v>9.5074897961751906E-2</v>
      </c>
      <c r="T109" s="3"/>
      <c r="U109" s="69">
        <f>-U108/U86</f>
        <v>9.4406749613202681E-2</v>
      </c>
      <c r="V109" s="39"/>
      <c r="X109" s="69">
        <f t="shared" ref="X109:AF109" si="172">-X108/X86</f>
        <v>4.997663301298369E-2</v>
      </c>
      <c r="Y109" s="69">
        <f t="shared" si="172"/>
        <v>0.11542114898973779</v>
      </c>
      <c r="Z109" s="69">
        <f t="shared" si="172"/>
        <v>0.1191286013171927</v>
      </c>
      <c r="AA109" s="69">
        <f t="shared" si="172"/>
        <v>9.0890219884260784E-2</v>
      </c>
      <c r="AB109" s="69">
        <f t="shared" si="172"/>
        <v>8.363077601532462E-2</v>
      </c>
      <c r="AC109" s="69">
        <f t="shared" si="172"/>
        <v>7.3118547043802176E-2</v>
      </c>
      <c r="AD109" s="69">
        <f t="shared" si="172"/>
        <v>6.3401427220014017E-2</v>
      </c>
      <c r="AE109" s="69">
        <f t="shared" si="172"/>
        <v>9.9551717047090274E-2</v>
      </c>
      <c r="AF109" s="69">
        <f t="shared" si="172"/>
        <v>9.3713974131320252E-2</v>
      </c>
      <c r="AG109" s="277"/>
      <c r="AH109" s="237"/>
      <c r="AJ109" s="24"/>
      <c r="AL109" s="69">
        <f t="shared" ref="AL109:AU109" si="173">-AL108/AL86</f>
        <v>8.9761904761904765E-2</v>
      </c>
      <c r="AM109" s="69">
        <f t="shared" si="173"/>
        <v>8.5420017873100981E-2</v>
      </c>
      <c r="AN109" s="69">
        <f t="shared" si="173"/>
        <v>8.1002027394132606E-2</v>
      </c>
      <c r="AO109" s="69">
        <f t="shared" si="173"/>
        <v>7.6523505818982707E-2</v>
      </c>
      <c r="AP109" s="69">
        <f t="shared" si="173"/>
        <v>7.1998178702930973E-2</v>
      </c>
      <c r="AQ109" s="69">
        <f t="shared" ca="1" si="173"/>
        <v>6.7180645137141198E-2</v>
      </c>
      <c r="AR109" s="69">
        <f t="shared" ca="1" si="173"/>
        <v>6.210792770862749E-2</v>
      </c>
      <c r="AS109" s="69">
        <f t="shared" ca="1" si="173"/>
        <v>5.6573425186119283E-2</v>
      </c>
      <c r="AT109" s="69">
        <f t="shared" ca="1" si="173"/>
        <v>5.5577129083443678E-2</v>
      </c>
      <c r="AU109" s="69">
        <f t="shared" ca="1" si="173"/>
        <v>5.4598378425841289E-2</v>
      </c>
      <c r="AV109" s="95">
        <v>0.05</v>
      </c>
      <c r="AW109" s="95">
        <v>0.05</v>
      </c>
      <c r="AX109" s="95">
        <v>0.05</v>
      </c>
      <c r="AY109" s="95">
        <v>0.05</v>
      </c>
      <c r="AZ109" s="95">
        <v>0.05</v>
      </c>
      <c r="BA109" s="95">
        <v>0.05</v>
      </c>
      <c r="BB109" s="95">
        <v>0.05</v>
      </c>
      <c r="BC109" s="95">
        <v>0.05</v>
      </c>
      <c r="BD109" s="95">
        <v>0.05</v>
      </c>
      <c r="BE109" s="95">
        <v>0.05</v>
      </c>
      <c r="BF109" s="95">
        <v>0.05</v>
      </c>
      <c r="BG109" s="95">
        <v>0.05</v>
      </c>
      <c r="BH109" s="95">
        <v>0.05</v>
      </c>
      <c r="BI109" s="95">
        <v>0.05</v>
      </c>
      <c r="BJ109" s="95">
        <v>0.05</v>
      </c>
      <c r="BK109" s="95">
        <v>0.05</v>
      </c>
      <c r="BL109" s="95">
        <v>0.05</v>
      </c>
      <c r="BM109" s="95">
        <v>0.05</v>
      </c>
    </row>
    <row r="110" spans="2:66" s="13" customFormat="1" ht="12" x14ac:dyDescent="0.2">
      <c r="B110" s="4" t="s">
        <v>84</v>
      </c>
      <c r="C110" s="18">
        <f>C99+C108</f>
        <v>-4816</v>
      </c>
      <c r="D110" s="18">
        <f>D99+D108</f>
        <v>-13150</v>
      </c>
      <c r="E110" s="18">
        <f t="shared" ref="E110" si="174">E99+E108</f>
        <v>-11095</v>
      </c>
      <c r="F110" s="18">
        <f t="shared" ref="F110:P110" si="175">F99+F108</f>
        <v>46752</v>
      </c>
      <c r="G110" s="18">
        <f t="shared" si="175"/>
        <v>-6497</v>
      </c>
      <c r="H110" s="18">
        <f t="shared" si="175"/>
        <v>9802</v>
      </c>
      <c r="I110" s="18">
        <f t="shared" si="175"/>
        <v>-6047</v>
      </c>
      <c r="J110" s="18">
        <f t="shared" si="175"/>
        <v>6758</v>
      </c>
      <c r="K110" s="18">
        <f t="shared" si="175"/>
        <v>14128</v>
      </c>
      <c r="L110" s="18">
        <f t="shared" si="175"/>
        <v>14310</v>
      </c>
      <c r="M110" s="18">
        <f t="shared" si="175"/>
        <v>9816</v>
      </c>
      <c r="N110" s="18">
        <f t="shared" si="175"/>
        <v>27513</v>
      </c>
      <c r="O110" s="18">
        <f t="shared" si="175"/>
        <v>23643</v>
      </c>
      <c r="P110" s="18">
        <f t="shared" si="175"/>
        <v>28486</v>
      </c>
      <c r="Q110" s="18">
        <f>Q99+Q108</f>
        <v>13190</v>
      </c>
      <c r="R110" s="18"/>
      <c r="S110" s="18">
        <f>S99+S108</f>
        <v>15514</v>
      </c>
      <c r="T110" s="18"/>
      <c r="U110" s="92">
        <f t="shared" ref="U110:V110" si="176">U99+U108</f>
        <v>17157</v>
      </c>
      <c r="V110" s="92">
        <f t="shared" si="176"/>
        <v>92832</v>
      </c>
      <c r="X110" s="18">
        <f t="shared" ref="X110" si="177">X99+X108</f>
        <v>27200</v>
      </c>
      <c r="Y110" s="18">
        <f t="shared" ref="Y110:AD110" si="178">Y99+Y108</f>
        <v>-1554</v>
      </c>
      <c r="Z110" s="18">
        <f t="shared" si="178"/>
        <v>-39876</v>
      </c>
      <c r="AA110" s="18">
        <f t="shared" si="178"/>
        <v>-25755</v>
      </c>
      <c r="AB110" s="18">
        <f t="shared" si="178"/>
        <v>17691</v>
      </c>
      <c r="AC110" s="18">
        <f t="shared" si="178"/>
        <v>4016</v>
      </c>
      <c r="AD110" s="18">
        <f t="shared" si="178"/>
        <v>65767</v>
      </c>
      <c r="AE110" s="18">
        <f t="shared" ref="AE110:AF110" si="179">AE99+AE108</f>
        <v>39963</v>
      </c>
      <c r="AF110" s="18">
        <f t="shared" si="179"/>
        <v>68815</v>
      </c>
      <c r="AG110" s="18"/>
      <c r="AH110" s="237">
        <f t="shared" si="93"/>
        <v>0.57269163650921406</v>
      </c>
      <c r="AI110" s="24" t="e">
        <f>((AF110/AA110)^(1/(2025-2021)))-1</f>
        <v>#NUM!</v>
      </c>
      <c r="AJ110" s="24">
        <f t="shared" si="101"/>
        <v>0.14179396793439003</v>
      </c>
      <c r="AK110" s="62"/>
      <c r="AL110" s="18">
        <f>AL104+AL108</f>
        <v>86800</v>
      </c>
      <c r="AM110" s="18">
        <f t="shared" ref="AM110:BM110" si="180">AM104+AM108</f>
        <v>119084.00000000003</v>
      </c>
      <c r="AN110" s="18">
        <f t="shared" si="180"/>
        <v>126010.20250000001</v>
      </c>
      <c r="AO110" s="18">
        <f t="shared" si="180"/>
        <v>137807.31481250003</v>
      </c>
      <c r="AP110" s="18">
        <f t="shared" si="180"/>
        <v>149104.16731281253</v>
      </c>
      <c r="AQ110" s="18">
        <f t="shared" ca="1" si="180"/>
        <v>160349.81579667528</v>
      </c>
      <c r="AR110" s="18">
        <f t="shared" ca="1" si="180"/>
        <v>171409.11275854573</v>
      </c>
      <c r="AS110" s="18">
        <f t="shared" ca="1" si="180"/>
        <v>181259.77139389672</v>
      </c>
      <c r="AT110" s="18">
        <f t="shared" ca="1" si="180"/>
        <v>184911.30712527805</v>
      </c>
      <c r="AU110" s="18">
        <f t="shared" ca="1" si="180"/>
        <v>188636.88200706703</v>
      </c>
      <c r="AV110" s="18">
        <f t="shared" ca="1" si="180"/>
        <v>209541.41558934128</v>
      </c>
      <c r="AW110" s="18">
        <f t="shared" ca="1" si="180"/>
        <v>248778.44554664323</v>
      </c>
      <c r="AX110" s="18">
        <f t="shared" ca="1" si="180"/>
        <v>256241.79891304247</v>
      </c>
      <c r="AY110" s="18">
        <f t="shared" ca="1" si="180"/>
        <v>263929.0528804338</v>
      </c>
      <c r="AZ110" s="18">
        <f t="shared" ca="1" si="180"/>
        <v>271846.9244668468</v>
      </c>
      <c r="BA110" s="18">
        <f t="shared" ca="1" si="180"/>
        <v>280002.33220085222</v>
      </c>
      <c r="BB110" s="18">
        <f t="shared" ca="1" si="180"/>
        <v>288402.40216687782</v>
      </c>
      <c r="BC110" s="18">
        <f t="shared" ca="1" si="180"/>
        <v>297054.47423188412</v>
      </c>
      <c r="BD110" s="18">
        <f t="shared" ca="1" si="180"/>
        <v>305966.10845884064</v>
      </c>
      <c r="BE110" s="18">
        <f t="shared" ca="1" si="180"/>
        <v>315145.09171260585</v>
      </c>
      <c r="BF110" s="18">
        <f t="shared" ca="1" si="180"/>
        <v>324599.44446398405</v>
      </c>
      <c r="BG110" s="18">
        <f t="shared" ca="1" si="180"/>
        <v>334337.42779790354</v>
      </c>
      <c r="BH110" s="18">
        <f t="shared" ca="1" si="180"/>
        <v>344367.55063184071</v>
      </c>
      <c r="BI110" s="18">
        <f t="shared" ca="1" si="180"/>
        <v>354698.5771507959</v>
      </c>
      <c r="BJ110" s="18">
        <f t="shared" ca="1" si="180"/>
        <v>365339.53446531983</v>
      </c>
      <c r="BK110" s="18">
        <f t="shared" ca="1" si="180"/>
        <v>376299.72049927944</v>
      </c>
      <c r="BL110" s="18">
        <f t="shared" ca="1" si="180"/>
        <v>387588.71211425785</v>
      </c>
      <c r="BM110" s="18">
        <f t="shared" ca="1" si="180"/>
        <v>399216.37347768561</v>
      </c>
    </row>
    <row r="111" spans="2:66" s="13" customFormat="1" ht="12" x14ac:dyDescent="0.2">
      <c r="B111" s="324" t="s">
        <v>15</v>
      </c>
      <c r="C111" s="41">
        <f t="shared" ref="C111:P111" si="181">C110/C$86</f>
        <v>-1.9795550111596592E-2</v>
      </c>
      <c r="D111" s="41">
        <f t="shared" si="181"/>
        <v>-3.9192427367341832E-2</v>
      </c>
      <c r="E111" s="41">
        <f t="shared" si="181"/>
        <v>-3.2272702151610433E-2</v>
      </c>
      <c r="F111" s="41">
        <f t="shared" si="181"/>
        <v>0.12189792821496921</v>
      </c>
      <c r="G111" s="41">
        <f t="shared" si="181"/>
        <v>-1.8400720508434252E-2</v>
      </c>
      <c r="H111" s="41">
        <f t="shared" si="181"/>
        <v>3.183956135336001E-2</v>
      </c>
      <c r="I111" s="41">
        <f t="shared" si="181"/>
        <v>-2.0107002370810763E-2</v>
      </c>
      <c r="J111" s="41">
        <f t="shared" si="181"/>
        <v>2.1894144822737771E-2</v>
      </c>
      <c r="K111" s="41">
        <f t="shared" si="181"/>
        <v>3.979337190240935E-2</v>
      </c>
      <c r="L111" s="41">
        <f t="shared" si="181"/>
        <v>3.9257643718365501E-2</v>
      </c>
      <c r="M111" s="41">
        <f t="shared" si="181"/>
        <v>4.6961563854522492E-2</v>
      </c>
      <c r="N111" s="41">
        <f t="shared" si="181"/>
        <v>4.8686785748413564E-2</v>
      </c>
      <c r="O111" s="41">
        <f>O110/O$86</f>
        <v>5.783965476749648E-2</v>
      </c>
      <c r="P111" s="41">
        <f t="shared" si="181"/>
        <v>6.9162935697844943E-2</v>
      </c>
      <c r="Q111" s="41">
        <f>Q110/Q$86</f>
        <v>5.3109460248434701E-2</v>
      </c>
      <c r="R111" s="41"/>
      <c r="S111" s="41">
        <f>S110/S$86</f>
        <v>6.507796015789187E-2</v>
      </c>
      <c r="T111" s="41"/>
      <c r="U111" s="42">
        <f t="shared" ref="U111:V111" si="182">U110/U$86</f>
        <v>6.9127933212996387E-2</v>
      </c>
      <c r="V111" s="42">
        <f t="shared" si="182"/>
        <v>5.6809496154747618E-2</v>
      </c>
      <c r="X111" s="325">
        <f t="shared" ref="X111:AD111" si="183">X110/X$86</f>
        <v>3.5507376918638499E-2</v>
      </c>
      <c r="Y111" s="325">
        <f t="shared" si="183"/>
        <v>-1.9840104588247612E-3</v>
      </c>
      <c r="Z111" s="325">
        <f t="shared" si="183"/>
        <v>-6.4925063295261196E-2</v>
      </c>
      <c r="AA111" s="325">
        <f t="shared" si="183"/>
        <v>-3.259912005792024E-2</v>
      </c>
      <c r="AB111" s="325">
        <f t="shared" si="183"/>
        <v>1.3544552090367451E-2</v>
      </c>
      <c r="AC111" s="325">
        <f t="shared" si="183"/>
        <v>3.1613384678843906E-3</v>
      </c>
      <c r="AD111" s="325">
        <f t="shared" si="183"/>
        <v>4.4030386838350831E-2</v>
      </c>
      <c r="AE111" s="325">
        <f t="shared" ref="AE111:AU111" si="184">AE110/AE$86</f>
        <v>4.6958667489204194E-2</v>
      </c>
      <c r="AF111" s="325">
        <f t="shared" si="184"/>
        <v>7.0267355980766458E-2</v>
      </c>
      <c r="AG111" s="326"/>
      <c r="AH111" s="327">
        <f t="shared" si="93"/>
        <v>0.73112988908196197</v>
      </c>
      <c r="AJ111" s="24">
        <f t="shared" si="101"/>
        <v>0.10242197161227473</v>
      </c>
      <c r="AK111" s="62"/>
      <c r="AL111" s="325">
        <f t="shared" si="184"/>
        <v>8.2666666666666666E-2</v>
      </c>
      <c r="AM111" s="325">
        <f t="shared" si="184"/>
        <v>0.10642001787310101</v>
      </c>
      <c r="AN111" s="325">
        <f t="shared" si="184"/>
        <v>0.10655780821570289</v>
      </c>
      <c r="AO111" s="325">
        <f t="shared" si="184"/>
        <v>0.11121982050110123</v>
      </c>
      <c r="AP111" s="325">
        <f t="shared" si="184"/>
        <v>0.11585402063359596</v>
      </c>
      <c r="AQ111" s="325">
        <f t="shared" ca="1" si="184"/>
        <v>0.11999779272423521</v>
      </c>
      <c r="AR111" s="325">
        <f t="shared" ca="1" si="184"/>
        <v>0.12354414347912356</v>
      </c>
      <c r="AS111" s="504">
        <f t="shared" ca="1" si="184"/>
        <v>0.12582679872050806</v>
      </c>
      <c r="AT111" s="325">
        <f t="shared" ca="1" si="184"/>
        <v>0.12362851476181949</v>
      </c>
      <c r="AU111" s="325">
        <f t="shared" ca="1" si="184"/>
        <v>0.12146894406352503</v>
      </c>
      <c r="AV111" s="325"/>
    </row>
    <row r="112" spans="2:66" ht="12" x14ac:dyDescent="0.2">
      <c r="B112" s="2" t="s">
        <v>85</v>
      </c>
      <c r="C112" s="1">
        <v>482</v>
      </c>
      <c r="D112" s="8">
        <f>1215-C112</f>
        <v>733</v>
      </c>
      <c r="E112" s="1">
        <v>5165</v>
      </c>
      <c r="F112" s="5">
        <f>AB112-E112-D112-C112</f>
        <v>1610</v>
      </c>
      <c r="G112" s="1">
        <v>2057</v>
      </c>
      <c r="H112" s="1">
        <v>2685</v>
      </c>
      <c r="I112" s="1">
        <v>2547</v>
      </c>
      <c r="J112" s="5">
        <f>AC112-I112-H112-G112</f>
        <v>3154</v>
      </c>
      <c r="K112" s="1">
        <v>1696</v>
      </c>
      <c r="L112" s="1">
        <v>2782</v>
      </c>
      <c r="M112" s="1">
        <v>4107</v>
      </c>
      <c r="N112" s="5">
        <f>AD112-M112-L112-K112</f>
        <v>-1376</v>
      </c>
      <c r="O112" s="1">
        <v>1091</v>
      </c>
      <c r="P112" s="1">
        <v>1407</v>
      </c>
      <c r="Q112" s="1">
        <v>1400</v>
      </c>
      <c r="R112" s="1"/>
      <c r="S112" s="1">
        <v>1413</v>
      </c>
      <c r="T112" s="1"/>
      <c r="U112" s="1">
        <v>1022</v>
      </c>
      <c r="V112" s="8">
        <f>Q112+P112+O112+N112</f>
        <v>2522</v>
      </c>
      <c r="X112" s="1">
        <v>8310</v>
      </c>
      <c r="Y112" s="1">
        <v>6766</v>
      </c>
      <c r="Z112" s="1">
        <v>4776</v>
      </c>
      <c r="AA112" s="1">
        <v>1518</v>
      </c>
      <c r="AB112" s="1">
        <v>7990</v>
      </c>
      <c r="AC112" s="1">
        <v>10443</v>
      </c>
      <c r="AD112" s="1">
        <v>7209</v>
      </c>
      <c r="AE112" s="1">
        <v>8326</v>
      </c>
      <c r="AF112" s="1">
        <v>5329</v>
      </c>
      <c r="AG112" s="236"/>
      <c r="AH112" s="237">
        <f t="shared" si="93"/>
        <v>-0.12629199728760165</v>
      </c>
      <c r="AJ112" s="24">
        <f t="shared" si="101"/>
        <v>-6.1498531228076359E-2</v>
      </c>
    </row>
    <row r="113" spans="2:36" ht="12" x14ac:dyDescent="0.2">
      <c r="B113" s="2" t="s">
        <v>86</v>
      </c>
      <c r="C113" s="1">
        <v>-5008</v>
      </c>
      <c r="D113" s="8">
        <f>-12304-C113</f>
        <v>-7296</v>
      </c>
      <c r="E113" s="1">
        <v>-12865</v>
      </c>
      <c r="F113" s="5">
        <f>AB113-E113-D113-C113</f>
        <v>-7826</v>
      </c>
      <c r="G113" s="1">
        <v>-9744</v>
      </c>
      <c r="H113" s="1">
        <v>-11403</v>
      </c>
      <c r="I113" s="1">
        <v>-11033</v>
      </c>
      <c r="J113" s="5">
        <f>AC113-I113-H113-G113</f>
        <v>-14866</v>
      </c>
      <c r="K113" s="1">
        <v>-11195</v>
      </c>
      <c r="L113" s="1">
        <v>-11731</v>
      </c>
      <c r="M113" s="1">
        <v>-7314</v>
      </c>
      <c r="N113" s="5">
        <f>AD113-M113-L113-K113</f>
        <v>-14806</v>
      </c>
      <c r="O113" s="1">
        <v>-9243</v>
      </c>
      <c r="P113" s="1">
        <v>-9594</v>
      </c>
      <c r="Q113" s="1">
        <v>-7252</v>
      </c>
      <c r="R113" s="1"/>
      <c r="S113" s="1">
        <v>-5880</v>
      </c>
      <c r="T113" s="1"/>
      <c r="U113" s="1">
        <v>-3840</v>
      </c>
      <c r="V113" s="8">
        <f>Q113+P113+O113+N113</f>
        <v>-40895</v>
      </c>
      <c r="X113" s="1">
        <v>-19701</v>
      </c>
      <c r="Y113" s="1">
        <v>-23617</v>
      </c>
      <c r="Z113" s="1">
        <v>-22396</v>
      </c>
      <c r="AA113" s="1">
        <v>-18423</v>
      </c>
      <c r="AB113" s="1">
        <v>-32995</v>
      </c>
      <c r="AC113" s="1">
        <v>-47046</v>
      </c>
      <c r="AD113" s="1">
        <v>-45046</v>
      </c>
      <c r="AE113" s="1">
        <v>-31560</v>
      </c>
      <c r="AF113" s="1">
        <v>-21663</v>
      </c>
      <c r="AG113" s="236"/>
      <c r="AH113" s="237">
        <f t="shared" si="93"/>
        <v>-0.13085916353181049</v>
      </c>
      <c r="AJ113" s="24">
        <f t="shared" si="101"/>
        <v>1.3654719961544881E-2</v>
      </c>
    </row>
    <row r="114" spans="2:36" ht="12" x14ac:dyDescent="0.2">
      <c r="B114" s="6" t="s">
        <v>303</v>
      </c>
      <c r="C114" s="1"/>
      <c r="D114" s="8"/>
      <c r="E114" s="1"/>
      <c r="F114" s="5"/>
      <c r="G114" s="1"/>
      <c r="H114" s="1"/>
      <c r="I114" s="1"/>
      <c r="J114" s="35">
        <f t="shared" ref="J114" si="185">J113/F113-1</f>
        <v>0.89956555072834132</v>
      </c>
      <c r="K114" s="35">
        <f t="shared" ref="K114" si="186">K113/G113-1</f>
        <v>0.14891215106732347</v>
      </c>
      <c r="L114" s="35">
        <f t="shared" ref="L114" si="187">L113/H113-1</f>
        <v>2.8764360256072985E-2</v>
      </c>
      <c r="M114" s="35">
        <f t="shared" ref="M114" si="188">M113/I113-1</f>
        <v>-0.33707967008066708</v>
      </c>
      <c r="N114" s="35">
        <f t="shared" ref="N114" si="189">N113/J113-1</f>
        <v>-4.0360554284945005E-3</v>
      </c>
      <c r="O114" s="35">
        <f t="shared" ref="O114" si="190">O113/K113-1</f>
        <v>-0.17436355515855295</v>
      </c>
      <c r="P114" s="35">
        <f t="shared" ref="P114" si="191">P113/L113-1</f>
        <v>-0.18216690819197001</v>
      </c>
      <c r="Q114" s="35">
        <f t="shared" ref="Q114" si="192">Q113/M113-1</f>
        <v>-8.4768936286573338E-3</v>
      </c>
      <c r="R114" s="35"/>
      <c r="S114" s="35"/>
      <c r="T114" s="35"/>
      <c r="U114" s="35">
        <f t="shared" ref="U114" si="193">U113/Q113-1</f>
        <v>-0.47049089906232766</v>
      </c>
      <c r="X114" s="1"/>
      <c r="Y114" s="35">
        <f>-Y113/X113-1</f>
        <v>-2.1987716359575655</v>
      </c>
      <c r="Z114" s="35">
        <f>-Z113/Y113-1</f>
        <v>-1.9482999534233816</v>
      </c>
      <c r="AA114" s="35">
        <f>-AA113/Z113-1</f>
        <v>-1.8226022504018575</v>
      </c>
      <c r="AB114" s="35">
        <f>AB113/AA113-1</f>
        <v>0.79096781197416277</v>
      </c>
      <c r="AC114" s="35">
        <f t="shared" ref="AC114" si="194">AC113/AB113-1</f>
        <v>0.42585240187907258</v>
      </c>
      <c r="AD114" s="35">
        <f t="shared" ref="AD114:AF114" si="195">AD113/AC113-1</f>
        <v>-4.2511584406750846E-2</v>
      </c>
      <c r="AE114" s="35"/>
      <c r="AF114" s="35">
        <f t="shared" si="195"/>
        <v>-0.31359315589353609</v>
      </c>
      <c r="AG114" s="112"/>
      <c r="AH114" s="237">
        <f t="shared" si="93"/>
        <v>-1.7346310072867737</v>
      </c>
      <c r="AJ114" s="24" t="str">
        <f t="shared" si="101"/>
        <v/>
      </c>
    </row>
    <row r="115" spans="2:36" ht="12" x14ac:dyDescent="0.2">
      <c r="B115" s="6" t="s">
        <v>709</v>
      </c>
      <c r="C115" s="1"/>
      <c r="D115" s="8"/>
      <c r="E115" s="1"/>
      <c r="F115" s="5"/>
      <c r="G115" s="1"/>
      <c r="H115" s="1"/>
      <c r="I115" s="1"/>
      <c r="J115" s="35"/>
      <c r="K115" s="35"/>
      <c r="L115" s="35"/>
      <c r="M115" s="35"/>
      <c r="N115" s="35"/>
      <c r="O115" s="35"/>
      <c r="P115" s="35"/>
      <c r="Q115" s="35"/>
      <c r="R115" s="35"/>
      <c r="S115" s="35"/>
      <c r="T115" s="35"/>
      <c r="U115" s="35"/>
      <c r="X115" s="69">
        <f>-X113/X99</f>
        <v>0.30085211654755362</v>
      </c>
      <c r="Y115" s="69">
        <f t="shared" ref="Y115:AF115" si="196">-Y113/Y99</f>
        <v>0.26580454918909185</v>
      </c>
      <c r="Z115" s="69">
        <f t="shared" si="196"/>
        <v>0.67273437265326963</v>
      </c>
      <c r="AA115" s="69">
        <f t="shared" si="196"/>
        <v>0.40003908540160249</v>
      </c>
      <c r="AB115" s="69">
        <f t="shared" si="196"/>
        <v>0.25995871545176641</v>
      </c>
      <c r="AC115" s="69">
        <f t="shared" si="196"/>
        <v>0.48550081525665106</v>
      </c>
      <c r="AD115" s="69">
        <f t="shared" si="196"/>
        <v>0.28071640451678842</v>
      </c>
      <c r="AE115" s="69">
        <f t="shared" si="196"/>
        <v>0.25311988707452437</v>
      </c>
      <c r="AF115" s="69">
        <f t="shared" si="196"/>
        <v>0.13489463983261932</v>
      </c>
      <c r="AG115" s="112"/>
      <c r="AH115" s="237"/>
      <c r="AJ115" s="24"/>
    </row>
    <row r="116" spans="2:36" ht="12" x14ac:dyDescent="0.2">
      <c r="B116" s="6" t="s">
        <v>710</v>
      </c>
      <c r="C116" s="1"/>
      <c r="D116" s="8"/>
      <c r="E116" s="1"/>
      <c r="F116" s="5"/>
      <c r="G116" s="1"/>
      <c r="H116" s="1"/>
      <c r="I116" s="1"/>
      <c r="J116" s="35"/>
      <c r="K116" s="35"/>
      <c r="L116" s="35"/>
      <c r="M116" s="35"/>
      <c r="N116" s="35"/>
      <c r="O116" s="35"/>
      <c r="P116" s="35"/>
      <c r="Q116" s="35"/>
      <c r="R116" s="35"/>
      <c r="S116" s="35"/>
      <c r="T116" s="35"/>
      <c r="U116" s="35"/>
      <c r="X116" s="69">
        <f>-X113/X110</f>
        <v>0.72430147058823524</v>
      </c>
      <c r="Y116" s="69">
        <f t="shared" ref="Y116:AF116" si="197">-Y113/Y110</f>
        <v>-15.197554697554697</v>
      </c>
      <c r="Z116" s="69">
        <f t="shared" si="197"/>
        <v>-0.56164108737084961</v>
      </c>
      <c r="AA116" s="69">
        <f t="shared" si="197"/>
        <v>-0.71531741409435057</v>
      </c>
      <c r="AB116" s="69">
        <f t="shared" si="197"/>
        <v>1.8650726358035159</v>
      </c>
      <c r="AC116" s="69">
        <f t="shared" si="197"/>
        <v>11.714641434262948</v>
      </c>
      <c r="AD116" s="69">
        <f t="shared" si="197"/>
        <v>0.68493317317195557</v>
      </c>
      <c r="AE116" s="69">
        <f t="shared" si="197"/>
        <v>0.78973050071315964</v>
      </c>
      <c r="AF116" s="69">
        <f t="shared" si="197"/>
        <v>0.31480055220518782</v>
      </c>
      <c r="AG116" s="112"/>
      <c r="AH116" s="237"/>
      <c r="AJ116" s="24"/>
    </row>
    <row r="117" spans="2:36" ht="12" x14ac:dyDescent="0.2">
      <c r="B117" s="2" t="s">
        <v>87</v>
      </c>
      <c r="C117" s="1">
        <v>3961</v>
      </c>
      <c r="D117" s="8">
        <f>11031-C117</f>
        <v>7070</v>
      </c>
      <c r="E117" s="1">
        <v>2731</v>
      </c>
      <c r="F117" s="5">
        <f>AB117-E117-D117-C117</f>
        <v>-8062</v>
      </c>
      <c r="G117" s="1">
        <v>764</v>
      </c>
      <c r="H117" s="1">
        <v>405</v>
      </c>
      <c r="I117" s="1">
        <v>-439</v>
      </c>
      <c r="J117" s="5">
        <f>AC117-I117-H117-G117</f>
        <v>499</v>
      </c>
      <c r="K117" s="1">
        <v>2998</v>
      </c>
      <c r="L117" s="1">
        <v>4238</v>
      </c>
      <c r="M117" s="1">
        <v>-6093</v>
      </c>
      <c r="N117" s="5">
        <f>AD117-M117-L117-K117</f>
        <v>20130</v>
      </c>
      <c r="O117" s="1">
        <v>1687</v>
      </c>
      <c r="P117" s="1">
        <v>2187</v>
      </c>
      <c r="Q117" s="1">
        <v>2106</v>
      </c>
      <c r="R117" s="1"/>
      <c r="S117" s="1">
        <v>1025</v>
      </c>
      <c r="T117" s="1"/>
      <c r="U117" s="1">
        <v>3855</v>
      </c>
      <c r="V117" s="8">
        <f>Q117+P117+O117+N117</f>
        <v>26110</v>
      </c>
      <c r="X117" s="1">
        <v>13819</v>
      </c>
      <c r="Y117" s="1">
        <v>1856</v>
      </c>
      <c r="Z117" s="1">
        <v>4311</v>
      </c>
      <c r="AA117" s="1">
        <v>5671</v>
      </c>
      <c r="AB117" s="1">
        <v>5700</v>
      </c>
      <c r="AC117" s="1">
        <v>1229</v>
      </c>
      <c r="AD117" s="1">
        <v>21273</v>
      </c>
      <c r="AE117" s="1">
        <v>18106</v>
      </c>
      <c r="AF117" s="1">
        <v>6596</v>
      </c>
      <c r="AG117" s="236"/>
      <c r="AH117" s="237">
        <f t="shared" si="93"/>
        <v>4.9869366198948217E-2</v>
      </c>
      <c r="AJ117" s="24">
        <f t="shared" si="101"/>
        <v>-0.10026448945257693</v>
      </c>
    </row>
    <row r="118" spans="2:36" ht="14.25" x14ac:dyDescent="0.35">
      <c r="B118" s="2" t="s">
        <v>88</v>
      </c>
      <c r="C118" s="3">
        <v>-1001</v>
      </c>
      <c r="D118" s="39">
        <f>-7451-C118</f>
        <v>-6450</v>
      </c>
      <c r="E118" s="3">
        <v>-7031</v>
      </c>
      <c r="F118" s="17">
        <f>AB118-E118-D118-C118</f>
        <v>-12594</v>
      </c>
      <c r="G118" s="3">
        <v>-4965</v>
      </c>
      <c r="H118" s="3">
        <v>-6733</v>
      </c>
      <c r="I118" s="3">
        <v>-2784</v>
      </c>
      <c r="J118" s="17">
        <f>AC118-I118-H118-G118</f>
        <v>-14038</v>
      </c>
      <c r="K118" s="3">
        <v>-3222</v>
      </c>
      <c r="L118" s="3">
        <v>-2953</v>
      </c>
      <c r="M118" s="3">
        <v>-2165</v>
      </c>
      <c r="N118" s="17">
        <f>AD118-M118-L118-K118</f>
        <v>-8640</v>
      </c>
      <c r="O118" s="3">
        <v>-11305</v>
      </c>
      <c r="P118" s="3">
        <v>-23646</v>
      </c>
      <c r="Q118" s="3">
        <v>-2439</v>
      </c>
      <c r="R118" s="3"/>
      <c r="S118" s="3">
        <v>-10341</v>
      </c>
      <c r="T118" s="3"/>
      <c r="U118" s="3">
        <v>-7186</v>
      </c>
      <c r="V118" s="39">
        <f>Q118+P118+O118+N118</f>
        <v>-46030</v>
      </c>
      <c r="X118" s="3">
        <v>-5548</v>
      </c>
      <c r="Y118" s="3">
        <v>-5895</v>
      </c>
      <c r="Z118" s="3">
        <v>-8002</v>
      </c>
      <c r="AA118" s="3">
        <v>-6468</v>
      </c>
      <c r="AB118" s="3">
        <v>-27076</v>
      </c>
      <c r="AC118" s="3">
        <v>-28520</v>
      </c>
      <c r="AD118" s="3">
        <v>-16980</v>
      </c>
      <c r="AE118" s="3">
        <v>-4930</v>
      </c>
      <c r="AF118" s="14">
        <v>-40266</v>
      </c>
      <c r="AG118" s="278"/>
      <c r="AH118" s="237">
        <f t="shared" si="93"/>
        <v>0.14143537496778102</v>
      </c>
      <c r="AJ118" s="24">
        <f t="shared" si="101"/>
        <v>0.32730802306002316</v>
      </c>
    </row>
    <row r="119" spans="2:36" ht="12" x14ac:dyDescent="0.2">
      <c r="B119" s="4" t="s">
        <v>89</v>
      </c>
      <c r="C119" s="8">
        <f>SUM(C112:C118)</f>
        <v>-1566</v>
      </c>
      <c r="D119" s="8">
        <f>SUM(D112:D118)</f>
        <v>-5943</v>
      </c>
      <c r="E119" s="8">
        <f>SUM(E112:E118)</f>
        <v>-12000</v>
      </c>
      <c r="F119" s="8">
        <f t="shared" ref="F119" si="198">SUM(F112:F118)</f>
        <v>-26872</v>
      </c>
      <c r="G119" s="8">
        <f t="shared" ref="G119:M119" si="199">SUM(G112:G118)</f>
        <v>-11888</v>
      </c>
      <c r="H119" s="8">
        <f t="shared" si="199"/>
        <v>-15046</v>
      </c>
      <c r="I119" s="8">
        <f t="shared" si="199"/>
        <v>-11709</v>
      </c>
      <c r="J119" s="8">
        <f t="shared" si="199"/>
        <v>-25250.100434449272</v>
      </c>
      <c r="K119" s="8">
        <f t="shared" si="199"/>
        <v>-9722.8510878489324</v>
      </c>
      <c r="L119" s="8">
        <f t="shared" si="199"/>
        <v>-7663.9712356397431</v>
      </c>
      <c r="M119" s="8">
        <f t="shared" si="199"/>
        <v>-11465.33707967008</v>
      </c>
      <c r="N119" s="8">
        <f t="shared" ref="N119" si="200">SUM(N112:N118)</f>
        <v>-4692.0040360554285</v>
      </c>
      <c r="O119" s="8">
        <f t="shared" ref="O119" si="201">SUM(O112:O118)</f>
        <v>-17770.174363555157</v>
      </c>
      <c r="P119" s="8">
        <f>SUM(P112:P118)</f>
        <v>-29646.182166908191</v>
      </c>
      <c r="Q119" s="8">
        <f>SUM(Q112:Q118)</f>
        <v>-6185.0084768936285</v>
      </c>
      <c r="R119" s="8"/>
      <c r="S119" s="8">
        <f>+S112+S113+S117+S118</f>
        <v>-13783</v>
      </c>
      <c r="T119" s="8"/>
      <c r="U119" s="8">
        <f>+U112+U113+U117+U118</f>
        <v>-6149</v>
      </c>
      <c r="V119" s="8">
        <f>SUM(V112:V118)</f>
        <v>-58293</v>
      </c>
      <c r="X119" s="8">
        <f t="shared" ref="X119" si="202">X112+X113+X117+X118</f>
        <v>-3120</v>
      </c>
      <c r="Y119" s="8">
        <f>Y112+Y113+Y117+Y118</f>
        <v>-20890</v>
      </c>
      <c r="Z119" s="8">
        <f>Z112+Z113+Z117+Z118</f>
        <v>-21311</v>
      </c>
      <c r="AA119" s="8">
        <f>AA112+AA113+AA117+AA118</f>
        <v>-17702</v>
      </c>
      <c r="AB119" s="8">
        <f t="shared" ref="AB119:AF119" si="203">AB112+AB113+AB117+AB118</f>
        <v>-46381</v>
      </c>
      <c r="AC119" s="8">
        <f t="shared" si="203"/>
        <v>-63894</v>
      </c>
      <c r="AD119" s="8">
        <f t="shared" si="203"/>
        <v>-33544</v>
      </c>
      <c r="AE119" s="8">
        <f t="shared" si="203"/>
        <v>-10058</v>
      </c>
      <c r="AF119" s="8">
        <f t="shared" si="203"/>
        <v>-50004</v>
      </c>
      <c r="AG119" s="275"/>
      <c r="AH119" s="237">
        <f t="shared" si="93"/>
        <v>2.5387957948554973E-2</v>
      </c>
      <c r="AJ119" s="24">
        <f t="shared" si="101"/>
        <v>0.48635124196713631</v>
      </c>
    </row>
    <row r="120" spans="2:36" ht="14.25" x14ac:dyDescent="0.35">
      <c r="B120" s="2" t="s">
        <v>173</v>
      </c>
      <c r="C120" s="3">
        <v>0</v>
      </c>
      <c r="D120" s="39">
        <f>0</f>
        <v>0</v>
      </c>
      <c r="E120" s="3">
        <v>0</v>
      </c>
      <c r="F120" s="17">
        <f>AB120-E120-D120-C120</f>
        <v>0</v>
      </c>
      <c r="G120" s="3">
        <v>0</v>
      </c>
      <c r="H120" s="3">
        <v>-83</v>
      </c>
      <c r="I120" s="3">
        <v>-850</v>
      </c>
      <c r="J120" s="17">
        <f>AC120-I120-H120-G120</f>
        <v>2353</v>
      </c>
      <c r="K120" s="3">
        <v>-213</v>
      </c>
      <c r="L120" s="3">
        <v>596</v>
      </c>
      <c r="M120" s="3">
        <v>-3100</v>
      </c>
      <c r="N120" s="17">
        <f>AD120-M120-L120-K120</f>
        <v>0</v>
      </c>
      <c r="O120" s="3">
        <v>0</v>
      </c>
      <c r="P120" s="3">
        <v>0</v>
      </c>
      <c r="Q120" s="3">
        <v>0</v>
      </c>
      <c r="R120" s="3"/>
      <c r="S120" s="3">
        <v>0</v>
      </c>
      <c r="T120" s="3"/>
      <c r="U120" s="3">
        <v>0</v>
      </c>
      <c r="V120" s="39">
        <v>0</v>
      </c>
      <c r="X120" s="3">
        <v>0</v>
      </c>
      <c r="Y120" s="3">
        <v>0</v>
      </c>
      <c r="Z120" s="3">
        <v>0</v>
      </c>
      <c r="AA120" s="3">
        <v>0</v>
      </c>
      <c r="AB120" s="3">
        <v>0</v>
      </c>
      <c r="AC120" s="3">
        <v>1420</v>
      </c>
      <c r="AD120" s="3">
        <v>-2717</v>
      </c>
      <c r="AE120" s="3">
        <v>-2717</v>
      </c>
      <c r="AF120" s="3">
        <v>1125</v>
      </c>
      <c r="AG120" s="269"/>
      <c r="AH120" s="237" t="str">
        <f t="shared" si="93"/>
        <v/>
      </c>
      <c r="AJ120" s="24" t="str">
        <f t="shared" si="101"/>
        <v/>
      </c>
    </row>
    <row r="121" spans="2:36" ht="12" x14ac:dyDescent="0.2">
      <c r="B121" s="4" t="s">
        <v>174</v>
      </c>
      <c r="C121" s="5">
        <f t="shared" ref="C121:V121" si="204">C110+C119+C120</f>
        <v>-6382</v>
      </c>
      <c r="D121" s="5">
        <f t="shared" si="204"/>
        <v>-19093</v>
      </c>
      <c r="E121" s="5">
        <f t="shared" si="204"/>
        <v>-23095</v>
      </c>
      <c r="F121" s="5">
        <f t="shared" si="204"/>
        <v>19880</v>
      </c>
      <c r="G121" s="5">
        <f t="shared" si="204"/>
        <v>-18385</v>
      </c>
      <c r="H121" s="5">
        <f t="shared" si="204"/>
        <v>-5327</v>
      </c>
      <c r="I121" s="5">
        <f t="shared" si="204"/>
        <v>-18606</v>
      </c>
      <c r="J121" s="5">
        <f t="shared" si="204"/>
        <v>-16139.100434449272</v>
      </c>
      <c r="K121" s="5">
        <f t="shared" si="204"/>
        <v>4192.1489121510676</v>
      </c>
      <c r="L121" s="5">
        <f t="shared" si="204"/>
        <v>7242.0287643602569</v>
      </c>
      <c r="M121" s="5">
        <f t="shared" si="204"/>
        <v>-4749.3370796700801</v>
      </c>
      <c r="N121" s="5">
        <f t="shared" si="204"/>
        <v>22820.995963944573</v>
      </c>
      <c r="O121" s="5">
        <f t="shared" si="204"/>
        <v>5872.8256364448425</v>
      </c>
      <c r="P121" s="5">
        <f t="shared" si="204"/>
        <v>-1160.182166908191</v>
      </c>
      <c r="Q121" s="5">
        <f>Q110+Q119+Q120</f>
        <v>7004.9915231063715</v>
      </c>
      <c r="R121" s="5"/>
      <c r="S121" s="5">
        <f>S110+S119+S120</f>
        <v>1731</v>
      </c>
      <c r="T121" s="5"/>
      <c r="U121" s="44">
        <f t="shared" ref="U121" si="205">U110+U119+U120</f>
        <v>11008</v>
      </c>
      <c r="V121" s="44">
        <f t="shared" si="204"/>
        <v>34539</v>
      </c>
      <c r="X121" s="5">
        <f t="shared" ref="X121" si="206">X110+X119+X120</f>
        <v>24080</v>
      </c>
      <c r="Y121" s="5">
        <f t="shared" ref="Y121:AF121" si="207">Y110+Y119+Y120</f>
        <v>-22444</v>
      </c>
      <c r="Z121" s="5">
        <f t="shared" si="207"/>
        <v>-61187</v>
      </c>
      <c r="AA121" s="5">
        <f t="shared" si="207"/>
        <v>-43457</v>
      </c>
      <c r="AB121" s="5">
        <f t="shared" si="207"/>
        <v>-28690</v>
      </c>
      <c r="AC121" s="5">
        <f t="shared" si="207"/>
        <v>-58458</v>
      </c>
      <c r="AD121" s="5">
        <f t="shared" si="207"/>
        <v>29506</v>
      </c>
      <c r="AE121" s="5">
        <f t="shared" si="207"/>
        <v>27188</v>
      </c>
      <c r="AF121" s="5">
        <f t="shared" si="207"/>
        <v>19936</v>
      </c>
      <c r="AG121" s="5"/>
      <c r="AH121" s="237">
        <f t="shared" si="93"/>
        <v>-1.8857323201108549</v>
      </c>
      <c r="AJ121" s="24">
        <f t="shared" si="101"/>
        <v>-2.661852317466773E-2</v>
      </c>
    </row>
    <row r="122" spans="2:36" ht="12" x14ac:dyDescent="0.2">
      <c r="B122" s="6" t="s">
        <v>161</v>
      </c>
      <c r="C122" s="35">
        <f t="shared" ref="C122:H122" si="208">C121/C86</f>
        <v>-2.6232392195226214E-2</v>
      </c>
      <c r="D122" s="35">
        <f t="shared" si="208"/>
        <v>-5.6905020207198294E-2</v>
      </c>
      <c r="E122" s="35">
        <f t="shared" si="208"/>
        <v>-6.7177832914956562E-2</v>
      </c>
      <c r="F122" s="35">
        <f t="shared" si="208"/>
        <v>5.1833735731382356E-2</v>
      </c>
      <c r="G122" s="35">
        <f t="shared" si="208"/>
        <v>-5.2069762436134176E-2</v>
      </c>
      <c r="H122" s="35">
        <f t="shared" si="208"/>
        <v>-1.7303544514318384E-2</v>
      </c>
      <c r="I122" s="5"/>
      <c r="J122" s="35">
        <f t="shared" ref="J122:Q122" si="209">J121/J86</f>
        <v>-5.2286446022572132E-2</v>
      </c>
      <c r="K122" s="35">
        <f t="shared" si="209"/>
        <v>1.1807739293000297E-2</v>
      </c>
      <c r="L122" s="35">
        <f t="shared" si="209"/>
        <v>1.9867574076129258E-2</v>
      </c>
      <c r="M122" s="35">
        <f t="shared" si="209"/>
        <v>-2.272170910081274E-2</v>
      </c>
      <c r="N122" s="35">
        <f t="shared" si="209"/>
        <v>4.0383852762765966E-2</v>
      </c>
      <c r="O122" s="35">
        <f t="shared" si="209"/>
        <v>1.436713645991086E-2</v>
      </c>
      <c r="P122" s="35">
        <f t="shared" si="209"/>
        <v>-2.8168786283668335E-3</v>
      </c>
      <c r="Q122" s="35">
        <f t="shared" si="209"/>
        <v>2.8205558668463977E-2</v>
      </c>
      <c r="R122" s="35"/>
      <c r="S122" s="43">
        <f>S121/S86</f>
        <v>7.2611801620027601E-3</v>
      </c>
      <c r="T122" s="35"/>
      <c r="U122" s="43">
        <f>U121/U86</f>
        <v>4.4352759154203197E-2</v>
      </c>
      <c r="V122" s="43">
        <f>V121/V86</f>
        <v>2.1136495903231946E-2</v>
      </c>
      <c r="X122" s="35">
        <f t="shared" ref="X122:AF122" si="210">X121/X86</f>
        <v>3.1434471919147611E-2</v>
      </c>
      <c r="Y122" s="35">
        <f t="shared" si="210"/>
        <v>-2.8654524284339084E-2</v>
      </c>
      <c r="Z122" s="35">
        <f t="shared" si="210"/>
        <v>-9.962307773716389E-2</v>
      </c>
      <c r="AA122" s="35">
        <f t="shared" si="210"/>
        <v>-5.50052401614071E-2</v>
      </c>
      <c r="AB122" s="35">
        <f t="shared" si="210"/>
        <v>-2.1965586991840039E-2</v>
      </c>
      <c r="AC122" s="35">
        <f t="shared" si="210"/>
        <v>-4.6017311791729514E-2</v>
      </c>
      <c r="AD122" s="35">
        <f t="shared" si="210"/>
        <v>1.9753988992235919E-2</v>
      </c>
      <c r="AE122" s="35">
        <f t="shared" si="210"/>
        <v>3.1947357598190416E-2</v>
      </c>
      <c r="AF122" s="35">
        <f t="shared" si="210"/>
        <v>2.0356753743116473E-2</v>
      </c>
      <c r="AG122" s="112"/>
      <c r="AH122" s="237">
        <f t="shared" si="93"/>
        <v>-1.9749639773459999</v>
      </c>
      <c r="AJ122" s="24">
        <f t="shared" si="101"/>
        <v>-6.0183223113408402E-2</v>
      </c>
    </row>
    <row r="123" spans="2:36" ht="12" x14ac:dyDescent="0.2">
      <c r="B123" s="117" t="s">
        <v>401</v>
      </c>
      <c r="C123" s="35"/>
      <c r="D123" s="35"/>
      <c r="E123" s="35"/>
      <c r="F123" s="35"/>
      <c r="G123" s="35"/>
      <c r="H123" s="35"/>
      <c r="I123" s="5"/>
      <c r="J123" s="35"/>
      <c r="K123" s="35"/>
      <c r="L123" s="35"/>
      <c r="M123" s="35"/>
      <c r="N123" s="35"/>
      <c r="O123" s="35"/>
      <c r="P123" s="35"/>
      <c r="Q123" s="35"/>
      <c r="R123" s="35"/>
      <c r="S123" s="35"/>
      <c r="T123" s="35"/>
      <c r="U123" s="35"/>
      <c r="V123" s="43"/>
      <c r="X123" s="35"/>
      <c r="Y123" s="35"/>
      <c r="Z123" s="35"/>
      <c r="AA123" s="35"/>
      <c r="AB123" s="35"/>
      <c r="AC123" s="35"/>
      <c r="AD123" s="35"/>
      <c r="AE123" s="35"/>
      <c r="AF123" s="35"/>
      <c r="AG123" s="112"/>
      <c r="AH123" s="237" t="str">
        <f t="shared" si="93"/>
        <v/>
      </c>
      <c r="AJ123" s="24" t="str">
        <f t="shared" si="101"/>
        <v/>
      </c>
    </row>
    <row r="124" spans="2:36" ht="12" x14ac:dyDescent="0.2">
      <c r="B124" s="117" t="s">
        <v>402</v>
      </c>
      <c r="C124" s="35"/>
      <c r="D124" s="35"/>
      <c r="E124" s="35"/>
      <c r="F124" s="35"/>
      <c r="G124" s="35"/>
      <c r="H124" s="35"/>
      <c r="I124" s="5"/>
      <c r="J124" s="35"/>
      <c r="K124" s="35"/>
      <c r="L124" s="35"/>
      <c r="M124" s="35"/>
      <c r="N124" s="35"/>
      <c r="O124" s="35"/>
      <c r="P124" s="35"/>
      <c r="Q124" s="35"/>
      <c r="R124" s="35"/>
      <c r="S124" s="35"/>
      <c r="T124" s="35"/>
      <c r="U124" s="35"/>
      <c r="V124" s="43"/>
      <c r="X124" s="35">
        <v>0.16700000000000001</v>
      </c>
      <c r="Y124" s="35"/>
      <c r="Z124" s="35"/>
      <c r="AA124" s="35"/>
      <c r="AB124" s="35">
        <v>0.16700000000000001</v>
      </c>
      <c r="AC124" s="35">
        <v>0.16700000000000001</v>
      </c>
      <c r="AD124" s="35">
        <v>0.16700000000000001</v>
      </c>
      <c r="AE124" s="35">
        <v>0.16700000000000001</v>
      </c>
      <c r="AF124" s="35">
        <v>0.17399999999999999</v>
      </c>
      <c r="AG124" s="112"/>
      <c r="AH124" s="237">
        <f t="shared" si="93"/>
        <v>1.3781260292908382E-2</v>
      </c>
      <c r="AJ124" s="24">
        <f t="shared" ref="AJ124:AJ144" si="211">IFERROR((AF124/X124)^(1/(2025-2018))-1,"")</f>
        <v>5.8831649229318383E-3</v>
      </c>
    </row>
    <row r="125" spans="2:36" ht="12" x14ac:dyDescent="0.2">
      <c r="B125" s="117" t="s">
        <v>403</v>
      </c>
      <c r="C125" s="35"/>
      <c r="D125" s="35"/>
      <c r="E125" s="35"/>
      <c r="F125" s="35"/>
      <c r="G125" s="35"/>
      <c r="H125" s="35"/>
      <c r="I125" s="5"/>
      <c r="J125" s="35"/>
      <c r="K125" s="35"/>
      <c r="L125" s="35"/>
      <c r="M125" s="35"/>
      <c r="N125" s="35"/>
      <c r="O125" s="35"/>
      <c r="P125" s="35"/>
      <c r="Q125" s="35"/>
      <c r="R125" s="35"/>
      <c r="S125" s="35"/>
      <c r="T125" s="35"/>
      <c r="U125" s="35"/>
      <c r="V125" s="43"/>
      <c r="X125" s="35"/>
      <c r="Y125" s="35"/>
      <c r="Z125" s="35"/>
      <c r="AA125" s="35"/>
      <c r="AB125" s="35"/>
      <c r="AC125" s="35"/>
      <c r="AD125" s="35"/>
      <c r="AE125" s="1">
        <v>-4541</v>
      </c>
      <c r="AF125" s="1">
        <v>-3462</v>
      </c>
      <c r="AG125" s="236"/>
      <c r="AH125" s="237" t="str">
        <f t="shared" si="93"/>
        <v/>
      </c>
      <c r="AJ125" s="24" t="str">
        <f t="shared" si="211"/>
        <v/>
      </c>
    </row>
    <row r="126" spans="2:36" ht="12" x14ac:dyDescent="0.2">
      <c r="B126" s="117" t="s">
        <v>404</v>
      </c>
      <c r="C126" s="35"/>
      <c r="D126" s="35"/>
      <c r="E126" s="35"/>
      <c r="F126" s="35"/>
      <c r="G126" s="35"/>
      <c r="H126" s="35"/>
      <c r="I126" s="5"/>
      <c r="J126" s="35"/>
      <c r="K126" s="35"/>
      <c r="L126" s="35"/>
      <c r="M126" s="35"/>
      <c r="N126" s="35"/>
      <c r="O126" s="35"/>
      <c r="P126" s="35"/>
      <c r="Q126" s="35"/>
      <c r="R126" s="35"/>
      <c r="S126" s="35"/>
      <c r="T126" s="35"/>
      <c r="U126" s="35"/>
      <c r="V126" s="43"/>
      <c r="X126" s="35"/>
      <c r="Y126" s="35"/>
      <c r="Z126" s="35"/>
      <c r="AA126" s="35"/>
      <c r="AB126" s="35"/>
      <c r="AC126" s="35"/>
      <c r="AD126" s="35"/>
      <c r="AE126" s="1">
        <v>-2606</v>
      </c>
      <c r="AF126" s="1">
        <v>-2855</v>
      </c>
      <c r="AG126" s="236"/>
      <c r="AH126" s="237" t="str">
        <f t="shared" si="93"/>
        <v/>
      </c>
      <c r="AJ126" s="24" t="str">
        <f t="shared" si="211"/>
        <v/>
      </c>
    </row>
    <row r="127" spans="2:36" ht="12.75" customHeight="1" x14ac:dyDescent="0.2">
      <c r="B127" s="179" t="s">
        <v>404</v>
      </c>
      <c r="C127" s="35"/>
      <c r="D127" s="35"/>
      <c r="E127" s="35"/>
      <c r="F127" s="35"/>
      <c r="G127" s="35"/>
      <c r="H127" s="35"/>
      <c r="I127" s="5"/>
      <c r="J127" s="35"/>
      <c r="K127" s="35"/>
      <c r="L127" s="35"/>
      <c r="M127" s="35"/>
      <c r="N127" s="35"/>
      <c r="O127" s="35"/>
      <c r="P127" s="35"/>
      <c r="Q127" s="35"/>
      <c r="R127" s="35"/>
      <c r="S127" s="35"/>
      <c r="T127" s="35"/>
      <c r="U127" s="35"/>
      <c r="V127" s="43"/>
      <c r="X127" s="35"/>
      <c r="Y127" s="35"/>
      <c r="Z127" s="35"/>
      <c r="AA127" s="35"/>
      <c r="AB127" s="35"/>
      <c r="AC127" s="35"/>
      <c r="AD127" s="35"/>
      <c r="AE127" s="35"/>
      <c r="AF127" s="35">
        <f>-AF126/AF121</f>
        <v>0.14320826645264847</v>
      </c>
      <c r="AG127" s="112"/>
      <c r="AH127" s="237" t="str">
        <f t="shared" si="93"/>
        <v/>
      </c>
      <c r="AJ127" s="24" t="str">
        <f t="shared" si="211"/>
        <v/>
      </c>
    </row>
    <row r="128" spans="2:36" ht="12" x14ac:dyDescent="0.2">
      <c r="B128" s="2" t="s">
        <v>17</v>
      </c>
      <c r="C128" s="1">
        <v>-805</v>
      </c>
      <c r="D128" s="8">
        <f>-1010-C128</f>
        <v>-205</v>
      </c>
      <c r="E128" s="1">
        <v>-5056</v>
      </c>
      <c r="F128" s="5">
        <f>AB128-E128-D128-C128</f>
        <v>-2019</v>
      </c>
      <c r="G128" s="1">
        <v>875</v>
      </c>
      <c r="H128" s="1">
        <v>162</v>
      </c>
      <c r="I128" s="1">
        <v>1984</v>
      </c>
      <c r="J128" s="5">
        <f>AC128-I128-H128-G128</f>
        <v>10471</v>
      </c>
      <c r="K128" s="1">
        <v>-466</v>
      </c>
      <c r="L128" s="1">
        <v>-1773</v>
      </c>
      <c r="M128" s="1">
        <v>-7</v>
      </c>
      <c r="N128" s="5">
        <f>AD128-M128-L128-K128</f>
        <v>-1091</v>
      </c>
      <c r="O128" s="1">
        <v>-601</v>
      </c>
      <c r="P128" s="1">
        <v>2306</v>
      </c>
      <c r="Q128" s="1">
        <v>-937</v>
      </c>
      <c r="R128" s="1"/>
      <c r="S128" s="1">
        <v>2814</v>
      </c>
      <c r="T128" s="1"/>
      <c r="U128" s="1">
        <v>-526</v>
      </c>
      <c r="V128" s="8">
        <f>Q128+P128+O128+N128</f>
        <v>-323</v>
      </c>
      <c r="X128" s="1">
        <v>-5654</v>
      </c>
      <c r="Y128" s="1">
        <v>547</v>
      </c>
      <c r="Z128" s="1">
        <v>3532</v>
      </c>
      <c r="AA128" s="1">
        <v>-5923</v>
      </c>
      <c r="AB128" s="1">
        <v>-8085</v>
      </c>
      <c r="AC128" s="1">
        <v>13492</v>
      </c>
      <c r="AD128" s="1">
        <v>-3337</v>
      </c>
      <c r="AE128" s="1">
        <v>-9102</v>
      </c>
      <c r="AF128" s="1">
        <v>-8506</v>
      </c>
      <c r="AG128" s="236"/>
      <c r="AH128" s="237">
        <f t="shared" si="93"/>
        <v>1.7064395971127411E-2</v>
      </c>
      <c r="AJ128" s="24">
        <f t="shared" si="211"/>
        <v>6.0079681785284444E-2</v>
      </c>
    </row>
    <row r="129" spans="2:65" ht="12" x14ac:dyDescent="0.2">
      <c r="B129" s="6" t="s">
        <v>528</v>
      </c>
      <c r="C129" s="69">
        <f t="shared" ref="C129:V129" si="212">IF(C128&lt;0,C128/C121,"N/A")</f>
        <v>0.12613600752115325</v>
      </c>
      <c r="D129" s="69">
        <f t="shared" si="212"/>
        <v>1.073691928979207E-2</v>
      </c>
      <c r="E129" s="69">
        <f t="shared" si="212"/>
        <v>0.2189218445550985</v>
      </c>
      <c r="F129" s="69">
        <f t="shared" si="212"/>
        <v>-0.10155935613682092</v>
      </c>
      <c r="G129" s="69" t="str">
        <f t="shared" si="212"/>
        <v>N/A</v>
      </c>
      <c r="H129" s="69" t="str">
        <f t="shared" si="212"/>
        <v>N/A</v>
      </c>
      <c r="I129" s="69" t="str">
        <f t="shared" si="212"/>
        <v>N/A</v>
      </c>
      <c r="J129" s="69" t="str">
        <f t="shared" si="212"/>
        <v>N/A</v>
      </c>
      <c r="K129" s="69">
        <f t="shared" si="212"/>
        <v>-0.11116017340159011</v>
      </c>
      <c r="L129" s="69">
        <f t="shared" si="212"/>
        <v>-0.24482090001152079</v>
      </c>
      <c r="M129" s="69">
        <f t="shared" si="212"/>
        <v>1.4738899098074264E-3</v>
      </c>
      <c r="N129" s="69">
        <f t="shared" si="212"/>
        <v>-4.7806853027961463E-2</v>
      </c>
      <c r="O129" s="69">
        <f t="shared" si="212"/>
        <v>-0.10233574725433525</v>
      </c>
      <c r="P129" s="69" t="str">
        <f t="shared" si="212"/>
        <v>N/A</v>
      </c>
      <c r="Q129" s="69">
        <f t="shared" si="212"/>
        <v>-0.13376176072579832</v>
      </c>
      <c r="R129" s="69"/>
      <c r="S129" s="69" t="str">
        <f t="shared" si="212"/>
        <v>N/A</v>
      </c>
      <c r="T129" s="69"/>
      <c r="U129" s="69">
        <f t="shared" si="212"/>
        <v>-4.7783430232558141E-2</v>
      </c>
      <c r="V129" s="69">
        <f t="shared" si="212"/>
        <v>-9.3517473001534495E-3</v>
      </c>
      <c r="X129" s="69">
        <f t="shared" ref="X129" si="213">X128/X121</f>
        <v>-0.23480066445182723</v>
      </c>
      <c r="Y129" s="69">
        <f t="shared" ref="Y129:AD129" si="214">Y128/Y121</f>
        <v>-2.4371769738014613E-2</v>
      </c>
      <c r="Z129" s="69">
        <f t="shared" si="214"/>
        <v>-5.7724680079101767E-2</v>
      </c>
      <c r="AA129" s="69">
        <f t="shared" si="214"/>
        <v>0.13629564857215179</v>
      </c>
      <c r="AB129" s="69">
        <f t="shared" si="214"/>
        <v>0.2818055071453468</v>
      </c>
      <c r="AC129" s="69">
        <f t="shared" si="214"/>
        <v>-0.23079817988983545</v>
      </c>
      <c r="AD129" s="69">
        <f t="shared" si="214"/>
        <v>-0.11309564156442757</v>
      </c>
      <c r="AE129" s="69">
        <f>-AE128/AE121</f>
        <v>0.33478005002206856</v>
      </c>
      <c r="AF129" s="69">
        <f>-(AF125+AF126)/AF121</f>
        <v>0.3168639646869984</v>
      </c>
      <c r="AG129" s="277"/>
      <c r="AH129" s="237">
        <f t="shared" si="93"/>
        <v>3.9859008720693145E-2</v>
      </c>
      <c r="AJ129" s="24">
        <f t="shared" si="211"/>
        <v>-2.0437493514139882</v>
      </c>
    </row>
    <row r="130" spans="2:65" ht="12" x14ac:dyDescent="0.2">
      <c r="B130" s="4" t="s">
        <v>91</v>
      </c>
      <c r="C130" s="5">
        <f t="shared" ref="C130:V130" si="215">C121+C128</f>
        <v>-7187</v>
      </c>
      <c r="D130" s="5">
        <f t="shared" si="215"/>
        <v>-19298</v>
      </c>
      <c r="E130" s="5">
        <f t="shared" si="215"/>
        <v>-28151</v>
      </c>
      <c r="F130" s="5">
        <f t="shared" si="215"/>
        <v>17861</v>
      </c>
      <c r="G130" s="5">
        <f t="shared" si="215"/>
        <v>-17510</v>
      </c>
      <c r="H130" s="5">
        <f t="shared" si="215"/>
        <v>-5165</v>
      </c>
      <c r="I130" s="5">
        <f t="shared" si="215"/>
        <v>-16622</v>
      </c>
      <c r="J130" s="5">
        <f t="shared" si="215"/>
        <v>-5668.1004344492721</v>
      </c>
      <c r="K130" s="5">
        <f t="shared" si="215"/>
        <v>3726.1489121510676</v>
      </c>
      <c r="L130" s="5">
        <f t="shared" si="215"/>
        <v>5469.0287643602569</v>
      </c>
      <c r="M130" s="5">
        <f t="shared" si="215"/>
        <v>-4756.3370796700801</v>
      </c>
      <c r="N130" s="5">
        <f t="shared" si="215"/>
        <v>21729.995963944573</v>
      </c>
      <c r="O130" s="5">
        <f t="shared" si="215"/>
        <v>5271.8256364448425</v>
      </c>
      <c r="P130" s="5">
        <f t="shared" si="215"/>
        <v>1145.817833091809</v>
      </c>
      <c r="Q130" s="5">
        <f t="shared" si="215"/>
        <v>6067.9915231063715</v>
      </c>
      <c r="R130" s="5"/>
      <c r="S130" s="5">
        <f t="shared" si="215"/>
        <v>4545</v>
      </c>
      <c r="T130" s="5"/>
      <c r="U130" s="44">
        <f t="shared" si="215"/>
        <v>10482</v>
      </c>
      <c r="V130" s="44">
        <f t="shared" si="215"/>
        <v>34216</v>
      </c>
      <c r="X130" s="5">
        <f>X121+X128</f>
        <v>18426</v>
      </c>
      <c r="Y130" s="5">
        <f>Y121+Y128</f>
        <v>-21897</v>
      </c>
      <c r="Z130" s="5">
        <f>Z121+Z128</f>
        <v>-57655</v>
      </c>
      <c r="AA130" s="5">
        <f t="shared" ref="AA130:AF130" si="216">AA121+AA128</f>
        <v>-49380</v>
      </c>
      <c r="AB130" s="5">
        <f t="shared" si="216"/>
        <v>-36775</v>
      </c>
      <c r="AC130" s="5">
        <f t="shared" si="216"/>
        <v>-44966</v>
      </c>
      <c r="AD130" s="5">
        <f t="shared" si="216"/>
        <v>26169</v>
      </c>
      <c r="AE130" s="5">
        <f t="shared" si="216"/>
        <v>18086</v>
      </c>
      <c r="AF130" s="5">
        <f t="shared" si="216"/>
        <v>11430</v>
      </c>
      <c r="AG130" s="5"/>
      <c r="AH130" s="237">
        <f t="shared" si="93"/>
        <v>-1.6773781490349122</v>
      </c>
      <c r="AI130" s="24" t="e">
        <f>((AF130/AA130)^(1/(2025-2021)))-1</f>
        <v>#NUM!</v>
      </c>
      <c r="AJ130" s="24">
        <f t="shared" si="211"/>
        <v>-6.5942536898816684E-2</v>
      </c>
      <c r="AL130" s="94">
        <f t="shared" ref="AL130:BM130" si="217">AL86*AL131</f>
        <v>21000</v>
      </c>
      <c r="AM130" s="94">
        <f t="shared" si="217"/>
        <v>22380</v>
      </c>
      <c r="AN130" s="94">
        <f t="shared" si="217"/>
        <v>47302.100000000013</v>
      </c>
      <c r="AO130" s="94">
        <f t="shared" si="217"/>
        <v>61952.678125000013</v>
      </c>
      <c r="AP130" s="94">
        <f t="shared" si="217"/>
        <v>77220.022143750015</v>
      </c>
      <c r="AQ130" s="94">
        <f t="shared" ca="1" si="217"/>
        <v>93539.113103205702</v>
      </c>
      <c r="AR130" s="94">
        <f t="shared" ca="1" si="217"/>
        <v>124868.89069635206</v>
      </c>
      <c r="AS130" s="94">
        <f t="shared" ca="1" si="217"/>
        <v>144054.9813212039</v>
      </c>
      <c r="AT130" s="94">
        <f t="shared" ca="1" si="217"/>
        <v>149570.11129796787</v>
      </c>
      <c r="AU130" s="94">
        <f t="shared" ca="1" si="217"/>
        <v>155296.38745226513</v>
      </c>
      <c r="AV130" s="94">
        <f t="shared" ca="1" si="217"/>
        <v>159955.2790758331</v>
      </c>
      <c r="AW130" s="94">
        <f t="shared" ca="1" si="217"/>
        <v>164753.9374481081</v>
      </c>
      <c r="AX130" s="94">
        <f t="shared" ca="1" si="217"/>
        <v>203635.86668586158</v>
      </c>
      <c r="AY130" s="94">
        <f t="shared" ca="1" si="217"/>
        <v>209744.94268643743</v>
      </c>
      <c r="AZ130" s="94">
        <f t="shared" ca="1" si="217"/>
        <v>216037.29096703057</v>
      </c>
      <c r="BA130" s="94">
        <f t="shared" ca="1" si="217"/>
        <v>222518.40969604146</v>
      </c>
      <c r="BB130" s="94">
        <f t="shared" ca="1" si="217"/>
        <v>229193.96198692272</v>
      </c>
      <c r="BC130" s="94">
        <f t="shared" ca="1" si="217"/>
        <v>236069.7808465304</v>
      </c>
      <c r="BD130" s="94">
        <f t="shared" ca="1" si="217"/>
        <v>243151.87427192632</v>
      </c>
      <c r="BE130" s="94">
        <f t="shared" ca="1" si="217"/>
        <v>250446.4305000841</v>
      </c>
      <c r="BF130" s="94">
        <f t="shared" ca="1" si="217"/>
        <v>257959.8234150866</v>
      </c>
      <c r="BG130" s="94">
        <f t="shared" ca="1" si="217"/>
        <v>265698.61811753921</v>
      </c>
      <c r="BH130" s="94">
        <f t="shared" ca="1" si="217"/>
        <v>273669.5766610654</v>
      </c>
      <c r="BI130" s="94">
        <f t="shared" ca="1" si="217"/>
        <v>281879.66396089736</v>
      </c>
      <c r="BJ130" s="94">
        <f t="shared" ca="1" si="217"/>
        <v>290336.05387972429</v>
      </c>
      <c r="BK130" s="94">
        <f t="shared" ca="1" si="217"/>
        <v>299046.13549611607</v>
      </c>
      <c r="BL130" s="94">
        <f t="shared" ca="1" si="217"/>
        <v>308017.51956099959</v>
      </c>
      <c r="BM130" s="94">
        <f t="shared" ca="1" si="217"/>
        <v>317258.04514782957</v>
      </c>
    </row>
    <row r="131" spans="2:65" ht="12" x14ac:dyDescent="0.2">
      <c r="B131" s="6" t="s">
        <v>15</v>
      </c>
      <c r="C131" s="35">
        <f t="shared" ref="C131:Q131" si="218">C130/C86</f>
        <v>-2.9541241414461111E-2</v>
      </c>
      <c r="D131" s="35">
        <f t="shared" si="218"/>
        <v>-5.7516004816346965E-2</v>
      </c>
      <c r="E131" s="35">
        <f t="shared" si="218"/>
        <v>-8.1884528009913055E-2</v>
      </c>
      <c r="F131" s="35">
        <f t="shared" si="218"/>
        <v>4.6569534904337032E-2</v>
      </c>
      <c r="G131" s="35">
        <f t="shared" si="218"/>
        <v>-4.9591598599766626E-2</v>
      </c>
      <c r="H131" s="35">
        <f t="shared" si="218"/>
        <v>-1.6777324463385479E-2</v>
      </c>
      <c r="I131" s="35">
        <f t="shared" si="218"/>
        <v>-5.5270149397654462E-2</v>
      </c>
      <c r="J131" s="35">
        <f t="shared" si="218"/>
        <v>-1.8363156522884765E-2</v>
      </c>
      <c r="K131" s="35">
        <f t="shared" si="218"/>
        <v>1.0495188945709616E-2</v>
      </c>
      <c r="L131" s="35">
        <f t="shared" si="218"/>
        <v>1.5003576709765735E-2</v>
      </c>
      <c r="M131" s="35">
        <f t="shared" si="218"/>
        <v>-2.2755198398590006E-2</v>
      </c>
      <c r="N131" s="35">
        <f t="shared" si="218"/>
        <v>3.8453227849033579E-2</v>
      </c>
      <c r="O131" s="35">
        <f t="shared" si="218"/>
        <v>1.2896864814380878E-2</v>
      </c>
      <c r="P131" s="35">
        <f t="shared" si="218"/>
        <v>2.78200256657912E-3</v>
      </c>
      <c r="Q131" s="35">
        <f t="shared" si="218"/>
        <v>2.4432733478715433E-2</v>
      </c>
      <c r="R131" s="35"/>
      <c r="S131" s="35"/>
      <c r="T131" s="35"/>
      <c r="U131" s="43">
        <f>U130/U86</f>
        <v>4.2233432181536877E-2</v>
      </c>
      <c r="V131" s="43">
        <f>V130/V86</f>
        <v>2.0938832734734191E-2</v>
      </c>
      <c r="X131" s="35">
        <f t="shared" ref="X131:AF131" si="219">X130/X86</f>
        <v>2.4053637025839448E-2</v>
      </c>
      <c r="Y131" s="35">
        <f t="shared" si="219"/>
        <v>-2.7956162816528823E-2</v>
      </c>
      <c r="Z131" s="35">
        <f t="shared" si="219"/>
        <v>-9.3872367446290614E-2</v>
      </c>
      <c r="AA131" s="35">
        <f t="shared" si="219"/>
        <v>-6.2502215044073051E-2</v>
      </c>
      <c r="AB131" s="35">
        <f t="shared" si="219"/>
        <v>-2.8155610373820757E-2</v>
      </c>
      <c r="AC131" s="35">
        <f t="shared" si="219"/>
        <v>-3.539659998677528E-2</v>
      </c>
      <c r="AD131" s="35">
        <f t="shared" si="219"/>
        <v>1.7519898933702358E-2</v>
      </c>
      <c r="AE131" s="35">
        <f t="shared" si="219"/>
        <v>2.1252019623395318E-2</v>
      </c>
      <c r="AF131" s="35">
        <f t="shared" si="219"/>
        <v>1.1671232708859416E-2</v>
      </c>
      <c r="AG131" s="112"/>
      <c r="AH131" s="237">
        <f t="shared" si="93"/>
        <v>-1.7456195053012111</v>
      </c>
      <c r="AJ131" s="24">
        <f t="shared" si="211"/>
        <v>-9.8151243578529224E-2</v>
      </c>
      <c r="AL131" s="332">
        <v>0.02</v>
      </c>
      <c r="AM131" s="332">
        <v>0.02</v>
      </c>
      <c r="AN131" s="332">
        <v>0.04</v>
      </c>
      <c r="AO131" s="332">
        <v>0.05</v>
      </c>
      <c r="AP131" s="332">
        <v>0.06</v>
      </c>
      <c r="AQ131" s="332">
        <v>7.0000000000000007E-2</v>
      </c>
      <c r="AR131" s="332">
        <v>0.09</v>
      </c>
      <c r="AS131" s="332">
        <v>0.1</v>
      </c>
      <c r="AT131" s="332">
        <v>0.1</v>
      </c>
      <c r="AU131" s="332">
        <v>0.1</v>
      </c>
      <c r="AV131" s="95">
        <v>0.1</v>
      </c>
      <c r="AW131" s="95">
        <v>0.1</v>
      </c>
      <c r="AX131" s="95">
        <v>0.12</v>
      </c>
      <c r="AY131" s="95">
        <v>0.12</v>
      </c>
      <c r="AZ131" s="95">
        <v>0.12</v>
      </c>
      <c r="BA131" s="95">
        <v>0.12</v>
      </c>
      <c r="BB131" s="95">
        <v>0.12</v>
      </c>
      <c r="BC131" s="95">
        <v>0.12</v>
      </c>
      <c r="BD131" s="95">
        <v>0.12</v>
      </c>
      <c r="BE131" s="95">
        <v>0.12</v>
      </c>
      <c r="BF131" s="95">
        <v>0.12</v>
      </c>
      <c r="BG131" s="95">
        <v>0.12</v>
      </c>
      <c r="BH131" s="95">
        <v>0.12</v>
      </c>
      <c r="BI131" s="95">
        <v>0.12</v>
      </c>
      <c r="BJ131" s="95">
        <v>0.12</v>
      </c>
      <c r="BK131" s="95">
        <v>0.12</v>
      </c>
      <c r="BL131" s="95">
        <v>0.12</v>
      </c>
      <c r="BM131" s="95">
        <v>0.12</v>
      </c>
    </row>
    <row r="132" spans="2:65" ht="14.25" x14ac:dyDescent="0.35">
      <c r="B132" s="2" t="s">
        <v>90</v>
      </c>
      <c r="C132" s="15">
        <v>0</v>
      </c>
      <c r="D132" s="15">
        <v>0</v>
      </c>
      <c r="E132" s="15">
        <v>0</v>
      </c>
      <c r="F132" s="17">
        <f>AB132-E132-D132-C132</f>
        <v>0</v>
      </c>
      <c r="G132" s="15">
        <v>0</v>
      </c>
      <c r="H132" s="15">
        <v>-419</v>
      </c>
      <c r="I132" s="15">
        <v>11335</v>
      </c>
      <c r="J132" s="17">
        <f>AC132-I132-H132-G132</f>
        <v>-4358</v>
      </c>
      <c r="K132" s="15">
        <v>-991</v>
      </c>
      <c r="L132" s="14">
        <v>-25630</v>
      </c>
      <c r="M132" s="15">
        <v>-6234</v>
      </c>
      <c r="N132" s="17">
        <f>AD132-M132-L132-K132</f>
        <v>42473</v>
      </c>
      <c r="O132" s="15">
        <v>0</v>
      </c>
      <c r="P132" s="15">
        <v>0</v>
      </c>
      <c r="Q132" s="15">
        <v>-23524</v>
      </c>
      <c r="R132" s="15"/>
      <c r="S132" s="15">
        <v>727</v>
      </c>
      <c r="T132" s="15"/>
      <c r="U132" s="15">
        <v>0</v>
      </c>
      <c r="V132" s="39">
        <f>Q132+P132+O132+N132</f>
        <v>18949</v>
      </c>
      <c r="X132" s="15">
        <v>0</v>
      </c>
      <c r="Y132" s="15">
        <v>0</v>
      </c>
      <c r="Z132" s="15">
        <v>0</v>
      </c>
      <c r="AA132" s="15">
        <v>0</v>
      </c>
      <c r="AB132" s="15">
        <v>0</v>
      </c>
      <c r="AC132" s="15">
        <v>6558</v>
      </c>
      <c r="AD132" s="15">
        <v>9618</v>
      </c>
      <c r="AE132" s="15">
        <v>17701</v>
      </c>
      <c r="AF132" s="15">
        <v>-14463</v>
      </c>
      <c r="AG132" s="279"/>
      <c r="AH132" s="237" t="str">
        <f t="shared" si="93"/>
        <v/>
      </c>
      <c r="AJ132" s="24" t="str">
        <f t="shared" si="211"/>
        <v/>
      </c>
    </row>
    <row r="133" spans="2:65" ht="12" x14ac:dyDescent="0.2">
      <c r="B133" s="4" t="s">
        <v>18</v>
      </c>
      <c r="C133" s="5">
        <f>C130+C132</f>
        <v>-7187</v>
      </c>
      <c r="D133" s="5">
        <f>D130+D132</f>
        <v>-19298</v>
      </c>
      <c r="E133" s="5">
        <f>E130+E132</f>
        <v>-28151</v>
      </c>
      <c r="F133" s="5">
        <f t="shared" ref="F133" si="220">F130+F132</f>
        <v>17861</v>
      </c>
      <c r="G133" s="5">
        <f t="shared" ref="G133:M133" si="221">G130+G132</f>
        <v>-17510</v>
      </c>
      <c r="H133" s="5">
        <f t="shared" si="221"/>
        <v>-5584</v>
      </c>
      <c r="I133" s="5">
        <f t="shared" si="221"/>
        <v>-5287</v>
      </c>
      <c r="J133" s="5">
        <f t="shared" si="221"/>
        <v>-10026.100434449272</v>
      </c>
      <c r="K133" s="5">
        <f t="shared" si="221"/>
        <v>2735.1489121510676</v>
      </c>
      <c r="L133" s="5">
        <f t="shared" si="221"/>
        <v>-20160.971235639743</v>
      </c>
      <c r="M133" s="5">
        <f t="shared" si="221"/>
        <v>-10990.33707967008</v>
      </c>
      <c r="N133" s="5">
        <f t="shared" ref="N133" si="222">N130+N132</f>
        <v>64202.995963944573</v>
      </c>
      <c r="O133" s="5">
        <f t="shared" ref="O133" si="223">O130+O132</f>
        <v>5271.8256364448425</v>
      </c>
      <c r="P133" s="5">
        <f>P130+P132</f>
        <v>1145.817833091809</v>
      </c>
      <c r="Q133" s="5">
        <f>Q130+Q132</f>
        <v>-17456.008476893629</v>
      </c>
      <c r="R133" s="5"/>
      <c r="S133" s="5">
        <f>S130+S132</f>
        <v>5272</v>
      </c>
      <c r="T133" s="5"/>
      <c r="U133" s="5">
        <f>U130+U132</f>
        <v>10482</v>
      </c>
      <c r="V133" s="44">
        <f>V130+V132</f>
        <v>53165</v>
      </c>
      <c r="X133" s="5">
        <f t="shared" ref="X133" si="224">X130+X132</f>
        <v>18426</v>
      </c>
      <c r="Y133" s="5">
        <f>Y130+Y132</f>
        <v>-21897</v>
      </c>
      <c r="Z133" s="5">
        <f>Z130+Z132</f>
        <v>-57655</v>
      </c>
      <c r="AA133" s="5">
        <f>AA130+AA132</f>
        <v>-49380</v>
      </c>
      <c r="AB133" s="5">
        <f t="shared" ref="AB133" si="225">AB130+AB132</f>
        <v>-36775</v>
      </c>
      <c r="AC133" s="5">
        <f>AC130+AC132</f>
        <v>-38408</v>
      </c>
      <c r="AD133" s="5">
        <f>AD130+AD132</f>
        <v>35787</v>
      </c>
      <c r="AE133" s="5">
        <f>AE130+AE132</f>
        <v>35787</v>
      </c>
      <c r="AF133" s="5">
        <f>AF130+AF132</f>
        <v>-3033</v>
      </c>
      <c r="AG133" s="5"/>
      <c r="AH133" s="237">
        <f t="shared" si="93"/>
        <v>-0.56471545962398428</v>
      </c>
      <c r="AI133" s="24">
        <f>((AF133/AA133)^(1/(2025-2021)))-1</f>
        <v>-0.50217084038853477</v>
      </c>
      <c r="AJ133" s="24">
        <f t="shared" si="211"/>
        <v>-1.7727927677967994</v>
      </c>
    </row>
    <row r="134" spans="2:65" ht="12" x14ac:dyDescent="0.2">
      <c r="B134" s="9" t="s">
        <v>19</v>
      </c>
      <c r="C134" s="1">
        <v>-7108</v>
      </c>
      <c r="D134" s="8">
        <f>-26167-C134</f>
        <v>-19059</v>
      </c>
      <c r="E134" s="1">
        <v>-27866</v>
      </c>
      <c r="F134" s="1">
        <v>0</v>
      </c>
      <c r="G134" s="1">
        <v>-17418</v>
      </c>
      <c r="H134" s="1">
        <v>-5470</v>
      </c>
      <c r="I134" s="1">
        <v>-5182</v>
      </c>
      <c r="K134" s="1">
        <v>1116</v>
      </c>
      <c r="L134" s="1">
        <v>-20269</v>
      </c>
      <c r="M134" s="1">
        <v>-10990</v>
      </c>
      <c r="N134" s="5">
        <f>AD134-M134-L134-K134</f>
        <v>66232</v>
      </c>
      <c r="O134" s="1">
        <v>1116</v>
      </c>
      <c r="P134" s="1">
        <v>1116</v>
      </c>
      <c r="Q134" s="1">
        <v>-17461</v>
      </c>
      <c r="R134" s="1"/>
      <c r="S134" s="1">
        <v>5269</v>
      </c>
      <c r="T134" s="1"/>
      <c r="U134" s="1">
        <v>10340</v>
      </c>
      <c r="V134" s="8">
        <f>Q134+P134+O134+N134</f>
        <v>51003</v>
      </c>
      <c r="X134" s="1">
        <v>18427</v>
      </c>
      <c r="Y134" s="1">
        <v>-20590</v>
      </c>
      <c r="Z134" s="1">
        <v>-57357</v>
      </c>
      <c r="AA134" s="1">
        <v>-49009</v>
      </c>
      <c r="AB134" s="1">
        <v>-36110</v>
      </c>
      <c r="AC134" s="1">
        <v>-37951</v>
      </c>
      <c r="AD134" s="1">
        <v>36089</v>
      </c>
      <c r="AE134" s="1">
        <v>36089</v>
      </c>
      <c r="AF134" s="1">
        <v>-3071</v>
      </c>
      <c r="AG134" s="236"/>
      <c r="AH134" s="237">
        <f t="shared" si="93"/>
        <v>-0.56023825965243734</v>
      </c>
      <c r="AJ134" s="24">
        <f t="shared" si="211"/>
        <v>-1.7741625680004893</v>
      </c>
    </row>
    <row r="135" spans="2:65" ht="12" x14ac:dyDescent="0.2">
      <c r="B135" s="9" t="s">
        <v>20</v>
      </c>
      <c r="C135" s="5">
        <f>C133-C134</f>
        <v>-79</v>
      </c>
      <c r="D135" s="5">
        <f>D133-D134</f>
        <v>-239</v>
      </c>
      <c r="E135" s="5">
        <f t="shared" ref="E135" si="226">E133-E134</f>
        <v>-285</v>
      </c>
      <c r="F135" s="5">
        <f>F133-F134</f>
        <v>17861</v>
      </c>
      <c r="G135" s="5">
        <f t="shared" ref="G135" si="227">G133-G134</f>
        <v>-92</v>
      </c>
      <c r="H135" s="5">
        <f t="shared" ref="H135" si="228">H133-H134</f>
        <v>-114</v>
      </c>
      <c r="I135" s="5">
        <f>I133-I134</f>
        <v>-105</v>
      </c>
      <c r="K135" s="5">
        <f>K133-K134</f>
        <v>1619.1489121510676</v>
      </c>
      <c r="L135" s="5">
        <f t="shared" ref="L135" si="229">L133-L134</f>
        <v>108.0287643602569</v>
      </c>
      <c r="M135" s="5">
        <f>M133-M134</f>
        <v>-0.33707967008012929</v>
      </c>
      <c r="N135" s="5">
        <f>N130-N134</f>
        <v>-44502.004036055427</v>
      </c>
      <c r="O135" s="5">
        <f t="shared" ref="O135" si="230">O130-O134</f>
        <v>4155.8256364448425</v>
      </c>
      <c r="P135" s="5">
        <f>P130-P134</f>
        <v>29.817833091809007</v>
      </c>
      <c r="Q135" s="5">
        <f>Q130-Q134</f>
        <v>23528.991523106371</v>
      </c>
      <c r="R135" s="5"/>
      <c r="S135" s="44">
        <f>S130-S134</f>
        <v>-724</v>
      </c>
      <c r="T135" s="5"/>
      <c r="U135" s="44">
        <f>U130-U134</f>
        <v>142</v>
      </c>
      <c r="V135" s="44">
        <f>V130-V134</f>
        <v>-16787</v>
      </c>
      <c r="X135" s="5">
        <f t="shared" ref="X135" si="231">X130-X134</f>
        <v>-1</v>
      </c>
      <c r="Y135" s="5">
        <f>Y130-Y134</f>
        <v>-1307</v>
      </c>
      <c r="Z135" s="5">
        <f>Z130-Z134</f>
        <v>-298</v>
      </c>
      <c r="AA135" s="5">
        <f>AA130-AA134</f>
        <v>-371</v>
      </c>
      <c r="AB135" s="5">
        <f t="shared" ref="AB135" si="232">AB130-AB134</f>
        <v>-665</v>
      </c>
      <c r="AC135" s="5">
        <f>AC130-AC134</f>
        <v>-7015</v>
      </c>
      <c r="AD135" s="5">
        <f>AD130-AD134</f>
        <v>-9920</v>
      </c>
      <c r="AE135" s="5">
        <v>-302</v>
      </c>
      <c r="AF135" s="5">
        <v>38</v>
      </c>
      <c r="AG135" s="5"/>
      <c r="AH135" s="237">
        <f t="shared" si="93"/>
        <v>-1.3851713571108357</v>
      </c>
      <c r="AJ135" s="24">
        <f t="shared" si="211"/>
        <v>-2.6814477288240619</v>
      </c>
    </row>
    <row r="136" spans="2:65" x14ac:dyDescent="0.25">
      <c r="B136" s="9"/>
      <c r="F136" s="5"/>
      <c r="G136" s="5"/>
      <c r="H136" s="5"/>
      <c r="I136" s="5"/>
      <c r="K136" s="5"/>
      <c r="M136" s="5"/>
      <c r="N136" s="5"/>
      <c r="O136" s="5"/>
      <c r="P136" s="5"/>
      <c r="Q136" s="5"/>
      <c r="R136" s="5"/>
      <c r="S136" s="5"/>
      <c r="T136" s="5"/>
      <c r="U136" s="5"/>
      <c r="V136" s="44"/>
      <c r="AC136" s="5"/>
      <c r="AD136" s="5"/>
      <c r="AE136" s="5"/>
      <c r="AF136" s="5"/>
      <c r="AG136" s="5"/>
      <c r="AH136" s="237" t="str">
        <f t="shared" si="93"/>
        <v/>
      </c>
      <c r="AJ136" s="24" t="str">
        <f t="shared" si="211"/>
        <v/>
      </c>
    </row>
    <row r="137" spans="2:65" ht="12" x14ac:dyDescent="0.2">
      <c r="B137" s="9" t="s">
        <v>309</v>
      </c>
      <c r="C137" s="1">
        <v>57553.997000000003</v>
      </c>
      <c r="D137" s="1">
        <v>59610.650999999998</v>
      </c>
      <c r="E137" s="1">
        <v>60410.999000000003</v>
      </c>
      <c r="F137" s="1"/>
      <c r="G137" s="1">
        <v>61985.597000000002</v>
      </c>
      <c r="H137" s="1">
        <v>61985.597000000002</v>
      </c>
      <c r="I137" s="1">
        <v>61985.597000000002</v>
      </c>
      <c r="K137" s="1">
        <v>62060.855000000003</v>
      </c>
      <c r="L137" s="1">
        <v>61985.597000000002</v>
      </c>
      <c r="M137" s="1">
        <v>61992.533000000003</v>
      </c>
      <c r="N137" s="1">
        <v>62006.254000000001</v>
      </c>
      <c r="O137" s="1">
        <v>62060.855000000003</v>
      </c>
      <c r="P137" s="1">
        <v>62060.855000000003</v>
      </c>
      <c r="Q137" s="1">
        <v>62460</v>
      </c>
      <c r="R137" s="1"/>
      <c r="S137" s="1">
        <v>62006.254000000001</v>
      </c>
      <c r="T137" s="1"/>
      <c r="U137" s="1">
        <v>62603.466</v>
      </c>
      <c r="V137" s="8">
        <f>AVERAGE(Q137,P137,O137,N137)</f>
        <v>62146.991000000009</v>
      </c>
      <c r="X137" s="1"/>
      <c r="Y137" s="1"/>
      <c r="Z137" s="1"/>
      <c r="AA137" s="1">
        <v>41768.682999999997</v>
      </c>
      <c r="AB137" s="1">
        <v>60807.883999999998</v>
      </c>
      <c r="AC137" s="1">
        <v>61985.597000000002</v>
      </c>
      <c r="AD137" s="1">
        <v>62006.254000000001</v>
      </c>
      <c r="AE137" s="1"/>
      <c r="AF137" s="1">
        <v>62526.631999999998</v>
      </c>
      <c r="AG137" s="236"/>
      <c r="AH137" s="237">
        <f t="shared" si="93"/>
        <v>9.3343378368175856E-3</v>
      </c>
      <c r="AI137" s="24">
        <f>((AF137/AA137)^(1/(2025-2021)))-1</f>
        <v>0.10612335833335074</v>
      </c>
      <c r="AJ137" s="24" t="str">
        <f t="shared" si="211"/>
        <v/>
      </c>
      <c r="AL137" s="5">
        <f>AF137</f>
        <v>62526.631999999998</v>
      </c>
      <c r="AM137" s="5">
        <f>AL137</f>
        <v>62526.631999999998</v>
      </c>
      <c r="AN137" s="5">
        <f t="shared" ref="AN137:AP137" si="233">AM137</f>
        <v>62526.631999999998</v>
      </c>
      <c r="AO137" s="5">
        <f t="shared" si="233"/>
        <v>62526.631999999998</v>
      </c>
      <c r="AP137" s="5">
        <f t="shared" si="233"/>
        <v>62526.631999999998</v>
      </c>
      <c r="AQ137" s="5">
        <f t="shared" ref="AQ137:BM137" si="234">AP137</f>
        <v>62526.631999999998</v>
      </c>
      <c r="AR137" s="5">
        <f t="shared" si="234"/>
        <v>62526.631999999998</v>
      </c>
      <c r="AS137" s="5">
        <f t="shared" si="234"/>
        <v>62526.631999999998</v>
      </c>
      <c r="AT137" s="5">
        <f t="shared" si="234"/>
        <v>62526.631999999998</v>
      </c>
      <c r="AU137" s="5">
        <f t="shared" si="234"/>
        <v>62526.631999999998</v>
      </c>
      <c r="AV137" s="5">
        <f t="shared" si="234"/>
        <v>62526.631999999998</v>
      </c>
      <c r="AW137" s="5">
        <f t="shared" si="234"/>
        <v>62526.631999999998</v>
      </c>
      <c r="AX137" s="5">
        <f t="shared" si="234"/>
        <v>62526.631999999998</v>
      </c>
      <c r="AY137" s="5">
        <f t="shared" si="234"/>
        <v>62526.631999999998</v>
      </c>
      <c r="AZ137" s="5">
        <f t="shared" si="234"/>
        <v>62526.631999999998</v>
      </c>
      <c r="BA137" s="5">
        <f t="shared" si="234"/>
        <v>62526.631999999998</v>
      </c>
      <c r="BB137" s="5">
        <f t="shared" si="234"/>
        <v>62526.631999999998</v>
      </c>
      <c r="BC137" s="5">
        <f t="shared" si="234"/>
        <v>62526.631999999998</v>
      </c>
      <c r="BD137" s="5">
        <f t="shared" si="234"/>
        <v>62526.631999999998</v>
      </c>
      <c r="BE137" s="5">
        <f t="shared" si="234"/>
        <v>62526.631999999998</v>
      </c>
      <c r="BF137" s="5">
        <f t="shared" si="234"/>
        <v>62526.631999999998</v>
      </c>
      <c r="BG137" s="5">
        <f t="shared" si="234"/>
        <v>62526.631999999998</v>
      </c>
      <c r="BH137" s="5">
        <f t="shared" si="234"/>
        <v>62526.631999999998</v>
      </c>
      <c r="BI137" s="5">
        <f t="shared" si="234"/>
        <v>62526.631999999998</v>
      </c>
      <c r="BJ137" s="5">
        <f t="shared" si="234"/>
        <v>62526.631999999998</v>
      </c>
      <c r="BK137" s="5">
        <f t="shared" si="234"/>
        <v>62526.631999999998</v>
      </c>
      <c r="BL137" s="5">
        <f t="shared" si="234"/>
        <v>62526.631999999998</v>
      </c>
      <c r="BM137" s="5">
        <f t="shared" si="234"/>
        <v>62526.631999999998</v>
      </c>
    </row>
    <row r="138" spans="2:65" ht="12" x14ac:dyDescent="0.2">
      <c r="B138" s="9" t="s">
        <v>92</v>
      </c>
      <c r="C138" s="10">
        <f>C134/C137</f>
        <v>-0.12350141381145083</v>
      </c>
      <c r="D138" s="10">
        <f>D134/D137</f>
        <v>-0.3197247418083054</v>
      </c>
      <c r="E138" s="10">
        <f>E134/E137</f>
        <v>-0.46127361674651329</v>
      </c>
      <c r="F138" s="10"/>
      <c r="G138" s="10">
        <f>G134/G137</f>
        <v>-0.28100076216092584</v>
      </c>
      <c r="H138" s="10">
        <f>H134/H137</f>
        <v>-8.8246306637975919E-2</v>
      </c>
      <c r="I138" s="16">
        <f>I134/I137</f>
        <v>-8.3600065995976455E-2</v>
      </c>
      <c r="K138" s="16">
        <v>0.02</v>
      </c>
      <c r="L138" s="16">
        <v>0.08</v>
      </c>
      <c r="M138" s="88">
        <f>M134/M137</f>
        <v>-0.17727941524828481</v>
      </c>
      <c r="N138" s="88">
        <f>N134/N137</f>
        <v>1.0681503191597415</v>
      </c>
      <c r="O138" s="16">
        <v>0.08</v>
      </c>
      <c r="P138" s="16">
        <v>0.02</v>
      </c>
      <c r="Q138" s="10">
        <f>Q134/Q137</f>
        <v>-0.27955491514569325</v>
      </c>
      <c r="R138" s="10"/>
      <c r="S138" s="10">
        <f>S134/S137</f>
        <v>8.4975299427054563E-2</v>
      </c>
      <c r="T138" s="10"/>
      <c r="U138" s="10">
        <f>U134/U137</f>
        <v>0.16516657400406554</v>
      </c>
      <c r="V138" s="88">
        <f>V134/V137</f>
        <v>0.82068333766955814</v>
      </c>
      <c r="X138" s="10"/>
      <c r="Y138" s="10"/>
      <c r="Z138" s="10"/>
      <c r="AA138" s="10">
        <f>AA134/AA137</f>
        <v>-1.1733431959058898</v>
      </c>
      <c r="AB138" s="10">
        <f t="shared" ref="AB138" si="235">AB134/AB137</f>
        <v>-0.5938374701543635</v>
      </c>
      <c r="AC138" s="10">
        <f>AC134/AC137</f>
        <v>-0.61225513404347787</v>
      </c>
      <c r="AD138" s="10">
        <f>AD134/AD137</f>
        <v>0.58202193604535435</v>
      </c>
      <c r="AE138" s="10"/>
      <c r="AF138" s="10">
        <f>AF134/AF137</f>
        <v>-4.9115071478662085E-2</v>
      </c>
      <c r="AG138" s="10"/>
      <c r="AH138" s="237">
        <f t="shared" si="93"/>
        <v>-0.56430518227483484</v>
      </c>
      <c r="AI138" s="24">
        <f>((AD138/AA138)^(1/(2024-2021)))-1</f>
        <v>-1.7915981392386233</v>
      </c>
      <c r="AJ138" s="24" t="str">
        <f t="shared" si="211"/>
        <v/>
      </c>
      <c r="AL138" s="10">
        <f>AL130/AL137</f>
        <v>0.33585688735001751</v>
      </c>
      <c r="AM138" s="10">
        <f t="shared" ref="AM138:AP138" si="236">AM130/AM137</f>
        <v>0.35792748280444725</v>
      </c>
      <c r="AN138" s="10">
        <f t="shared" si="236"/>
        <v>0.75651124148186988</v>
      </c>
      <c r="AO138" s="10">
        <f t="shared" si="236"/>
        <v>0.99082064943142967</v>
      </c>
      <c r="AP138" s="10">
        <f t="shared" si="236"/>
        <v>1.2349941084904432</v>
      </c>
      <c r="AQ138" s="10">
        <f t="shared" ref="AQ138" ca="1" si="237">AQ130/AQ137</f>
        <v>1.4959883510630432</v>
      </c>
      <c r="AR138" s="10">
        <f t="shared" ref="AR138" ca="1" si="238">AR130/AR137</f>
        <v>1.9970512836250649</v>
      </c>
      <c r="AS138" s="10">
        <f t="shared" ref="AS138" ca="1" si="239">AS130/AS137</f>
        <v>2.3038979825621171</v>
      </c>
      <c r="AT138" s="10">
        <f t="shared" ref="AT138" ca="1" si="240">AT130/AT137</f>
        <v>2.392102477196723</v>
      </c>
      <c r="AU138" s="10">
        <f t="shared" ref="AU138" ca="1" si="241">AU130/AU137</f>
        <v>2.4836838717342897</v>
      </c>
      <c r="AV138" s="10">
        <f t="shared" ref="AV138" ca="1" si="242">AV130/AV137</f>
        <v>2.5581943878863185</v>
      </c>
      <c r="AW138" s="10">
        <f t="shared" ref="AW138" ca="1" si="243">AW130/AW137</f>
        <v>2.6349402195229086</v>
      </c>
      <c r="AX138" s="10">
        <f t="shared" ref="AX138" ca="1" si="244">AX130/AX137</f>
        <v>3.2567861113303143</v>
      </c>
      <c r="AY138" s="10">
        <f t="shared" ref="AY138" ca="1" si="245">AY130/AY137</f>
        <v>3.3544896946702236</v>
      </c>
      <c r="AZ138" s="10">
        <f t="shared" ref="AZ138" ca="1" si="246">AZ130/AZ137</f>
        <v>3.4551243855103304</v>
      </c>
      <c r="BA138" s="10">
        <f t="shared" ref="BA138" ca="1" si="247">BA130/BA137</f>
        <v>3.5587781170756401</v>
      </c>
      <c r="BB138" s="10">
        <f t="shared" ref="BB138" ca="1" si="248">BB130/BB137</f>
        <v>3.6655414605879098</v>
      </c>
      <c r="BC138" s="10">
        <f t="shared" ref="BC138" ca="1" si="249">BC130/BC137</f>
        <v>3.7755077044055469</v>
      </c>
      <c r="BD138" s="10">
        <f t="shared" ref="BD138" ca="1" si="250">BD130/BD137</f>
        <v>3.8887729355377134</v>
      </c>
      <c r="BE138" s="10">
        <f t="shared" ref="BE138" ca="1" si="251">BE130/BE137</f>
        <v>4.0054361236038449</v>
      </c>
      <c r="BF138" s="10">
        <f t="shared" ref="BF138" ca="1" si="252">BF130/BF137</f>
        <v>4.1255992073119598</v>
      </c>
      <c r="BG138" s="10">
        <f t="shared" ref="BG138" ca="1" si="253">BG130/BG137</f>
        <v>4.2493671835313185</v>
      </c>
      <c r="BH138" s="10">
        <f t="shared" ref="BH138" ca="1" si="254">BH130/BH137</f>
        <v>4.3768481990372585</v>
      </c>
      <c r="BI138" s="10">
        <f t="shared" ref="BI138" ca="1" si="255">BI130/BI137</f>
        <v>4.5081536450083766</v>
      </c>
      <c r="BJ138" s="10">
        <f t="shared" ref="BJ138" ca="1" si="256">BJ130/BJ137</f>
        <v>4.6433982543586279</v>
      </c>
      <c r="BK138" s="10">
        <f t="shared" ref="BK138" ca="1" si="257">BK130/BK137</f>
        <v>4.7827002019893872</v>
      </c>
      <c r="BL138" s="10">
        <f t="shared" ref="BL138" ca="1" si="258">BL130/BL137</f>
        <v>4.9261812080490692</v>
      </c>
      <c r="BM138" s="10">
        <f t="shared" ref="BM138" ca="1" si="259">BM130/BM137</f>
        <v>5.0739666442905413</v>
      </c>
    </row>
    <row r="139" spans="2:65" ht="12" x14ac:dyDescent="0.2">
      <c r="D139" s="2"/>
      <c r="E139" s="2"/>
      <c r="V139" s="93">
        <f>V138/AD138-1</f>
        <v>0.41005568148484017</v>
      </c>
      <c r="AH139" s="237" t="str">
        <f t="shared" si="93"/>
        <v/>
      </c>
      <c r="AJ139" s="24" t="str">
        <f t="shared" si="211"/>
        <v/>
      </c>
    </row>
    <row r="140" spans="2:65" ht="12" x14ac:dyDescent="0.2">
      <c r="B140" s="2" t="s">
        <v>353</v>
      </c>
      <c r="D140" s="2"/>
      <c r="E140" s="2"/>
      <c r="V140" s="93"/>
      <c r="AF140" s="2">
        <f>-AF121*0.17</f>
        <v>-3389.1200000000003</v>
      </c>
      <c r="AH140" s="237" t="str">
        <f t="shared" si="93"/>
        <v/>
      </c>
      <c r="AJ140" s="24" t="str">
        <f t="shared" si="211"/>
        <v/>
      </c>
      <c r="AL140" s="94" t="e">
        <f>(AL130/(1+#REF!)^(AL141))</f>
        <v>#REF!</v>
      </c>
      <c r="AM140" s="94" t="e">
        <f>(AM130/(1+#REF!)^(AM141))</f>
        <v>#REF!</v>
      </c>
      <c r="AN140" s="94" t="e">
        <f>(AN130/(1+#REF!)^(AN141))</f>
        <v>#REF!</v>
      </c>
      <c r="AO140" s="94" t="e">
        <f>(AO130/(1+#REF!)^(AO141))</f>
        <v>#REF!</v>
      </c>
      <c r="AP140" s="94" t="e">
        <f>(AP130/(1+#REF!)^(AP141))</f>
        <v>#REF!</v>
      </c>
      <c r="AQ140" s="94" t="e">
        <f ca="1">(AQ130/(1+#REF!)^(AQ141))</f>
        <v>#REF!</v>
      </c>
      <c r="AR140" s="94" t="e">
        <f ca="1">(AR130/(1+#REF!)^(AR141))</f>
        <v>#REF!</v>
      </c>
      <c r="AS140" s="94" t="e">
        <f ca="1">(AS130/(1+#REF!)^(AS141))</f>
        <v>#REF!</v>
      </c>
      <c r="AT140" s="94" t="e">
        <f ca="1">(AT130/(1+#REF!)^(AT141))</f>
        <v>#REF!</v>
      </c>
      <c r="AU140" s="94" t="e">
        <f ca="1">(AU130/(1+#REF!)^(AU141))</f>
        <v>#REF!</v>
      </c>
      <c r="AV140" s="94" t="e">
        <f ca="1">(AV130/(1+#REF!)^(AV141))</f>
        <v>#REF!</v>
      </c>
      <c r="AW140" s="94" t="e">
        <f ca="1">(AW130/(1+#REF!)^(AW141))</f>
        <v>#REF!</v>
      </c>
      <c r="AX140" s="94" t="e">
        <f ca="1">(AX130/(1+#REF!)^(AX141))</f>
        <v>#REF!</v>
      </c>
      <c r="AY140" s="94" t="e">
        <f ca="1">(AY130/(1+#REF!)^(AY141))</f>
        <v>#REF!</v>
      </c>
      <c r="AZ140" s="94" t="e">
        <f ca="1">(AZ130/(1+#REF!)^(AZ141))</f>
        <v>#REF!</v>
      </c>
      <c r="BA140" s="94" t="e">
        <f ca="1">(BA130/(1+#REF!)^(BA141))</f>
        <v>#REF!</v>
      </c>
      <c r="BB140" s="94" t="e">
        <f ca="1">(BB130/(1+#REF!)^(BB141))</f>
        <v>#REF!</v>
      </c>
      <c r="BC140" s="94" t="e">
        <f ca="1">(BC130/(1+#REF!)^(BC141))</f>
        <v>#REF!</v>
      </c>
      <c r="BD140" s="94" t="e">
        <f ca="1">(BD130/(1+#REF!)^(BD141))</f>
        <v>#REF!</v>
      </c>
      <c r="BE140" s="94" t="e">
        <f ca="1">(BE130/(1+#REF!)^(BE141))</f>
        <v>#REF!</v>
      </c>
      <c r="BF140" s="94" t="e">
        <f ca="1">(BF130/(1+#REF!)^(BF141))</f>
        <v>#REF!</v>
      </c>
      <c r="BG140" s="94" t="e">
        <f ca="1">(BG130/(1+#REF!)^(BG141))</f>
        <v>#REF!</v>
      </c>
      <c r="BH140" s="94" t="e">
        <f ca="1">(BH130/(1+#REF!)^(BH141))</f>
        <v>#REF!</v>
      </c>
      <c r="BI140" s="94" t="e">
        <f ca="1">(BI130/(1+#REF!)^(BI141))</f>
        <v>#REF!</v>
      </c>
      <c r="BJ140" s="94" t="e">
        <f ca="1">(BJ130/(1+#REF!)^(BJ141))</f>
        <v>#REF!</v>
      </c>
      <c r="BK140" s="94" t="e">
        <f ca="1">(BK130/(1+#REF!)^(BK141))</f>
        <v>#REF!</v>
      </c>
      <c r="BL140" s="94" t="e">
        <f ca="1">(BL130/(1+#REF!)^(BL141))</f>
        <v>#REF!</v>
      </c>
      <c r="BM140" s="94" t="e">
        <f ca="1">(BM130/(1+#REF!)^(BM141))</f>
        <v>#REF!</v>
      </c>
    </row>
    <row r="141" spans="2:65" ht="12" x14ac:dyDescent="0.2">
      <c r="B141" s="2" t="s">
        <v>354</v>
      </c>
      <c r="D141" s="2"/>
      <c r="E141" s="2"/>
      <c r="V141" s="93"/>
      <c r="AH141" s="237" t="str">
        <f t="shared" si="93"/>
        <v/>
      </c>
      <c r="AJ141" s="24" t="str">
        <f t="shared" si="211"/>
        <v/>
      </c>
      <c r="AL141" s="94">
        <v>1</v>
      </c>
      <c r="AM141" s="2">
        <v>2</v>
      </c>
      <c r="AN141" s="2">
        <v>3</v>
      </c>
      <c r="AO141" s="2">
        <v>4</v>
      </c>
      <c r="AP141" s="2">
        <v>5</v>
      </c>
      <c r="AQ141" s="2">
        <f t="shared" ref="AQ141:BM141" si="260">(AQ2-2025)</f>
        <v>6</v>
      </c>
      <c r="AR141" s="2">
        <f t="shared" si="260"/>
        <v>7</v>
      </c>
      <c r="AS141" s="2">
        <f t="shared" si="260"/>
        <v>8</v>
      </c>
      <c r="AT141" s="2">
        <f t="shared" si="260"/>
        <v>9</v>
      </c>
      <c r="AU141" s="2">
        <f t="shared" si="260"/>
        <v>10</v>
      </c>
      <c r="AV141" s="2">
        <f t="shared" si="260"/>
        <v>11</v>
      </c>
      <c r="AW141" s="2">
        <f t="shared" si="260"/>
        <v>12</v>
      </c>
      <c r="AX141" s="2">
        <f t="shared" si="260"/>
        <v>13</v>
      </c>
      <c r="AY141" s="2">
        <f t="shared" si="260"/>
        <v>14</v>
      </c>
      <c r="AZ141" s="2">
        <f t="shared" si="260"/>
        <v>15</v>
      </c>
      <c r="BA141" s="2">
        <f t="shared" si="260"/>
        <v>16</v>
      </c>
      <c r="BB141" s="2">
        <f t="shared" si="260"/>
        <v>17</v>
      </c>
      <c r="BC141" s="2">
        <f t="shared" si="260"/>
        <v>18</v>
      </c>
      <c r="BD141" s="2">
        <f t="shared" si="260"/>
        <v>19</v>
      </c>
      <c r="BE141" s="2">
        <f t="shared" si="260"/>
        <v>20</v>
      </c>
      <c r="BF141" s="2">
        <f t="shared" si="260"/>
        <v>21</v>
      </c>
      <c r="BG141" s="2">
        <f t="shared" si="260"/>
        <v>22</v>
      </c>
      <c r="BH141" s="2">
        <f t="shared" si="260"/>
        <v>23</v>
      </c>
      <c r="BI141" s="2">
        <f t="shared" si="260"/>
        <v>24</v>
      </c>
      <c r="BJ141" s="2">
        <f t="shared" si="260"/>
        <v>25</v>
      </c>
      <c r="BK141" s="2">
        <f t="shared" si="260"/>
        <v>26</v>
      </c>
      <c r="BL141" s="2">
        <f t="shared" si="260"/>
        <v>27</v>
      </c>
      <c r="BM141" s="2">
        <f t="shared" si="260"/>
        <v>28</v>
      </c>
    </row>
    <row r="142" spans="2:65" ht="12" x14ac:dyDescent="0.2">
      <c r="B142" s="4" t="s">
        <v>373</v>
      </c>
      <c r="C142" s="35"/>
      <c r="D142" s="35"/>
      <c r="E142" s="35"/>
      <c r="F142" s="35"/>
      <c r="G142" s="35"/>
      <c r="H142" s="35"/>
      <c r="I142" s="35"/>
      <c r="J142" s="35"/>
      <c r="K142" s="35"/>
      <c r="L142" s="35"/>
      <c r="M142" s="35"/>
      <c r="N142" s="35"/>
      <c r="O142" s="35"/>
      <c r="P142" s="35"/>
      <c r="Q142" s="35"/>
      <c r="R142" s="35"/>
      <c r="S142" s="35"/>
      <c r="T142" s="35"/>
      <c r="U142" s="35"/>
      <c r="V142" s="43"/>
      <c r="AH142" s="237" t="str">
        <f t="shared" si="93"/>
        <v/>
      </c>
      <c r="AJ142" s="24" t="str">
        <f t="shared" si="211"/>
        <v/>
      </c>
      <c r="AL142" s="109"/>
      <c r="AM142" s="109"/>
      <c r="AN142" s="109"/>
      <c r="AO142" s="109"/>
      <c r="AP142" s="109"/>
      <c r="AQ142" s="109"/>
      <c r="AR142" s="109"/>
      <c r="AS142" s="109"/>
    </row>
    <row r="143" spans="2:65" ht="12" x14ac:dyDescent="0.2">
      <c r="B143" s="6" t="s">
        <v>441</v>
      </c>
      <c r="C143" s="35"/>
      <c r="D143" s="35"/>
      <c r="E143" s="35"/>
      <c r="F143" s="35"/>
      <c r="G143" s="35"/>
      <c r="H143" s="35"/>
      <c r="I143" s="35"/>
      <c r="J143" s="35"/>
      <c r="K143" s="35"/>
      <c r="L143" s="35"/>
      <c r="M143" s="35"/>
      <c r="N143" s="35"/>
      <c r="O143" s="35"/>
      <c r="P143" s="35"/>
      <c r="Q143" s="35"/>
      <c r="R143" s="35"/>
      <c r="S143" s="35"/>
      <c r="T143" s="35"/>
      <c r="U143" s="35"/>
      <c r="V143" s="43"/>
      <c r="X143" s="5">
        <f t="shared" ref="X143:AF143" si="261">X110*(1-X129)</f>
        <v>33586.578073089702</v>
      </c>
      <c r="Y143" s="5">
        <f t="shared" si="261"/>
        <v>-1591.8737301728747</v>
      </c>
      <c r="Z143" s="5">
        <f t="shared" si="261"/>
        <v>-42177.829342834266</v>
      </c>
      <c r="AA143" s="5">
        <f t="shared" si="261"/>
        <v>-22244.705571024231</v>
      </c>
      <c r="AB143" s="5">
        <f t="shared" si="261"/>
        <v>12705.578773091669</v>
      </c>
      <c r="AC143" s="5">
        <f t="shared" si="261"/>
        <v>4942.8854904375794</v>
      </c>
      <c r="AD143" s="5"/>
      <c r="AE143" s="5">
        <f t="shared" si="261"/>
        <v>26584.184860968075</v>
      </c>
      <c r="AF143" s="5">
        <f t="shared" si="261"/>
        <v>47010.006270064208</v>
      </c>
      <c r="AG143" s="5"/>
      <c r="AH143" s="237">
        <f t="shared" si="93"/>
        <v>0.54667340768321759</v>
      </c>
      <c r="AJ143" s="24">
        <f t="shared" si="211"/>
        <v>4.9205721196286856E-2</v>
      </c>
      <c r="AL143" s="109"/>
      <c r="AM143" s="109"/>
      <c r="AN143" s="109"/>
      <c r="AO143" s="109"/>
      <c r="AP143" s="109"/>
      <c r="AQ143" s="109"/>
      <c r="AR143" s="109"/>
      <c r="AS143" s="109"/>
    </row>
    <row r="144" spans="2:65" ht="12" x14ac:dyDescent="0.2">
      <c r="B144" s="6" t="s">
        <v>442</v>
      </c>
      <c r="C144" s="35"/>
      <c r="D144" s="35"/>
      <c r="E144" s="35"/>
      <c r="F144" s="35"/>
      <c r="G144" s="35"/>
      <c r="H144" s="35"/>
      <c r="I144" s="35"/>
      <c r="J144" s="35"/>
      <c r="K144" s="35"/>
      <c r="L144" s="35"/>
      <c r="M144" s="35"/>
      <c r="N144" s="35"/>
      <c r="O144" s="35"/>
      <c r="P144" s="35"/>
      <c r="Q144" s="35"/>
      <c r="R144" s="35"/>
      <c r="S144" s="35"/>
      <c r="T144" s="35"/>
      <c r="U144" s="35"/>
      <c r="V144" s="43"/>
      <c r="X144" s="5">
        <f t="shared" ref="X144:AF144" si="262">X110*(1-0.17)</f>
        <v>22576</v>
      </c>
      <c r="Y144" s="5">
        <f t="shared" si="262"/>
        <v>-1289.82</v>
      </c>
      <c r="Z144" s="5">
        <f t="shared" si="262"/>
        <v>-33097.08</v>
      </c>
      <c r="AA144" s="5">
        <f t="shared" si="262"/>
        <v>-21376.649999999998</v>
      </c>
      <c r="AB144" s="5">
        <f t="shared" si="262"/>
        <v>14683.529999999999</v>
      </c>
      <c r="AC144" s="5">
        <f t="shared" si="262"/>
        <v>3333.2799999999997</v>
      </c>
      <c r="AD144" s="5"/>
      <c r="AE144" s="5">
        <f t="shared" si="262"/>
        <v>33169.29</v>
      </c>
      <c r="AF144" s="5">
        <f t="shared" si="262"/>
        <v>57116.45</v>
      </c>
      <c r="AG144" s="5"/>
      <c r="AH144" s="237">
        <f t="shared" si="93"/>
        <v>0.57269163650921406</v>
      </c>
      <c r="AJ144" s="24">
        <f t="shared" si="211"/>
        <v>0.14179396793439003</v>
      </c>
      <c r="AL144" s="5">
        <f>AL110*(1-0.17)</f>
        <v>72044</v>
      </c>
      <c r="AM144" s="5">
        <f t="shared" ref="AM144:AU144" si="263">AM110*(1-0.17)</f>
        <v>98839.720000000016</v>
      </c>
      <c r="AN144" s="5">
        <f t="shared" si="263"/>
        <v>104588.46807500001</v>
      </c>
      <c r="AO144" s="5">
        <f t="shared" si="263"/>
        <v>114380.07129437503</v>
      </c>
      <c r="AP144" s="5">
        <f t="shared" si="263"/>
        <v>123756.45886963439</v>
      </c>
      <c r="AQ144" s="5">
        <f t="shared" ca="1" si="263"/>
        <v>133090.34711124047</v>
      </c>
      <c r="AR144" s="5">
        <f t="shared" ca="1" si="263"/>
        <v>142269.56358959296</v>
      </c>
      <c r="AS144" s="5">
        <f t="shared" ca="1" si="263"/>
        <v>150445.61025693428</v>
      </c>
      <c r="AT144" s="5">
        <f t="shared" ca="1" si="263"/>
        <v>153476.38491398079</v>
      </c>
      <c r="AU144" s="5">
        <f t="shared" ca="1" si="263"/>
        <v>156568.61206586563</v>
      </c>
    </row>
    <row r="145" spans="1:65" ht="12" x14ac:dyDescent="0.2">
      <c r="B145" s="2" t="s">
        <v>661</v>
      </c>
      <c r="C145" s="35"/>
      <c r="D145" s="35"/>
      <c r="E145" s="35"/>
      <c r="F145" s="35"/>
      <c r="G145" s="35"/>
      <c r="H145" s="35"/>
      <c r="I145" s="35"/>
      <c r="J145" s="35"/>
      <c r="K145" s="35"/>
      <c r="L145" s="35"/>
      <c r="M145" s="35"/>
      <c r="N145" s="35"/>
      <c r="O145" s="35"/>
      <c r="P145" s="35"/>
      <c r="Q145" s="35"/>
      <c r="R145" s="35"/>
      <c r="S145" s="35"/>
      <c r="T145" s="35"/>
      <c r="U145" s="35"/>
      <c r="V145" s="43"/>
      <c r="X145" s="5"/>
      <c r="Y145" s="5">
        <f>Y110-X110</f>
        <v>-28754</v>
      </c>
      <c r="Z145" s="5">
        <f t="shared" ref="Z145:AF145" si="264">Z110-Y110</f>
        <v>-38322</v>
      </c>
      <c r="AA145" s="5">
        <f t="shared" si="264"/>
        <v>14121</v>
      </c>
      <c r="AB145" s="5">
        <f t="shared" si="264"/>
        <v>43446</v>
      </c>
      <c r="AC145" s="5">
        <f t="shared" si="264"/>
        <v>-13675</v>
      </c>
      <c r="AD145" s="5"/>
      <c r="AE145" s="5">
        <f>AE110-AC110</f>
        <v>35947</v>
      </c>
      <c r="AF145" s="5">
        <f t="shared" si="264"/>
        <v>28852</v>
      </c>
      <c r="AG145" s="5"/>
      <c r="AH145" s="237"/>
      <c r="AJ145" s="24"/>
      <c r="AL145" s="5"/>
      <c r="AM145" s="5"/>
      <c r="AN145" s="5"/>
      <c r="AO145" s="5"/>
      <c r="AP145" s="5"/>
      <c r="AQ145" s="5"/>
      <c r="AR145" s="5"/>
      <c r="AS145" s="5"/>
      <c r="AT145" s="5"/>
      <c r="AU145" s="5"/>
    </row>
    <row r="146" spans="1:65" ht="12" x14ac:dyDescent="0.2">
      <c r="B146" s="2" t="s">
        <v>662</v>
      </c>
      <c r="C146" s="35"/>
      <c r="D146" s="35"/>
      <c r="E146" s="35"/>
      <c r="F146" s="35"/>
      <c r="G146" s="35"/>
      <c r="H146" s="35"/>
      <c r="I146" s="35"/>
      <c r="J146" s="35"/>
      <c r="K146" s="35"/>
      <c r="L146" s="35"/>
      <c r="M146" s="35"/>
      <c r="N146" s="35"/>
      <c r="O146" s="35"/>
      <c r="P146" s="35"/>
      <c r="Q146" s="35"/>
      <c r="R146" s="35"/>
      <c r="S146" s="35"/>
      <c r="T146" s="35"/>
      <c r="U146" s="35"/>
      <c r="V146" s="43"/>
      <c r="X146" s="5"/>
      <c r="Y146" s="5">
        <f>Y348-X348</f>
        <v>133292</v>
      </c>
      <c r="Z146" s="5">
        <f t="shared" ref="Z146:AF146" si="265">Z348-Y348</f>
        <v>-36161</v>
      </c>
      <c r="AA146" s="5">
        <f t="shared" si="265"/>
        <v>136132</v>
      </c>
      <c r="AB146" s="5">
        <f t="shared" si="265"/>
        <v>250394</v>
      </c>
      <c r="AC146" s="5">
        <f t="shared" si="265"/>
        <v>-26851</v>
      </c>
      <c r="AD146" s="5"/>
      <c r="AE146" s="5">
        <f>AE348-AC348</f>
        <v>-1210148</v>
      </c>
      <c r="AF146" s="5">
        <f t="shared" si="265"/>
        <v>1125954</v>
      </c>
      <c r="AG146" s="5"/>
      <c r="AH146" s="237"/>
      <c r="AJ146" s="24"/>
      <c r="AL146" s="5"/>
      <c r="AM146" s="5"/>
      <c r="AN146" s="5"/>
      <c r="AO146" s="5"/>
      <c r="AP146" s="5"/>
      <c r="AQ146" s="5"/>
      <c r="AR146" s="5"/>
      <c r="AS146" s="5"/>
      <c r="AT146" s="5"/>
      <c r="AU146" s="5"/>
    </row>
    <row r="147" spans="1:65" ht="12" x14ac:dyDescent="0.2">
      <c r="B147" s="2" t="s">
        <v>663</v>
      </c>
      <c r="C147" s="35"/>
      <c r="D147" s="35"/>
      <c r="E147" s="35"/>
      <c r="F147" s="35"/>
      <c r="G147" s="35"/>
      <c r="H147" s="35"/>
      <c r="I147" s="35"/>
      <c r="J147" s="35"/>
      <c r="K147" s="35"/>
      <c r="L147" s="35"/>
      <c r="M147" s="35"/>
      <c r="N147" s="35"/>
      <c r="O147" s="35"/>
      <c r="P147" s="35"/>
      <c r="Q147" s="35"/>
      <c r="R147" s="35"/>
      <c r="S147" s="35"/>
      <c r="T147" s="35"/>
      <c r="U147" s="35"/>
      <c r="V147" s="43"/>
      <c r="X147" s="5"/>
      <c r="Y147" s="24">
        <f>Y145/Y146</f>
        <v>-0.21572187378087207</v>
      </c>
      <c r="Z147" s="24">
        <f t="shared" ref="Z147:AF147" si="266">Z145/Z146</f>
        <v>1.0597605154724703</v>
      </c>
      <c r="AA147" s="24">
        <f t="shared" si="266"/>
        <v>0.10373020303822761</v>
      </c>
      <c r="AB147" s="24">
        <f t="shared" si="266"/>
        <v>0.17351054737733332</v>
      </c>
      <c r="AC147" s="24">
        <f t="shared" si="266"/>
        <v>0.50929201891922093</v>
      </c>
      <c r="AD147" s="24"/>
      <c r="AE147" s="24">
        <f t="shared" si="266"/>
        <v>-2.9704631169080144E-2</v>
      </c>
      <c r="AF147" s="24">
        <f t="shared" si="266"/>
        <v>2.5624492652452941E-2</v>
      </c>
      <c r="AG147" s="5"/>
      <c r="AH147" s="237"/>
      <c r="AJ147" s="24"/>
      <c r="AL147" s="5"/>
      <c r="AM147" s="5"/>
      <c r="AN147" s="5"/>
      <c r="AO147" s="5"/>
      <c r="AP147" s="5"/>
      <c r="AQ147" s="5"/>
      <c r="AR147" s="5"/>
      <c r="AS147" s="5"/>
      <c r="AT147" s="5"/>
      <c r="AU147" s="5"/>
    </row>
    <row r="148" spans="1:65" ht="12" x14ac:dyDescent="0.2">
      <c r="B148" s="6"/>
      <c r="C148" s="35"/>
      <c r="D148" s="35"/>
      <c r="E148" s="35"/>
      <c r="F148" s="35"/>
      <c r="G148" s="35"/>
      <c r="H148" s="35"/>
      <c r="I148" s="35"/>
      <c r="J148" s="35"/>
      <c r="K148" s="35"/>
      <c r="L148" s="35"/>
      <c r="M148" s="35"/>
      <c r="N148" s="35"/>
      <c r="O148" s="35"/>
      <c r="P148" s="35"/>
      <c r="Q148" s="35"/>
      <c r="R148" s="35"/>
      <c r="S148" s="35"/>
      <c r="T148" s="35"/>
      <c r="U148" s="35"/>
      <c r="V148" s="43"/>
      <c r="X148" s="5"/>
      <c r="Y148" s="5"/>
      <c r="Z148" s="5"/>
      <c r="AA148" s="5"/>
      <c r="AB148" s="5"/>
      <c r="AC148" s="5"/>
      <c r="AD148" s="5"/>
      <c r="AE148" s="5"/>
      <c r="AF148" s="5"/>
      <c r="AG148" s="5"/>
      <c r="AH148" s="237"/>
      <c r="AJ148" s="24"/>
      <c r="AL148" s="5"/>
      <c r="AM148" s="5"/>
      <c r="AN148" s="5"/>
      <c r="AO148" s="5"/>
      <c r="AP148" s="5"/>
      <c r="AQ148" s="5"/>
      <c r="AR148" s="5"/>
      <c r="AS148" s="5"/>
      <c r="AT148" s="5"/>
      <c r="AU148" s="5"/>
    </row>
    <row r="149" spans="1:65" ht="12" x14ac:dyDescent="0.2">
      <c r="B149" s="85" t="s">
        <v>307</v>
      </c>
      <c r="C149" s="86"/>
      <c r="D149" s="86"/>
      <c r="E149" s="86"/>
      <c r="F149" s="86"/>
      <c r="G149" s="86"/>
      <c r="H149" s="86"/>
      <c r="I149" s="86"/>
      <c r="J149" s="86"/>
      <c r="K149" s="86"/>
      <c r="L149" s="86"/>
      <c r="M149" s="86"/>
      <c r="N149" s="86"/>
      <c r="O149" s="86"/>
      <c r="P149" s="86"/>
      <c r="Q149" s="86"/>
      <c r="R149" s="86"/>
      <c r="S149" s="86"/>
      <c r="T149" s="86"/>
      <c r="U149" s="86"/>
      <c r="V149" s="86"/>
      <c r="W149" s="87"/>
      <c r="X149" s="86"/>
      <c r="Y149" s="86"/>
      <c r="Z149" s="86"/>
      <c r="AA149" s="86"/>
      <c r="AB149" s="86"/>
      <c r="AC149" s="86"/>
      <c r="AD149" s="86"/>
      <c r="AE149" s="86"/>
      <c r="AF149" s="86"/>
      <c r="AG149" s="5"/>
      <c r="AH149" s="87"/>
      <c r="AI149" s="87"/>
      <c r="AJ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c r="BG149" s="87"/>
      <c r="BH149" s="87"/>
      <c r="BI149" s="87"/>
      <c r="BJ149" s="87"/>
      <c r="BK149" s="87"/>
      <c r="BL149" s="87"/>
      <c r="BM149" s="87"/>
    </row>
    <row r="150" spans="1:65" ht="12" x14ac:dyDescent="0.2">
      <c r="A150" s="2" t="s">
        <v>21</v>
      </c>
      <c r="B150" s="2" t="s">
        <v>114</v>
      </c>
      <c r="C150" s="33">
        <v>312633</v>
      </c>
      <c r="D150" s="33">
        <v>315543</v>
      </c>
      <c r="E150" s="33">
        <v>334910</v>
      </c>
      <c r="F150" s="33">
        <v>0</v>
      </c>
      <c r="G150" s="33">
        <v>301025</v>
      </c>
      <c r="H150" s="1">
        <v>297172</v>
      </c>
      <c r="I150" s="1">
        <v>295573</v>
      </c>
      <c r="J150" s="1">
        <v>0</v>
      </c>
      <c r="K150" s="33">
        <v>288297</v>
      </c>
      <c r="L150" s="33">
        <v>283526</v>
      </c>
      <c r="M150" s="1">
        <v>304272</v>
      </c>
      <c r="N150" s="1">
        <v>0</v>
      </c>
      <c r="O150" s="1">
        <v>302429</v>
      </c>
      <c r="P150" s="1">
        <v>292164</v>
      </c>
      <c r="Q150" s="1">
        <v>283200</v>
      </c>
      <c r="R150" s="1"/>
      <c r="S150" s="1"/>
      <c r="T150" s="1"/>
      <c r="U150" s="1">
        <v>277723</v>
      </c>
      <c r="V150" s="1"/>
      <c r="X150" s="33">
        <v>146186</v>
      </c>
      <c r="Y150" s="33">
        <v>154932</v>
      </c>
      <c r="Z150" s="33">
        <v>175203</v>
      </c>
      <c r="AA150" s="33">
        <v>193504</v>
      </c>
      <c r="AB150" s="33">
        <v>305752</v>
      </c>
      <c r="AC150" s="1">
        <v>290369</v>
      </c>
      <c r="AD150" s="1">
        <v>309780</v>
      </c>
      <c r="AE150" s="1"/>
      <c r="AF150" s="1">
        <v>280940</v>
      </c>
      <c r="AG150" s="236"/>
      <c r="AH150" s="237">
        <f t="shared" si="93"/>
        <v>-2.7816847860518967E-2</v>
      </c>
      <c r="AI150" s="24">
        <f t="shared" ref="AI150:AI198" si="267">((AF150/AA150)^(1/(2025-2021)))-1</f>
        <v>9.7693033048482647E-2</v>
      </c>
      <c r="AJ150" s="24">
        <f t="shared" ref="AJ150:AJ198" si="268">IFERROR((AF150/X150)^(1/(2025-2018))-1,"")</f>
        <v>9.7816325971078921E-2</v>
      </c>
    </row>
    <row r="151" spans="1:65" ht="12" x14ac:dyDescent="0.2">
      <c r="B151" s="2" t="s">
        <v>22</v>
      </c>
      <c r="C151" s="33">
        <v>749442</v>
      </c>
      <c r="D151" s="33">
        <v>764269</v>
      </c>
      <c r="E151" s="33">
        <v>776297</v>
      </c>
      <c r="F151" s="33">
        <v>0</v>
      </c>
      <c r="G151" s="33">
        <v>733419</v>
      </c>
      <c r="H151" s="33">
        <v>730040</v>
      </c>
      <c r="I151" s="1">
        <v>727660</v>
      </c>
      <c r="J151" s="1">
        <v>0</v>
      </c>
      <c r="K151" s="33">
        <v>721260</v>
      </c>
      <c r="L151" s="33">
        <v>632421</v>
      </c>
      <c r="M151" s="1">
        <v>642165</v>
      </c>
      <c r="N151" s="1">
        <v>0</v>
      </c>
      <c r="O151" s="1">
        <v>669010</v>
      </c>
      <c r="P151" s="1">
        <v>650763</v>
      </c>
      <c r="Q151" s="1">
        <v>548245</v>
      </c>
      <c r="R151" s="1"/>
      <c r="S151" s="1"/>
      <c r="T151" s="1"/>
      <c r="U151" s="1">
        <v>541933</v>
      </c>
      <c r="V151" s="1"/>
      <c r="X151" s="33">
        <v>368553</v>
      </c>
      <c r="Y151" s="33">
        <v>558277</v>
      </c>
      <c r="Z151" s="33">
        <v>568704</v>
      </c>
      <c r="AA151" s="33">
        <v>603843</v>
      </c>
      <c r="AB151" s="33">
        <v>744997</v>
      </c>
      <c r="AC151" s="1">
        <v>722988</v>
      </c>
      <c r="AD151" s="1">
        <v>669922</v>
      </c>
      <c r="AE151" s="1"/>
      <c r="AF151" s="1">
        <v>547609</v>
      </c>
      <c r="AG151" s="236"/>
      <c r="AH151" s="237">
        <f t="shared" si="93"/>
        <v>-9.7517717876652421E-2</v>
      </c>
      <c r="AI151" s="24">
        <f t="shared" si="267"/>
        <v>-2.4141980948495845E-2</v>
      </c>
      <c r="AJ151" s="24">
        <f t="shared" si="268"/>
        <v>5.8198721182390223E-2</v>
      </c>
    </row>
    <row r="152" spans="1:65" ht="12" x14ac:dyDescent="0.2">
      <c r="B152" s="6" t="s">
        <v>406</v>
      </c>
      <c r="C152" s="33"/>
      <c r="D152" s="33"/>
      <c r="E152" s="33"/>
      <c r="F152" s="33"/>
      <c r="G152" s="33"/>
      <c r="H152" s="33"/>
      <c r="I152" s="1"/>
      <c r="J152" s="1"/>
      <c r="K152" s="33"/>
      <c r="L152" s="33"/>
      <c r="M152" s="1"/>
      <c r="N152" s="1"/>
      <c r="O152" s="1"/>
      <c r="P152" s="1"/>
      <c r="Q152" s="1"/>
      <c r="R152" s="1"/>
      <c r="S152" s="1"/>
      <c r="T152" s="1"/>
      <c r="U152" s="1"/>
      <c r="V152" s="1"/>
      <c r="X152" s="458">
        <f>X151/X$86</f>
        <v>0.48111581931966824</v>
      </c>
      <c r="Y152" s="458">
        <f t="shared" ref="Y152" si="269">Y151/Y$86</f>
        <v>0.71275894911281279</v>
      </c>
      <c r="Z152" s="458">
        <f t="shared" ref="Z152" si="270">Z151/Z$86</f>
        <v>0.92594902187451666</v>
      </c>
      <c r="AA152" s="458">
        <f t="shared" ref="AA152" si="271">AA151/AA$86</f>
        <v>0.76430791897242212</v>
      </c>
      <c r="AB152" s="458">
        <f t="shared" ref="AB152" si="272">AB151/AB$86</f>
        <v>0.57038328379783387</v>
      </c>
      <c r="AC152" s="458">
        <f t="shared" ref="AC152" si="273">AC151/AC$86</f>
        <v>0.56912594029352592</v>
      </c>
      <c r="AD152" s="458">
        <f t="shared" ref="AD152" si="274">AD151/AD$86</f>
        <v>0.44850646694423746</v>
      </c>
      <c r="AE152" s="458"/>
      <c r="AF152" s="458">
        <f t="shared" ref="AF152" si="275">AF151/AF$86</f>
        <v>0.55916641053943972</v>
      </c>
      <c r="AG152" s="236"/>
      <c r="AH152" s="237"/>
      <c r="AI152" s="24"/>
      <c r="AJ152" s="24"/>
    </row>
    <row r="153" spans="1:65" ht="12" x14ac:dyDescent="0.2">
      <c r="B153" s="2" t="s">
        <v>112</v>
      </c>
      <c r="C153" s="33">
        <v>5296</v>
      </c>
      <c r="D153" s="33">
        <v>5459</v>
      </c>
      <c r="E153" s="33">
        <v>5687</v>
      </c>
      <c r="F153" s="33">
        <v>0</v>
      </c>
      <c r="G153" s="33">
        <v>5454</v>
      </c>
      <c r="H153" s="33">
        <v>5555</v>
      </c>
      <c r="I153" s="1">
        <v>5623</v>
      </c>
      <c r="J153" s="1"/>
      <c r="K153" s="33">
        <v>6653</v>
      </c>
      <c r="L153" s="33">
        <v>0</v>
      </c>
      <c r="M153" s="1"/>
      <c r="N153" s="1"/>
      <c r="O153" s="1"/>
      <c r="P153" s="1"/>
      <c r="Q153" s="1"/>
      <c r="R153" s="1"/>
      <c r="S153" s="1"/>
      <c r="T153" s="1"/>
      <c r="U153" s="1"/>
      <c r="V153" s="1"/>
      <c r="X153" s="33">
        <v>4148</v>
      </c>
      <c r="Y153" s="33">
        <v>4307</v>
      </c>
      <c r="Z153" s="33">
        <v>4328</v>
      </c>
      <c r="AA153" s="33">
        <v>5263</v>
      </c>
      <c r="AB153" s="33">
        <v>5521</v>
      </c>
      <c r="AC153" s="1">
        <v>7016</v>
      </c>
      <c r="AD153" s="1">
        <v>0</v>
      </c>
      <c r="AE153" s="1"/>
      <c r="AF153" s="1"/>
      <c r="AG153" s="236"/>
      <c r="AH153" s="237">
        <f t="shared" si="93"/>
        <v>-1</v>
      </c>
      <c r="AI153" s="24">
        <f t="shared" si="267"/>
        <v>-1</v>
      </c>
      <c r="AJ153" s="24">
        <f t="shared" si="268"/>
        <v>-1</v>
      </c>
    </row>
    <row r="154" spans="1:65" ht="12" x14ac:dyDescent="0.2">
      <c r="B154" s="2" t="s">
        <v>23</v>
      </c>
      <c r="C154" s="33">
        <v>0</v>
      </c>
      <c r="D154" s="33">
        <v>0</v>
      </c>
      <c r="E154" s="33">
        <v>0</v>
      </c>
      <c r="F154" s="33">
        <v>0</v>
      </c>
      <c r="G154" s="33">
        <v>31125</v>
      </c>
      <c r="H154" s="33">
        <v>31442</v>
      </c>
      <c r="I154" s="1">
        <v>33275</v>
      </c>
      <c r="J154" s="1">
        <v>0</v>
      </c>
      <c r="K154" s="33">
        <v>34270</v>
      </c>
      <c r="L154" s="33">
        <v>34720</v>
      </c>
      <c r="M154" s="1">
        <v>5211</v>
      </c>
      <c r="N154" s="1">
        <v>0</v>
      </c>
      <c r="O154" s="1">
        <v>5211</v>
      </c>
      <c r="P154" s="1">
        <v>5211</v>
      </c>
      <c r="Q154" s="1">
        <v>5211</v>
      </c>
      <c r="R154" s="1"/>
      <c r="S154" s="1"/>
      <c r="T154" s="1"/>
      <c r="U154" s="1">
        <v>6336</v>
      </c>
      <c r="V154" s="1"/>
      <c r="X154" s="33"/>
      <c r="Y154" s="33"/>
      <c r="Z154" s="33"/>
      <c r="AA154" s="33">
        <v>0</v>
      </c>
      <c r="AB154" s="33">
        <v>30125</v>
      </c>
      <c r="AC154" s="1">
        <v>34542</v>
      </c>
      <c r="AD154" s="1">
        <v>5211</v>
      </c>
      <c r="AE154" s="1"/>
      <c r="AF154" s="1">
        <v>6336</v>
      </c>
      <c r="AG154" s="236"/>
      <c r="AH154" s="237">
        <f t="shared" ref="AH154:AH231" si="276">IFERROR(((AF154/AB154))^(1/(2025-2022))-1,"")</f>
        <v>-0.40530260289509035</v>
      </c>
      <c r="AI154" s="24" t="e">
        <f t="shared" si="267"/>
        <v>#DIV/0!</v>
      </c>
      <c r="AJ154" s="24" t="str">
        <f t="shared" si="268"/>
        <v/>
      </c>
    </row>
    <row r="155" spans="1:65" ht="12" x14ac:dyDescent="0.2">
      <c r="B155" s="2" t="s">
        <v>113</v>
      </c>
      <c r="C155" s="33">
        <v>0</v>
      </c>
      <c r="D155" s="33">
        <v>0</v>
      </c>
      <c r="E155" s="33">
        <v>0</v>
      </c>
      <c r="F155" s="33">
        <v>0</v>
      </c>
      <c r="G155" s="33">
        <v>20404</v>
      </c>
      <c r="H155" s="33">
        <v>20580</v>
      </c>
      <c r="I155" s="1">
        <v>37258</v>
      </c>
      <c r="J155" s="1"/>
      <c r="K155" s="33">
        <v>38087</v>
      </c>
      <c r="L155" s="33">
        <v>38520</v>
      </c>
      <c r="M155" s="1"/>
      <c r="N155" s="1"/>
      <c r="O155" s="1"/>
      <c r="P155" s="1"/>
      <c r="Q155" s="1">
        <v>108656</v>
      </c>
      <c r="R155" s="1"/>
      <c r="S155" s="1"/>
      <c r="T155" s="1"/>
      <c r="U155" s="1">
        <v>47810</v>
      </c>
      <c r="V155" s="1"/>
      <c r="X155" s="33">
        <v>131282</v>
      </c>
      <c r="Y155" s="33">
        <v>101418</v>
      </c>
      <c r="Z155" s="33">
        <v>5491</v>
      </c>
      <c r="AA155" s="33">
        <v>0</v>
      </c>
      <c r="AB155" s="33">
        <v>10870</v>
      </c>
      <c r="AC155" s="1">
        <v>35643</v>
      </c>
      <c r="AD155" s="1">
        <v>0</v>
      </c>
      <c r="AE155" s="1"/>
      <c r="AF155" s="1">
        <v>108785</v>
      </c>
      <c r="AG155" s="236"/>
      <c r="AH155" s="237">
        <f t="shared" si="276"/>
        <v>1.1549961105660649</v>
      </c>
      <c r="AI155" s="24" t="e">
        <f t="shared" si="267"/>
        <v>#DIV/0!</v>
      </c>
      <c r="AJ155" s="24">
        <f t="shared" si="268"/>
        <v>-2.6496112225346868E-2</v>
      </c>
    </row>
    <row r="156" spans="1:65" ht="12" x14ac:dyDescent="0.2">
      <c r="B156" s="2" t="s">
        <v>24</v>
      </c>
      <c r="C156" s="33">
        <v>267</v>
      </c>
      <c r="D156" s="33">
        <v>1761</v>
      </c>
      <c r="E156" s="33">
        <v>4762</v>
      </c>
      <c r="F156" s="33">
        <v>0</v>
      </c>
      <c r="G156" s="33">
        <v>3011</v>
      </c>
      <c r="H156" s="33">
        <v>3011</v>
      </c>
      <c r="I156" s="1">
        <v>3011</v>
      </c>
      <c r="J156" s="1">
        <v>0</v>
      </c>
      <c r="K156" s="33">
        <v>2011</v>
      </c>
      <c r="L156" s="33">
        <v>2008</v>
      </c>
      <c r="M156" s="1">
        <v>2265</v>
      </c>
      <c r="N156" s="1">
        <v>0</v>
      </c>
      <c r="O156" s="1">
        <v>2265</v>
      </c>
      <c r="P156" s="1">
        <v>2215</v>
      </c>
      <c r="Q156" s="1">
        <v>2214</v>
      </c>
      <c r="R156" s="1"/>
      <c r="S156" s="1"/>
      <c r="T156" s="1"/>
      <c r="U156" s="2">
        <v>213</v>
      </c>
      <c r="V156" s="1"/>
      <c r="X156" s="33">
        <v>7329</v>
      </c>
      <c r="Y156" s="33">
        <v>7469</v>
      </c>
      <c r="Z156" s="33">
        <v>6874</v>
      </c>
      <c r="AA156" s="33">
        <v>271</v>
      </c>
      <c r="AB156" s="33">
        <v>3011</v>
      </c>
      <c r="AC156" s="1">
        <v>3013</v>
      </c>
      <c r="AD156" s="1">
        <v>2265</v>
      </c>
      <c r="AE156" s="1"/>
      <c r="AF156" s="1">
        <v>2214</v>
      </c>
      <c r="AG156" s="236"/>
      <c r="AH156" s="237">
        <f t="shared" si="276"/>
        <v>-9.7413250204761215E-2</v>
      </c>
      <c r="AI156" s="24">
        <f t="shared" si="267"/>
        <v>0.69064366467828076</v>
      </c>
      <c r="AJ156" s="24">
        <f t="shared" si="268"/>
        <v>-0.15718303153120794</v>
      </c>
    </row>
    <row r="157" spans="1:65" ht="12" x14ac:dyDescent="0.2">
      <c r="B157" s="2" t="s">
        <v>25</v>
      </c>
      <c r="C157" s="33">
        <v>44380</v>
      </c>
      <c r="D157" s="33">
        <v>45531</v>
      </c>
      <c r="E157" s="33">
        <v>51428</v>
      </c>
      <c r="F157" s="33">
        <v>0</v>
      </c>
      <c r="G157" s="33">
        <v>60329</v>
      </c>
      <c r="H157" s="33">
        <v>62222</v>
      </c>
      <c r="I157" s="1">
        <v>57917</v>
      </c>
      <c r="J157" s="1">
        <v>0</v>
      </c>
      <c r="K157" s="33">
        <v>54421</v>
      </c>
      <c r="L157" s="33">
        <v>34403</v>
      </c>
      <c r="M157" s="1">
        <v>37895</v>
      </c>
      <c r="N157" s="1">
        <v>0</v>
      </c>
      <c r="O157" s="1">
        <v>39219</v>
      </c>
      <c r="P157" s="1">
        <v>40893</v>
      </c>
      <c r="Q157" s="1">
        <v>70294</v>
      </c>
      <c r="R157" s="1"/>
      <c r="S157" s="1"/>
      <c r="T157" s="1"/>
      <c r="U157" s="1">
        <v>66953</v>
      </c>
      <c r="V157" s="1"/>
      <c r="X157" s="33">
        <v>13226</v>
      </c>
      <c r="Y157" s="33">
        <v>33597</v>
      </c>
      <c r="Z157" s="33">
        <v>36468</v>
      </c>
      <c r="AA157" s="33">
        <v>42387</v>
      </c>
      <c r="AB157" s="33">
        <v>60458</v>
      </c>
      <c r="AC157" s="1">
        <v>47964</v>
      </c>
      <c r="AD157" s="1">
        <v>37155</v>
      </c>
      <c r="AE157" s="1"/>
      <c r="AF157" s="1">
        <v>66931</v>
      </c>
      <c r="AG157" s="236"/>
      <c r="AH157" s="237">
        <f t="shared" si="276"/>
        <v>3.448574961638351E-2</v>
      </c>
      <c r="AI157" s="24">
        <f t="shared" si="267"/>
        <v>0.12098205017946428</v>
      </c>
      <c r="AJ157" s="24">
        <f t="shared" si="268"/>
        <v>0.26066538398481809</v>
      </c>
    </row>
    <row r="158" spans="1:65" ht="14.25" x14ac:dyDescent="0.35">
      <c r="B158" s="2" t="s">
        <v>26</v>
      </c>
      <c r="C158" s="15">
        <v>8918</v>
      </c>
      <c r="D158" s="15">
        <v>11465</v>
      </c>
      <c r="E158" s="15">
        <v>14895</v>
      </c>
      <c r="F158" s="15">
        <v>0</v>
      </c>
      <c r="G158" s="15">
        <v>7154</v>
      </c>
      <c r="H158" s="15">
        <v>6523</v>
      </c>
      <c r="I158" s="3">
        <v>9409</v>
      </c>
      <c r="J158" s="3">
        <v>0</v>
      </c>
      <c r="K158" s="15">
        <v>6717</v>
      </c>
      <c r="L158" s="15">
        <v>7119</v>
      </c>
      <c r="M158" s="3">
        <v>9780</v>
      </c>
      <c r="N158" s="3">
        <v>0</v>
      </c>
      <c r="O158" s="3">
        <v>13208</v>
      </c>
      <c r="P158" s="3">
        <v>13603</v>
      </c>
      <c r="Q158" s="3">
        <v>873</v>
      </c>
      <c r="R158" s="3"/>
      <c r="S158" s="3"/>
      <c r="T158" s="3"/>
      <c r="U158" s="3">
        <v>1296</v>
      </c>
      <c r="V158" s="3"/>
      <c r="X158" s="15">
        <v>8486</v>
      </c>
      <c r="Y158" s="15">
        <v>9811</v>
      </c>
      <c r="Z158" s="15">
        <v>10261</v>
      </c>
      <c r="AA158" s="15">
        <v>8565</v>
      </c>
      <c r="AB158" s="15">
        <v>6916</v>
      </c>
      <c r="AC158" s="3">
        <v>6589</v>
      </c>
      <c r="AD158" s="3">
        <v>13286</v>
      </c>
      <c r="AE158" s="3"/>
      <c r="AF158" s="3">
        <v>1268</v>
      </c>
      <c r="AG158" s="269"/>
      <c r="AH158" s="237">
        <f t="shared" si="276"/>
        <v>-0.4319044034299665</v>
      </c>
      <c r="AI158" s="24">
        <f t="shared" si="267"/>
        <v>-0.37970544120877836</v>
      </c>
      <c r="AJ158" s="24">
        <f t="shared" si="268"/>
        <v>-0.237816643758471</v>
      </c>
    </row>
    <row r="159" spans="1:65" ht="12" x14ac:dyDescent="0.2">
      <c r="B159" s="4" t="s">
        <v>321</v>
      </c>
      <c r="C159" s="5">
        <f>SUM(C150:C158)</f>
        <v>1120936</v>
      </c>
      <c r="D159" s="5">
        <f>SUM(D150:D158)</f>
        <v>1144028</v>
      </c>
      <c r="E159" s="5">
        <f t="shared" ref="E159" si="277">SUM(E150:E158)</f>
        <v>1187979</v>
      </c>
      <c r="F159" s="5">
        <f t="shared" ref="F159:M159" si="278">SUM(F150:F158)</f>
        <v>0</v>
      </c>
      <c r="G159" s="5">
        <f t="shared" si="278"/>
        <v>1161921</v>
      </c>
      <c r="H159" s="5">
        <f t="shared" si="278"/>
        <v>1156545</v>
      </c>
      <c r="I159" s="5">
        <f t="shared" si="278"/>
        <v>1169726</v>
      </c>
      <c r="J159" s="5">
        <f t="shared" si="278"/>
        <v>0</v>
      </c>
      <c r="K159" s="5">
        <f t="shared" si="278"/>
        <v>1151716</v>
      </c>
      <c r="L159" s="5">
        <f t="shared" si="278"/>
        <v>1032717</v>
      </c>
      <c r="M159" s="5">
        <f t="shared" si="278"/>
        <v>1001588</v>
      </c>
      <c r="N159" s="5">
        <f t="shared" ref="N159" si="279">SUM(N150:N158)</f>
        <v>0</v>
      </c>
      <c r="O159" s="5">
        <f>SUM(O150:O158)</f>
        <v>1031342</v>
      </c>
      <c r="P159" s="5">
        <f>SUM(P150:P158)</f>
        <v>1004849</v>
      </c>
      <c r="Q159" s="5">
        <f>SUM(Q150:Q158)</f>
        <v>1018693</v>
      </c>
      <c r="R159" s="5"/>
      <c r="S159" s="5"/>
      <c r="T159" s="5"/>
      <c r="U159" s="5">
        <f>SUM(U150:U158)</f>
        <v>942264</v>
      </c>
      <c r="V159" s="5"/>
      <c r="X159" s="5">
        <f t="shared" ref="X159" si="280">SUM(X150:X158)</f>
        <v>679210.4811158193</v>
      </c>
      <c r="Y159" s="5">
        <f>SUM(Y150:Y158)</f>
        <v>869811.71275894914</v>
      </c>
      <c r="Z159" s="5">
        <f>SUM(Z150:Z158)</f>
        <v>807329.92594902182</v>
      </c>
      <c r="AA159" s="5">
        <f>SUM(AA150:AA158)</f>
        <v>853833.76430791896</v>
      </c>
      <c r="AB159" s="5">
        <f t="shared" ref="AB159" si="281">SUM(AB150:AB158)</f>
        <v>1167650.5703832838</v>
      </c>
      <c r="AC159" s="5">
        <f>SUM(AC150:AC158)</f>
        <v>1148124.5691259403</v>
      </c>
      <c r="AD159" s="5">
        <f>SUM(AD150:AD158)</f>
        <v>1037619.4485064669</v>
      </c>
      <c r="AE159" s="5"/>
      <c r="AF159" s="5">
        <f>SUM(AF150:AF158)</f>
        <v>1014083.5591664106</v>
      </c>
      <c r="AG159" s="5"/>
      <c r="AH159" s="237">
        <f t="shared" si="276"/>
        <v>-4.591526214404873E-2</v>
      </c>
      <c r="AI159" s="24">
        <f t="shared" si="267"/>
        <v>4.3938956218094072E-2</v>
      </c>
      <c r="AJ159" s="24">
        <f t="shared" si="268"/>
        <v>5.8929511292744818E-2</v>
      </c>
    </row>
    <row r="160" spans="1:65" ht="12" x14ac:dyDescent="0.2">
      <c r="B160" s="2" t="s">
        <v>27</v>
      </c>
      <c r="C160" s="33">
        <v>342974</v>
      </c>
      <c r="D160" s="33">
        <v>364131</v>
      </c>
      <c r="E160" s="33">
        <v>392895</v>
      </c>
      <c r="F160" s="33">
        <v>0</v>
      </c>
      <c r="G160" s="33">
        <v>337090</v>
      </c>
      <c r="H160" s="33">
        <v>333215</v>
      </c>
      <c r="I160" s="1">
        <v>346150</v>
      </c>
      <c r="J160" s="1">
        <v>0</v>
      </c>
      <c r="K160" s="33">
        <v>346242</v>
      </c>
      <c r="L160" s="33">
        <v>342922</v>
      </c>
      <c r="M160" s="1">
        <v>377747</v>
      </c>
      <c r="N160" s="1">
        <v>0</v>
      </c>
      <c r="O160" s="1">
        <v>386957</v>
      </c>
      <c r="P160" s="1">
        <v>371973</v>
      </c>
      <c r="Q160" s="1">
        <v>288896</v>
      </c>
      <c r="R160" s="1"/>
      <c r="S160" s="1"/>
      <c r="T160" s="1"/>
      <c r="U160" s="1">
        <v>292207</v>
      </c>
      <c r="V160" s="1"/>
      <c r="X160" s="33">
        <v>137680</v>
      </c>
      <c r="Y160" s="33">
        <v>173918</v>
      </c>
      <c r="Z160" s="33">
        <v>184513</v>
      </c>
      <c r="AA160" s="33">
        <v>245429</v>
      </c>
      <c r="AB160" s="33">
        <v>323980</v>
      </c>
      <c r="AC160" s="33">
        <v>334440</v>
      </c>
      <c r="AD160" s="1">
        <v>389394</v>
      </c>
      <c r="AE160" s="1"/>
      <c r="AF160" s="1">
        <v>270203</v>
      </c>
      <c r="AG160" s="236"/>
      <c r="AH160" s="237">
        <f t="shared" si="276"/>
        <v>-5.8708821776417452E-2</v>
      </c>
      <c r="AI160" s="24">
        <f t="shared" si="267"/>
        <v>2.4332782940325037E-2</v>
      </c>
      <c r="AJ160" s="24">
        <f t="shared" si="268"/>
        <v>0.10111157977684804</v>
      </c>
    </row>
    <row r="161" spans="2:36" ht="12" x14ac:dyDescent="0.2">
      <c r="B161" s="6" t="s">
        <v>406</v>
      </c>
      <c r="C161" s="33"/>
      <c r="D161" s="33"/>
      <c r="E161" s="33"/>
      <c r="F161" s="33"/>
      <c r="G161" s="33"/>
      <c r="H161" s="33"/>
      <c r="I161" s="1"/>
      <c r="J161" s="1"/>
      <c r="K161" s="33"/>
      <c r="L161" s="33"/>
      <c r="M161" s="1"/>
      <c r="N161" s="1"/>
      <c r="O161" s="1"/>
      <c r="P161" s="1"/>
      <c r="Q161" s="1"/>
      <c r="R161" s="1"/>
      <c r="S161" s="1"/>
      <c r="T161" s="1"/>
      <c r="U161" s="1"/>
      <c r="V161" s="1"/>
      <c r="X161" s="458">
        <f>X160/X$86</f>
        <v>0.17972998728522607</v>
      </c>
      <c r="Y161" s="458">
        <f t="shared" ref="Y161:AF161" si="282">Y160/Y$86</f>
        <v>0.2220431988274677</v>
      </c>
      <c r="Z161" s="458">
        <f t="shared" si="282"/>
        <v>0.30041925478479609</v>
      </c>
      <c r="AA161" s="458">
        <f t="shared" si="282"/>
        <v>0.31064917245953433</v>
      </c>
      <c r="AB161" s="458">
        <f t="shared" si="282"/>
        <v>0.24804499385208562</v>
      </c>
      <c r="AC161" s="458">
        <f t="shared" si="282"/>
        <v>0.26326644352571105</v>
      </c>
      <c r="AD161" s="458">
        <f t="shared" si="282"/>
        <v>0.26069561410027497</v>
      </c>
      <c r="AE161" s="458"/>
      <c r="AF161" s="458">
        <f t="shared" si="282"/>
        <v>0.27590569480594407</v>
      </c>
      <c r="AG161" s="236"/>
      <c r="AH161" s="237"/>
      <c r="AI161" s="24"/>
      <c r="AJ161" s="24"/>
    </row>
    <row r="162" spans="2:36" ht="12" x14ac:dyDescent="0.2">
      <c r="B162" s="2" t="s">
        <v>28</v>
      </c>
      <c r="C162" s="33">
        <v>14045</v>
      </c>
      <c r="D162" s="33">
        <v>29281</v>
      </c>
      <c r="E162" s="33">
        <v>29594</v>
      </c>
      <c r="F162" s="33">
        <v>0</v>
      </c>
      <c r="G162" s="33">
        <v>23898</v>
      </c>
      <c r="H162" s="33">
        <v>25911</v>
      </c>
      <c r="I162" s="1">
        <v>27818</v>
      </c>
      <c r="J162" s="1">
        <v>0</v>
      </c>
      <c r="K162" s="33">
        <v>31159</v>
      </c>
      <c r="L162" s="33">
        <v>25215</v>
      </c>
      <c r="M162" s="1">
        <v>27896</v>
      </c>
      <c r="N162" s="1">
        <v>0</v>
      </c>
      <c r="O162" s="1">
        <v>20903</v>
      </c>
      <c r="P162" s="1">
        <v>18172</v>
      </c>
      <c r="Q162" s="1">
        <v>20984</v>
      </c>
      <c r="R162" s="1"/>
      <c r="S162" s="1"/>
      <c r="T162" s="1"/>
      <c r="U162" s="1">
        <v>19654</v>
      </c>
      <c r="V162" s="1"/>
      <c r="X162" s="33">
        <v>0</v>
      </c>
      <c r="Y162" s="33">
        <v>13793</v>
      </c>
      <c r="Z162" s="33">
        <v>10124</v>
      </c>
      <c r="AA162" s="33">
        <v>13469</v>
      </c>
      <c r="AB162" s="33">
        <v>23969</v>
      </c>
      <c r="AC162" s="33">
        <v>27972</v>
      </c>
      <c r="AD162" s="1">
        <v>25257</v>
      </c>
      <c r="AE162" s="1"/>
      <c r="AF162" s="1">
        <v>26335</v>
      </c>
      <c r="AG162" s="236"/>
      <c r="AH162" s="237">
        <f t="shared" si="276"/>
        <v>3.18766912781272E-2</v>
      </c>
      <c r="AI162" s="24">
        <f t="shared" si="267"/>
        <v>0.18249548841129282</v>
      </c>
      <c r="AJ162" s="24" t="str">
        <f t="shared" si="268"/>
        <v/>
      </c>
    </row>
    <row r="163" spans="2:36" ht="12" x14ac:dyDescent="0.2">
      <c r="B163" s="2" t="s">
        <v>29</v>
      </c>
      <c r="C163" s="33">
        <v>228513</v>
      </c>
      <c r="D163" s="33">
        <v>244089</v>
      </c>
      <c r="E163" s="33">
        <v>264434</v>
      </c>
      <c r="F163" s="33">
        <v>0</v>
      </c>
      <c r="G163" s="33">
        <v>196372</v>
      </c>
      <c r="H163" s="33">
        <v>193632</v>
      </c>
      <c r="I163" s="1">
        <v>184030</v>
      </c>
      <c r="J163" s="1">
        <v>0</v>
      </c>
      <c r="K163" s="33">
        <v>176227</v>
      </c>
      <c r="L163" s="33">
        <v>170033</v>
      </c>
      <c r="M163" s="1">
        <v>178759</v>
      </c>
      <c r="N163" s="1">
        <v>0</v>
      </c>
      <c r="O163" s="1">
        <v>180993</v>
      </c>
      <c r="P163" s="1">
        <v>182281</v>
      </c>
      <c r="Q163" s="1">
        <v>122913</v>
      </c>
      <c r="R163" s="1"/>
      <c r="S163" s="1"/>
      <c r="T163" s="1"/>
      <c r="U163" s="1">
        <v>153852</v>
      </c>
      <c r="V163" s="1"/>
      <c r="X163" s="33">
        <v>111048</v>
      </c>
      <c r="Y163" s="33">
        <v>109651</v>
      </c>
      <c r="Z163" s="33">
        <v>87500</v>
      </c>
      <c r="AA163" s="33">
        <v>129130</v>
      </c>
      <c r="AB163" s="33">
        <v>171413</v>
      </c>
      <c r="AC163" s="33">
        <v>159260</v>
      </c>
      <c r="AD163" s="1">
        <v>181778</v>
      </c>
      <c r="AE163" s="1"/>
      <c r="AF163" s="1">
        <v>119280</v>
      </c>
      <c r="AG163" s="236"/>
      <c r="AH163" s="237">
        <f t="shared" si="276"/>
        <v>-0.11384853825372465</v>
      </c>
      <c r="AI163" s="24">
        <f t="shared" si="267"/>
        <v>-1.9641045814557723E-2</v>
      </c>
      <c r="AJ163" s="24">
        <f t="shared" si="268"/>
        <v>1.0268235948996729E-2</v>
      </c>
    </row>
    <row r="164" spans="2:36" ht="12" x14ac:dyDescent="0.2">
      <c r="B164" s="2" t="s">
        <v>30</v>
      </c>
      <c r="C164" s="33">
        <v>3694</v>
      </c>
      <c r="D164" s="33">
        <v>4012</v>
      </c>
      <c r="E164" s="33">
        <v>3776</v>
      </c>
      <c r="F164" s="33">
        <v>0</v>
      </c>
      <c r="G164" s="33">
        <v>5554</v>
      </c>
      <c r="H164" s="33">
        <v>5725</v>
      </c>
      <c r="I164" s="1">
        <v>4027</v>
      </c>
      <c r="J164" s="1">
        <v>0</v>
      </c>
      <c r="K164" s="33">
        <v>2167</v>
      </c>
      <c r="L164" s="33">
        <v>2448</v>
      </c>
      <c r="M164" s="1">
        <v>2422</v>
      </c>
      <c r="N164" s="1">
        <v>0</v>
      </c>
      <c r="O164" s="1">
        <v>620</v>
      </c>
      <c r="P164" s="1">
        <v>362</v>
      </c>
      <c r="Q164" s="1">
        <v>148</v>
      </c>
      <c r="R164" s="1"/>
      <c r="S164" s="1"/>
      <c r="T164" s="1"/>
      <c r="U164" s="1">
        <v>3175</v>
      </c>
      <c r="V164" s="1"/>
      <c r="X164" s="33">
        <v>5035</v>
      </c>
      <c r="Y164" s="33">
        <v>4898</v>
      </c>
      <c r="Z164" s="33">
        <v>5165</v>
      </c>
      <c r="AA164" s="33">
        <v>3630</v>
      </c>
      <c r="AB164" s="33">
        <v>6140</v>
      </c>
      <c r="AC164" s="33">
        <v>2134</v>
      </c>
      <c r="AD164" s="1">
        <v>500</v>
      </c>
      <c r="AE164" s="1"/>
      <c r="AF164" s="1">
        <v>3113</v>
      </c>
      <c r="AG164" s="236"/>
      <c r="AH164" s="237">
        <f t="shared" si="276"/>
        <v>-0.20261098240690334</v>
      </c>
      <c r="AI164" s="24">
        <f t="shared" si="267"/>
        <v>-3.7683075481274142E-2</v>
      </c>
      <c r="AJ164" s="24">
        <f t="shared" si="268"/>
        <v>-6.6383494958771161E-2</v>
      </c>
    </row>
    <row r="165" spans="2:36" ht="12" x14ac:dyDescent="0.2">
      <c r="B165" s="2" t="s">
        <v>31</v>
      </c>
      <c r="C165" s="33">
        <v>1632</v>
      </c>
      <c r="D165" s="33">
        <v>1553</v>
      </c>
      <c r="E165" s="33">
        <v>1851</v>
      </c>
      <c r="F165" s="33">
        <v>0</v>
      </c>
      <c r="G165" s="33">
        <v>1484</v>
      </c>
      <c r="H165" s="33">
        <v>1589</v>
      </c>
      <c r="I165" s="1">
        <v>1737</v>
      </c>
      <c r="J165" s="1">
        <v>0</v>
      </c>
      <c r="K165" s="33">
        <v>1456</v>
      </c>
      <c r="L165" s="33">
        <v>1779</v>
      </c>
      <c r="M165" s="1">
        <v>1889</v>
      </c>
      <c r="N165" s="1">
        <v>0</v>
      </c>
      <c r="O165" s="1">
        <v>965</v>
      </c>
      <c r="P165" s="1">
        <v>1818</v>
      </c>
      <c r="Q165" s="1">
        <v>1017</v>
      </c>
      <c r="R165" s="1"/>
      <c r="S165" s="1"/>
      <c r="T165" s="1"/>
      <c r="U165" s="1">
        <v>1002</v>
      </c>
      <c r="V165" s="1"/>
      <c r="X165" s="33">
        <v>10495</v>
      </c>
      <c r="Y165" s="33">
        <v>6719</v>
      </c>
      <c r="Z165" s="33">
        <v>18046</v>
      </c>
      <c r="AA165" s="33">
        <v>2271</v>
      </c>
      <c r="AB165" s="33">
        <v>1525</v>
      </c>
      <c r="AC165" s="33">
        <v>1569</v>
      </c>
      <c r="AD165" s="1">
        <v>2130</v>
      </c>
      <c r="AE165" s="1"/>
      <c r="AF165" s="1">
        <v>1035</v>
      </c>
      <c r="AG165" s="236"/>
      <c r="AH165" s="237">
        <f t="shared" si="276"/>
        <v>-0.1211997562580478</v>
      </c>
      <c r="AI165" s="24">
        <f t="shared" si="267"/>
        <v>-0.17836145679958748</v>
      </c>
      <c r="AJ165" s="24">
        <f t="shared" si="268"/>
        <v>-0.281743274962584</v>
      </c>
    </row>
    <row r="166" spans="2:36" ht="12" x14ac:dyDescent="0.2">
      <c r="B166" s="2" t="s">
        <v>113</v>
      </c>
      <c r="C166" s="33">
        <v>0</v>
      </c>
      <c r="D166" s="33">
        <v>0</v>
      </c>
      <c r="E166" s="33">
        <v>0</v>
      </c>
      <c r="F166" s="33">
        <v>0</v>
      </c>
      <c r="G166" s="33">
        <v>3060</v>
      </c>
      <c r="H166" s="33">
        <v>3062</v>
      </c>
      <c r="I166" s="1">
        <v>3064</v>
      </c>
      <c r="J166" s="1"/>
      <c r="K166" s="33">
        <v>3068</v>
      </c>
      <c r="L166" s="33">
        <v>3070</v>
      </c>
      <c r="M166" s="1"/>
      <c r="N166" s="1"/>
      <c r="O166" s="1"/>
      <c r="P166" s="1"/>
      <c r="Q166" s="1"/>
      <c r="R166" s="1"/>
      <c r="S166" s="1"/>
      <c r="T166" s="1"/>
      <c r="U166" s="1"/>
      <c r="V166" s="1"/>
      <c r="X166" s="33"/>
      <c r="Y166" s="33"/>
      <c r="Z166" s="33"/>
      <c r="AA166" s="33">
        <v>0</v>
      </c>
      <c r="AB166" s="33">
        <v>3058</v>
      </c>
      <c r="AC166" s="33">
        <v>3066</v>
      </c>
      <c r="AD166" s="1"/>
      <c r="AE166" s="1"/>
      <c r="AF166" s="1"/>
      <c r="AG166" s="236"/>
      <c r="AH166" s="237">
        <f t="shared" si="276"/>
        <v>-1</v>
      </c>
      <c r="AI166" s="24" t="e">
        <f t="shared" si="267"/>
        <v>#DIV/0!</v>
      </c>
      <c r="AJ166" s="24" t="str">
        <f t="shared" si="268"/>
        <v/>
      </c>
    </row>
    <row r="167" spans="2:36" ht="12" x14ac:dyDescent="0.2">
      <c r="B167" s="2" t="s">
        <v>25</v>
      </c>
      <c r="C167" s="33">
        <v>53429</v>
      </c>
      <c r="D167" s="33">
        <v>58472</v>
      </c>
      <c r="E167" s="33">
        <v>87775</v>
      </c>
      <c r="F167" s="33">
        <v>0</v>
      </c>
      <c r="G167" s="33">
        <v>96129</v>
      </c>
      <c r="H167" s="33">
        <v>113152</v>
      </c>
      <c r="I167" s="1">
        <v>86506</v>
      </c>
      <c r="J167" s="1">
        <v>0</v>
      </c>
      <c r="K167" s="33">
        <v>71411</v>
      </c>
      <c r="L167" s="33">
        <v>73675</v>
      </c>
      <c r="M167" s="1">
        <v>78312</v>
      </c>
      <c r="N167" s="1">
        <v>0</v>
      </c>
      <c r="O167" s="1">
        <v>77160</v>
      </c>
      <c r="P167" s="1">
        <v>85595</v>
      </c>
      <c r="Q167" s="1">
        <v>52781</v>
      </c>
      <c r="R167" s="1"/>
      <c r="S167" s="1"/>
      <c r="T167" s="1"/>
      <c r="U167" s="1">
        <v>48861</v>
      </c>
      <c r="V167" s="1"/>
      <c r="X167" s="33">
        <v>29341</v>
      </c>
      <c r="Y167" s="33">
        <v>31088</v>
      </c>
      <c r="Z167" s="33">
        <v>27262</v>
      </c>
      <c r="AA167" s="33">
        <v>35559</v>
      </c>
      <c r="AB167" s="33">
        <v>96697</v>
      </c>
      <c r="AC167" s="33">
        <v>83642</v>
      </c>
      <c r="AD167" s="1">
        <v>60524</v>
      </c>
      <c r="AE167" s="1"/>
      <c r="AF167" s="1">
        <v>50763</v>
      </c>
      <c r="AG167" s="236"/>
      <c r="AH167" s="237">
        <f t="shared" si="276"/>
        <v>-0.1933011708760336</v>
      </c>
      <c r="AI167" s="24">
        <f t="shared" si="267"/>
        <v>9.3073675386039056E-2</v>
      </c>
      <c r="AJ167" s="24">
        <f t="shared" si="268"/>
        <v>8.1459695189786574E-2</v>
      </c>
    </row>
    <row r="168" spans="2:36" ht="12" x14ac:dyDescent="0.2">
      <c r="B168" s="2" t="s">
        <v>105</v>
      </c>
      <c r="C168" s="33"/>
      <c r="D168" s="33"/>
      <c r="E168" s="33"/>
      <c r="F168" s="33"/>
      <c r="G168" s="33"/>
      <c r="H168" s="33"/>
      <c r="I168" s="1"/>
      <c r="J168" s="1"/>
      <c r="K168" s="33"/>
      <c r="L168" s="33">
        <v>139786</v>
      </c>
      <c r="M168" s="1">
        <v>140043</v>
      </c>
      <c r="N168" s="1"/>
      <c r="O168" s="1"/>
      <c r="P168" s="1"/>
      <c r="Q168" s="1">
        <v>0</v>
      </c>
      <c r="R168" s="1"/>
      <c r="S168" s="1"/>
      <c r="T168" s="1"/>
      <c r="U168" s="1" t="s">
        <v>572</v>
      </c>
      <c r="V168" s="1"/>
      <c r="X168" s="33"/>
      <c r="Y168" s="33"/>
      <c r="Z168" s="33"/>
      <c r="AA168" s="33"/>
      <c r="AB168" s="33"/>
      <c r="AC168" s="33">
        <v>0</v>
      </c>
      <c r="AD168" s="1"/>
      <c r="AE168" s="1"/>
      <c r="AF168" s="1"/>
      <c r="AG168" s="236"/>
      <c r="AH168" s="237" t="str">
        <f t="shared" si="276"/>
        <v/>
      </c>
      <c r="AI168" s="24" t="e">
        <f t="shared" si="267"/>
        <v>#DIV/0!</v>
      </c>
      <c r="AJ168" s="24" t="str">
        <f t="shared" si="268"/>
        <v/>
      </c>
    </row>
    <row r="169" spans="2:36" ht="14.25" x14ac:dyDescent="0.35">
      <c r="B169" s="2" t="s">
        <v>32</v>
      </c>
      <c r="C169" s="15">
        <v>390546</v>
      </c>
      <c r="D169" s="15">
        <v>364529</v>
      </c>
      <c r="E169" s="15">
        <v>316798</v>
      </c>
      <c r="F169" s="15">
        <v>0</v>
      </c>
      <c r="G169" s="15">
        <v>294846</v>
      </c>
      <c r="H169" s="15">
        <v>304875</v>
      </c>
      <c r="I169" s="3">
        <v>310736</v>
      </c>
      <c r="J169" s="3">
        <v>0</v>
      </c>
      <c r="K169" s="15">
        <v>126959</v>
      </c>
      <c r="L169" s="15">
        <v>108893</v>
      </c>
      <c r="M169" s="3">
        <v>116543</v>
      </c>
      <c r="N169" s="3">
        <v>0</v>
      </c>
      <c r="O169" s="3">
        <v>122780</v>
      </c>
      <c r="P169" s="3">
        <v>127202</v>
      </c>
      <c r="Q169" s="3">
        <v>87907</v>
      </c>
      <c r="R169" s="3"/>
      <c r="S169" s="3"/>
      <c r="T169" s="3"/>
      <c r="U169" s="3">
        <v>95639</v>
      </c>
      <c r="V169" s="3"/>
      <c r="X169" s="15">
        <v>72170</v>
      </c>
      <c r="Y169" s="15">
        <v>134107</v>
      </c>
      <c r="Z169" s="15">
        <v>95803</v>
      </c>
      <c r="AA169" s="15">
        <v>509059</v>
      </c>
      <c r="AB169" s="15">
        <v>426215</v>
      </c>
      <c r="AC169" s="15">
        <v>175252</v>
      </c>
      <c r="AD169" s="3">
        <v>133529</v>
      </c>
      <c r="AE169" s="3"/>
      <c r="AF169" s="3">
        <v>112759</v>
      </c>
      <c r="AG169" s="269"/>
      <c r="AH169" s="237">
        <f t="shared" si="276"/>
        <v>-0.35804069939115013</v>
      </c>
      <c r="AI169" s="24">
        <f t="shared" si="267"/>
        <v>-0.31396578842135625</v>
      </c>
      <c r="AJ169" s="24">
        <f t="shared" si="268"/>
        <v>6.5822612643300582E-2</v>
      </c>
    </row>
    <row r="170" spans="2:36" ht="12" x14ac:dyDescent="0.2">
      <c r="B170" s="4" t="s">
        <v>33</v>
      </c>
      <c r="C170" s="5">
        <f>SUM(C160:C169)</f>
        <v>1034833</v>
      </c>
      <c r="D170" s="5">
        <f>SUM(D160:D169)</f>
        <v>1066067</v>
      </c>
      <c r="E170" s="5">
        <f t="shared" ref="E170" si="283">SUM(E160:E169)</f>
        <v>1097123</v>
      </c>
      <c r="F170" s="5">
        <f t="shared" ref="F170:N170" si="284">SUM(F160:F169)</f>
        <v>0</v>
      </c>
      <c r="G170" s="5">
        <f t="shared" si="284"/>
        <v>958433</v>
      </c>
      <c r="H170" s="5">
        <f t="shared" si="284"/>
        <v>981161</v>
      </c>
      <c r="I170" s="5">
        <f t="shared" si="284"/>
        <v>964068</v>
      </c>
      <c r="J170" s="5">
        <f t="shared" si="284"/>
        <v>0</v>
      </c>
      <c r="K170" s="5">
        <f t="shared" si="284"/>
        <v>758689</v>
      </c>
      <c r="L170" s="5">
        <f t="shared" si="284"/>
        <v>867821</v>
      </c>
      <c r="M170" s="5">
        <f t="shared" si="284"/>
        <v>923611</v>
      </c>
      <c r="N170" s="5">
        <f t="shared" si="284"/>
        <v>0</v>
      </c>
      <c r="O170" s="5">
        <f>SUM(O160:O169)</f>
        <v>790378</v>
      </c>
      <c r="P170" s="5">
        <f t="shared" ref="P170:Q170" si="285">SUM(P160:P169)</f>
        <v>787403</v>
      </c>
      <c r="Q170" s="5">
        <f t="shared" si="285"/>
        <v>574646</v>
      </c>
      <c r="R170" s="5"/>
      <c r="S170" s="5"/>
      <c r="T170" s="5"/>
      <c r="U170" s="5">
        <f t="shared" ref="U170" si="286">SUM(U160:U169)</f>
        <v>614390</v>
      </c>
      <c r="V170" s="5"/>
      <c r="X170" s="5">
        <f t="shared" ref="X170" si="287">SUM(X160:X169)</f>
        <v>365769.17972998729</v>
      </c>
      <c r="Y170" s="5">
        <f>SUM(Y160:Y169)</f>
        <v>474174.22204319882</v>
      </c>
      <c r="Z170" s="5">
        <f>SUM(Z160:Z169)</f>
        <v>428413.30041925481</v>
      </c>
      <c r="AA170" s="5">
        <f>SUM(AA160:AA169)</f>
        <v>938547.3106491724</v>
      </c>
      <c r="AB170" s="5">
        <f t="shared" ref="AB170" si="288">SUM(AB160:AB169)</f>
        <v>1052997.2480449937</v>
      </c>
      <c r="AC170" s="5">
        <f>SUM(AC160:AC169)</f>
        <v>787335.26326644351</v>
      </c>
      <c r="AD170" s="5">
        <f>SUM(AD160:AD169)</f>
        <v>793112.26069561415</v>
      </c>
      <c r="AE170" s="5"/>
      <c r="AF170" s="5">
        <f>SUM(AF160:AF169)</f>
        <v>583488.27590569481</v>
      </c>
      <c r="AG170" s="5"/>
      <c r="AH170" s="237">
        <f t="shared" si="276"/>
        <v>-0.17863732014314704</v>
      </c>
      <c r="AI170" s="24">
        <f t="shared" si="267"/>
        <v>-0.11203879651599613</v>
      </c>
      <c r="AJ170" s="24">
        <f t="shared" si="268"/>
        <v>6.899335031218512E-2</v>
      </c>
    </row>
    <row r="171" spans="2:36" ht="12" x14ac:dyDescent="0.2">
      <c r="B171" s="4" t="s">
        <v>39</v>
      </c>
      <c r="C171" s="18">
        <f>C170+C159</f>
        <v>2155769</v>
      </c>
      <c r="D171" s="18">
        <f>D170+D159</f>
        <v>2210095</v>
      </c>
      <c r="E171" s="18">
        <f t="shared" ref="E171" si="289">E170+E159</f>
        <v>2285102</v>
      </c>
      <c r="F171" s="18">
        <f t="shared" ref="F171:N171" si="290">F170+F159</f>
        <v>0</v>
      </c>
      <c r="G171" s="18">
        <f t="shared" si="290"/>
        <v>2120354</v>
      </c>
      <c r="H171" s="18">
        <f t="shared" si="290"/>
        <v>2137706</v>
      </c>
      <c r="I171" s="18">
        <f t="shared" si="290"/>
        <v>2133794</v>
      </c>
      <c r="J171" s="18">
        <f t="shared" si="290"/>
        <v>0</v>
      </c>
      <c r="K171" s="18">
        <f t="shared" si="290"/>
        <v>1910405</v>
      </c>
      <c r="L171" s="18">
        <f t="shared" si="290"/>
        <v>1900538</v>
      </c>
      <c r="M171" s="18">
        <f t="shared" si="290"/>
        <v>1925199</v>
      </c>
      <c r="N171" s="18">
        <f t="shared" si="290"/>
        <v>0</v>
      </c>
      <c r="O171" s="18">
        <f>O170+O159</f>
        <v>1821720</v>
      </c>
      <c r="P171" s="18">
        <f t="shared" ref="P171:Q171" si="291">P170+P159</f>
        <v>1792252</v>
      </c>
      <c r="Q171" s="18">
        <f t="shared" si="291"/>
        <v>1593339</v>
      </c>
      <c r="R171" s="18"/>
      <c r="S171" s="18"/>
      <c r="T171" s="18"/>
      <c r="U171" s="18">
        <f t="shared" ref="U171" si="292">U170+U159</f>
        <v>1556654</v>
      </c>
      <c r="V171" s="18"/>
      <c r="X171" s="18">
        <f t="shared" ref="X171" si="293">X170+X159</f>
        <v>1044979.6608458066</v>
      </c>
      <c r="Y171" s="18">
        <f>Y170+Y159</f>
        <v>1343985.934802148</v>
      </c>
      <c r="Z171" s="18">
        <f>Z170+Z159</f>
        <v>1235743.2263682766</v>
      </c>
      <c r="AA171" s="18">
        <f>AA170+AA159</f>
        <v>1792381.0749570914</v>
      </c>
      <c r="AB171" s="18">
        <f t="shared" ref="AB171" si="294">AB170+AB159</f>
        <v>2220647.8184282775</v>
      </c>
      <c r="AC171" s="18">
        <f>AC170+AC159</f>
        <v>1935459.8323923838</v>
      </c>
      <c r="AD171" s="18">
        <f>AD170+AD159</f>
        <v>1830731.709202081</v>
      </c>
      <c r="AE171" s="18"/>
      <c r="AF171" s="18">
        <f>AF170+AF159</f>
        <v>1597571.8350721053</v>
      </c>
      <c r="AG171" s="18"/>
      <c r="AH171" s="237">
        <f t="shared" si="276"/>
        <v>-0.10396102075005775</v>
      </c>
      <c r="AI171" s="24">
        <f t="shared" si="267"/>
        <v>-2.8355243314237666E-2</v>
      </c>
      <c r="AJ171" s="24">
        <f t="shared" si="268"/>
        <v>6.2517470497640337E-2</v>
      </c>
    </row>
    <row r="172" spans="2:36" ht="12" x14ac:dyDescent="0.2">
      <c r="B172" s="2" t="s">
        <v>34</v>
      </c>
      <c r="C172" s="33">
        <v>52164</v>
      </c>
      <c r="D172" s="33">
        <v>56480</v>
      </c>
      <c r="E172" s="33">
        <v>56480</v>
      </c>
      <c r="F172" s="33">
        <v>0</v>
      </c>
      <c r="G172" s="33">
        <v>56480</v>
      </c>
      <c r="H172" s="33">
        <v>56480</v>
      </c>
      <c r="I172" s="1">
        <v>56480</v>
      </c>
      <c r="J172" s="1">
        <v>0</v>
      </c>
      <c r="K172" s="33">
        <v>56480</v>
      </c>
      <c r="L172" s="33">
        <v>56488</v>
      </c>
      <c r="M172" s="1">
        <v>56501</v>
      </c>
      <c r="N172" s="1">
        <v>0</v>
      </c>
      <c r="O172" s="1">
        <v>56501</v>
      </c>
      <c r="P172" s="1">
        <v>56617</v>
      </c>
      <c r="Q172" s="1">
        <v>56985</v>
      </c>
      <c r="R172" s="1"/>
      <c r="S172" s="1"/>
      <c r="T172" s="1"/>
      <c r="U172" s="1">
        <v>57224</v>
      </c>
      <c r="V172" s="1"/>
      <c r="X172" s="33"/>
      <c r="Y172" s="33"/>
      <c r="Z172" s="33"/>
      <c r="AA172" s="33">
        <v>52164</v>
      </c>
      <c r="AB172" s="33">
        <v>56480</v>
      </c>
      <c r="AC172" s="33">
        <v>56480</v>
      </c>
      <c r="AD172" s="1">
        <v>56501</v>
      </c>
      <c r="AE172" s="1"/>
      <c r="AF172" s="1">
        <v>57057</v>
      </c>
      <c r="AG172" s="236"/>
      <c r="AH172" s="237">
        <f t="shared" si="276"/>
        <v>3.3938042845442773E-3</v>
      </c>
      <c r="AI172" s="24">
        <f t="shared" si="267"/>
        <v>2.2667634883279941E-2</v>
      </c>
      <c r="AJ172" s="24" t="str">
        <f t="shared" si="268"/>
        <v/>
      </c>
    </row>
    <row r="173" spans="2:36" ht="12" x14ac:dyDescent="0.2">
      <c r="B173" s="2" t="s">
        <v>35</v>
      </c>
      <c r="C173" s="33">
        <v>850306</v>
      </c>
      <c r="D173" s="33">
        <v>916594</v>
      </c>
      <c r="E173" s="33">
        <v>917697</v>
      </c>
      <c r="F173" s="33">
        <v>0</v>
      </c>
      <c r="G173" s="33">
        <v>918787</v>
      </c>
      <c r="H173" s="33">
        <v>919336</v>
      </c>
      <c r="I173" s="1">
        <v>919895</v>
      </c>
      <c r="J173" s="1">
        <v>0</v>
      </c>
      <c r="K173" s="33">
        <v>921452</v>
      </c>
      <c r="L173" s="33">
        <v>921875</v>
      </c>
      <c r="M173" s="1">
        <v>922388</v>
      </c>
      <c r="N173" s="1">
        <v>0</v>
      </c>
      <c r="O173" s="1">
        <v>922495</v>
      </c>
      <c r="P173" s="1">
        <v>924693</v>
      </c>
      <c r="Q173" s="1">
        <v>931107</v>
      </c>
      <c r="R173" s="1"/>
      <c r="S173" s="1"/>
      <c r="T173" s="1"/>
      <c r="U173" s="1">
        <v>811594</v>
      </c>
      <c r="V173" s="1"/>
      <c r="X173" s="33"/>
      <c r="Y173" s="33"/>
      <c r="Z173" s="33"/>
      <c r="AA173" s="33">
        <v>849076</v>
      </c>
      <c r="AB173" s="33">
        <v>918245</v>
      </c>
      <c r="AC173" s="33">
        <v>921061</v>
      </c>
      <c r="AD173" s="1">
        <v>922326</v>
      </c>
      <c r="AE173" s="1"/>
      <c r="AF173" s="1">
        <v>808422</v>
      </c>
      <c r="AG173" s="236"/>
      <c r="AH173" s="237">
        <f t="shared" si="276"/>
        <v>-4.1571210915954504E-2</v>
      </c>
      <c r="AI173" s="24">
        <f t="shared" si="267"/>
        <v>-1.2191202730552853E-2</v>
      </c>
      <c r="AJ173" s="24" t="str">
        <f t="shared" si="268"/>
        <v/>
      </c>
    </row>
    <row r="174" spans="2:36" ht="12" x14ac:dyDescent="0.2">
      <c r="B174" s="2" t="s">
        <v>266</v>
      </c>
      <c r="C174" s="33">
        <v>15195</v>
      </c>
      <c r="D174" s="33">
        <v>15195</v>
      </c>
      <c r="E174" s="33">
        <v>15195</v>
      </c>
      <c r="F174" s="33"/>
      <c r="G174" s="33"/>
      <c r="H174" s="33"/>
      <c r="I174" s="1"/>
      <c r="J174" s="1"/>
      <c r="K174" s="33"/>
      <c r="L174" s="33"/>
      <c r="M174" s="1"/>
      <c r="N174" s="1"/>
      <c r="O174" s="1"/>
      <c r="P174" s="1"/>
      <c r="Q174" s="1"/>
      <c r="R174" s="1"/>
      <c r="S174" s="1"/>
      <c r="T174" s="1"/>
      <c r="U174" s="1"/>
      <c r="V174" s="1"/>
      <c r="X174" s="33"/>
      <c r="Y174" s="33"/>
      <c r="Z174" s="33"/>
      <c r="AA174" s="33">
        <v>15195</v>
      </c>
      <c r="AB174" s="33"/>
      <c r="AC174" s="33"/>
      <c r="AD174" s="1"/>
      <c r="AE174" s="1"/>
      <c r="AF174" s="1"/>
      <c r="AG174" s="236"/>
      <c r="AH174" s="237" t="str">
        <f t="shared" si="276"/>
        <v/>
      </c>
      <c r="AI174" s="24">
        <f t="shared" si="267"/>
        <v>-1</v>
      </c>
      <c r="AJ174" s="24" t="str">
        <f t="shared" si="268"/>
        <v/>
      </c>
    </row>
    <row r="175" spans="2:36" ht="14.25" x14ac:dyDescent="0.35">
      <c r="B175" s="2" t="s">
        <v>36</v>
      </c>
      <c r="C175" s="15">
        <v>-8351</v>
      </c>
      <c r="D175" s="15">
        <v>-16276</v>
      </c>
      <c r="E175" s="15">
        <v>-34940</v>
      </c>
      <c r="F175" s="15">
        <v>0</v>
      </c>
      <c r="G175" s="15">
        <v>-36587</v>
      </c>
      <c r="H175" s="15">
        <v>-33089</v>
      </c>
      <c r="I175" s="3">
        <v>-34341</v>
      </c>
      <c r="J175" s="3">
        <v>0</v>
      </c>
      <c r="K175" s="15">
        <v>-42229</v>
      </c>
      <c r="L175" s="15">
        <v>-63468</v>
      </c>
      <c r="M175" s="3">
        <v>-81721</v>
      </c>
      <c r="N175" s="3">
        <v>0</v>
      </c>
      <c r="O175" s="3">
        <v>-46254</v>
      </c>
      <c r="P175" s="3">
        <v>-55588</v>
      </c>
      <c r="Q175" s="3">
        <v>-67344</v>
      </c>
      <c r="R175" s="3"/>
      <c r="S175" s="3"/>
      <c r="T175" s="3"/>
      <c r="U175" s="3">
        <v>136501</v>
      </c>
      <c r="V175" s="3"/>
      <c r="X175" s="15"/>
      <c r="Y175" s="15"/>
      <c r="Z175" s="15"/>
      <c r="AA175" s="15">
        <v>-10880</v>
      </c>
      <c r="AB175" s="15">
        <v>-15689</v>
      </c>
      <c r="AC175" s="15">
        <v>-41380</v>
      </c>
      <c r="AD175" s="3">
        <v>-47207</v>
      </c>
      <c r="AE175" s="3"/>
      <c r="AF175" s="3">
        <v>116757</v>
      </c>
      <c r="AG175" s="269"/>
      <c r="AH175" s="237">
        <f t="shared" si="276"/>
        <v>-2.9523719292334936</v>
      </c>
      <c r="AI175" s="24" t="e">
        <f t="shared" si="267"/>
        <v>#NUM!</v>
      </c>
      <c r="AJ175" s="24" t="str">
        <f t="shared" si="268"/>
        <v/>
      </c>
    </row>
    <row r="176" spans="2:36" ht="12" x14ac:dyDescent="0.2">
      <c r="B176" s="4" t="s">
        <v>37</v>
      </c>
      <c r="C176" s="5">
        <f>SUM(C172:C175)</f>
        <v>909314</v>
      </c>
      <c r="D176" s="5">
        <f>SUM(D172:D175)</f>
        <v>971993</v>
      </c>
      <c r="E176" s="5">
        <f t="shared" ref="E176" si="295">SUM(E172:E175)</f>
        <v>954432</v>
      </c>
      <c r="F176" s="5">
        <f t="shared" ref="F176:Q176" si="296">SUM(F172:F175)</f>
        <v>0</v>
      </c>
      <c r="G176" s="5">
        <f t="shared" si="296"/>
        <v>938680</v>
      </c>
      <c r="H176" s="5">
        <f t="shared" si="296"/>
        <v>942727</v>
      </c>
      <c r="I176" s="5">
        <f t="shared" si="296"/>
        <v>942034</v>
      </c>
      <c r="J176" s="5">
        <f t="shared" si="296"/>
        <v>0</v>
      </c>
      <c r="K176" s="5">
        <f t="shared" si="296"/>
        <v>935703</v>
      </c>
      <c r="L176" s="5">
        <f t="shared" si="296"/>
        <v>914895</v>
      </c>
      <c r="M176" s="5">
        <f t="shared" si="296"/>
        <v>897168</v>
      </c>
      <c r="N176" s="5">
        <f t="shared" si="296"/>
        <v>0</v>
      </c>
      <c r="O176" s="5">
        <f>SUM(O172:O175)</f>
        <v>932742</v>
      </c>
      <c r="P176" s="5">
        <f t="shared" si="296"/>
        <v>925722</v>
      </c>
      <c r="Q176" s="5">
        <f t="shared" si="296"/>
        <v>920748</v>
      </c>
      <c r="R176" s="5"/>
      <c r="S176" s="5"/>
      <c r="T176" s="5"/>
      <c r="U176" s="5">
        <f t="shared" ref="U176" si="297">SUM(U172:U175)</f>
        <v>1005319</v>
      </c>
      <c r="V176" s="5"/>
      <c r="X176" s="20">
        <v>284529</v>
      </c>
      <c r="Y176" s="20">
        <v>258547</v>
      </c>
      <c r="Z176" s="20">
        <v>210876</v>
      </c>
      <c r="AA176" s="5">
        <f>SUM(AA172:AA175)</f>
        <v>905555</v>
      </c>
      <c r="AB176" s="5">
        <f>SUM(AB172:AB175)</f>
        <v>959036</v>
      </c>
      <c r="AC176" s="5">
        <f>SUM(AC172:AC175)</f>
        <v>936161</v>
      </c>
      <c r="AD176" s="5">
        <f>SUM(AD172:AD175)</f>
        <v>931620</v>
      </c>
      <c r="AE176" s="5"/>
      <c r="AF176" s="5">
        <f>SUM(AF172:AF175)</f>
        <v>982236</v>
      </c>
      <c r="AG176" s="5"/>
      <c r="AH176" s="237">
        <f t="shared" si="276"/>
        <v>7.9994903273685747E-3</v>
      </c>
      <c r="AI176" s="24">
        <f t="shared" si="267"/>
        <v>2.0528772605535206E-2</v>
      </c>
      <c r="AJ176" s="24">
        <f t="shared" si="268"/>
        <v>0.19363048331117749</v>
      </c>
    </row>
    <row r="177" spans="2:36" ht="14.25" x14ac:dyDescent="0.35">
      <c r="B177" s="2" t="s">
        <v>38</v>
      </c>
      <c r="C177" s="15">
        <v>-798</v>
      </c>
      <c r="D177" s="15">
        <v>-1103</v>
      </c>
      <c r="E177" s="15">
        <v>-1476</v>
      </c>
      <c r="F177" s="15">
        <v>0</v>
      </c>
      <c r="G177" s="15">
        <v>-1468</v>
      </c>
      <c r="H177" s="15">
        <v>-1584</v>
      </c>
      <c r="I177" s="3">
        <v>-1732</v>
      </c>
      <c r="J177" s="3">
        <v>0</v>
      </c>
      <c r="K177" s="15">
        <v>-1918</v>
      </c>
      <c r="L177" s="15">
        <v>-2029</v>
      </c>
      <c r="M177" s="3">
        <v>-2001</v>
      </c>
      <c r="N177" s="3">
        <v>0</v>
      </c>
      <c r="O177" s="3">
        <v>-2141</v>
      </c>
      <c r="P177" s="3">
        <v>-1949</v>
      </c>
      <c r="Q177" s="3">
        <v>0</v>
      </c>
      <c r="R177" s="3"/>
      <c r="S177" s="3"/>
      <c r="T177" s="3"/>
      <c r="U177" s="3">
        <v>15657</v>
      </c>
      <c r="V177" s="3"/>
      <c r="X177" s="15">
        <v>0</v>
      </c>
      <c r="Y177" s="15">
        <v>-1300</v>
      </c>
      <c r="Z177" s="15">
        <v>-293</v>
      </c>
      <c r="AA177" s="15">
        <v>-704</v>
      </c>
      <c r="AB177" s="15">
        <v>-1405</v>
      </c>
      <c r="AC177" s="15">
        <v>-1803</v>
      </c>
      <c r="AD177" s="3">
        <v>-2232</v>
      </c>
      <c r="AE177" s="3"/>
      <c r="AF177" s="3">
        <v>15598</v>
      </c>
      <c r="AG177" s="269"/>
      <c r="AH177" s="237">
        <f t="shared" si="276"/>
        <v>-3.230818293767372</v>
      </c>
      <c r="AI177" s="24" t="e">
        <f t="shared" si="267"/>
        <v>#NUM!</v>
      </c>
      <c r="AJ177" s="24" t="str">
        <f t="shared" si="268"/>
        <v/>
      </c>
    </row>
    <row r="178" spans="2:36" ht="12" x14ac:dyDescent="0.2">
      <c r="B178" s="4" t="s">
        <v>40</v>
      </c>
      <c r="C178" s="5">
        <f>C176+C177</f>
        <v>908516</v>
      </c>
      <c r="D178" s="5">
        <f>D176+D177</f>
        <v>970890</v>
      </c>
      <c r="E178" s="5">
        <f t="shared" ref="E178" si="298">E176+E177</f>
        <v>952956</v>
      </c>
      <c r="F178" s="5">
        <f t="shared" ref="F178:M178" si="299">F176+F177</f>
        <v>0</v>
      </c>
      <c r="G178" s="5">
        <f t="shared" si="299"/>
        <v>937212</v>
      </c>
      <c r="H178" s="5">
        <f t="shared" si="299"/>
        <v>941143</v>
      </c>
      <c r="I178" s="5">
        <f t="shared" si="299"/>
        <v>940302</v>
      </c>
      <c r="J178" s="5">
        <f t="shared" si="299"/>
        <v>0</v>
      </c>
      <c r="K178" s="5">
        <f t="shared" si="299"/>
        <v>933785</v>
      </c>
      <c r="L178" s="5">
        <f t="shared" si="299"/>
        <v>912866</v>
      </c>
      <c r="M178" s="5">
        <f t="shared" si="299"/>
        <v>895167</v>
      </c>
      <c r="N178" s="5">
        <f t="shared" ref="N178" si="300">N176+N177</f>
        <v>0</v>
      </c>
      <c r="O178" s="5">
        <f>O176+O177</f>
        <v>930601</v>
      </c>
      <c r="P178" s="5">
        <f>P176+P177</f>
        <v>923773</v>
      </c>
      <c r="Q178" s="5">
        <f>Q176+Q177</f>
        <v>920748</v>
      </c>
      <c r="R178" s="5"/>
      <c r="S178" s="5"/>
      <c r="T178" s="5"/>
      <c r="U178" s="5">
        <f t="shared" ref="U178" si="301">U176+U177</f>
        <v>1020976</v>
      </c>
      <c r="V178" s="5"/>
      <c r="X178" s="5">
        <f t="shared" ref="X178" si="302">X176+X177</f>
        <v>284529</v>
      </c>
      <c r="Y178" s="5">
        <f>Y176+Y177</f>
        <v>257247</v>
      </c>
      <c r="Z178" s="5">
        <f>Z176+Z177</f>
        <v>210583</v>
      </c>
      <c r="AA178" s="5">
        <f>AA176+AA177</f>
        <v>904851</v>
      </c>
      <c r="AB178" s="5">
        <f t="shared" ref="AB178" si="303">AB176+AB177</f>
        <v>957631</v>
      </c>
      <c r="AC178" s="5">
        <f>AC176+AC177</f>
        <v>934358</v>
      </c>
      <c r="AD178" s="5">
        <f>AD176+AD177</f>
        <v>929388</v>
      </c>
      <c r="AE178" s="5"/>
      <c r="AF178" s="5">
        <f>AF176+AF177</f>
        <v>997834</v>
      </c>
      <c r="AG178" s="5"/>
      <c r="AH178" s="237">
        <f t="shared" si="276"/>
        <v>1.3802521771512088E-2</v>
      </c>
      <c r="AI178" s="24">
        <f t="shared" si="267"/>
        <v>2.4755615374065343E-2</v>
      </c>
      <c r="AJ178" s="24">
        <f t="shared" si="268"/>
        <v>0.19632008550908164</v>
      </c>
    </row>
    <row r="179" spans="2:36" ht="12" x14ac:dyDescent="0.2">
      <c r="B179" s="2" t="s">
        <v>41</v>
      </c>
      <c r="C179" s="33">
        <v>85047</v>
      </c>
      <c r="D179" s="33">
        <v>141635</v>
      </c>
      <c r="E179" s="33">
        <v>86565</v>
      </c>
      <c r="F179" s="33">
        <v>0</v>
      </c>
      <c r="G179" s="33">
        <v>473306</v>
      </c>
      <c r="H179" s="33">
        <v>296739</v>
      </c>
      <c r="I179" s="33">
        <v>295521</v>
      </c>
      <c r="J179" s="33">
        <v>0</v>
      </c>
      <c r="K179" s="33">
        <v>281113</v>
      </c>
      <c r="L179" s="33">
        <v>297018</v>
      </c>
      <c r="M179" s="33">
        <v>296742</v>
      </c>
      <c r="N179" s="33">
        <v>0</v>
      </c>
      <c r="O179" s="33">
        <v>218843</v>
      </c>
      <c r="P179" s="33">
        <v>210778</v>
      </c>
      <c r="Q179" s="33">
        <v>228433</v>
      </c>
      <c r="R179" s="33"/>
      <c r="S179" s="33"/>
      <c r="T179" s="33"/>
      <c r="U179" s="33">
        <v>118302</v>
      </c>
      <c r="V179" s="33"/>
      <c r="X179" s="58">
        <f>61033+17805</f>
        <v>78838</v>
      </c>
      <c r="Y179" s="58">
        <f>64211+111917</f>
        <v>176128</v>
      </c>
      <c r="Z179" s="58">
        <f>80516+150551</f>
        <v>231067</v>
      </c>
      <c r="AA179" s="58">
        <v>448722</v>
      </c>
      <c r="AB179" s="58">
        <v>466436</v>
      </c>
      <c r="AC179" s="58">
        <v>258928</v>
      </c>
      <c r="AD179" s="58">
        <v>217798</v>
      </c>
      <c r="AE179" s="58"/>
      <c r="AF179" s="58">
        <v>188302</v>
      </c>
      <c r="AG179" s="508"/>
      <c r="AH179" s="509">
        <f t="shared" si="276"/>
        <v>-0.26092651214816143</v>
      </c>
      <c r="AI179" s="510">
        <f t="shared" si="267"/>
        <v>-0.19514176393534044</v>
      </c>
      <c r="AJ179" s="510">
        <f t="shared" si="268"/>
        <v>0.13244481529924501</v>
      </c>
    </row>
    <row r="180" spans="2:36" ht="12" x14ac:dyDescent="0.2">
      <c r="B180" s="11" t="s">
        <v>42</v>
      </c>
      <c r="C180" s="33">
        <v>550139</v>
      </c>
      <c r="D180" s="33">
        <v>489313</v>
      </c>
      <c r="E180" s="33">
        <v>600369</v>
      </c>
      <c r="F180" s="33">
        <v>0</v>
      </c>
      <c r="G180" s="33">
        <v>103025</v>
      </c>
      <c r="H180" s="33">
        <v>102598</v>
      </c>
      <c r="I180" s="33">
        <v>102555</v>
      </c>
      <c r="J180" s="33">
        <v>0</v>
      </c>
      <c r="K180" s="33">
        <v>94690</v>
      </c>
      <c r="L180" s="33">
        <v>90667</v>
      </c>
      <c r="M180" s="33">
        <v>99462</v>
      </c>
      <c r="N180" s="33">
        <v>0</v>
      </c>
      <c r="O180" s="33">
        <v>114989</v>
      </c>
      <c r="P180" s="33">
        <v>114318</v>
      </c>
      <c r="Q180" s="33">
        <v>112392</v>
      </c>
      <c r="R180" s="33"/>
      <c r="S180" s="33"/>
      <c r="T180" s="33"/>
      <c r="U180" s="33">
        <v>45018</v>
      </c>
      <c r="V180" s="33"/>
      <c r="X180" s="33">
        <v>269914</v>
      </c>
      <c r="Y180" s="33">
        <v>328112</v>
      </c>
      <c r="Z180" s="33">
        <v>359451</v>
      </c>
      <c r="AA180" s="33">
        <v>32162</v>
      </c>
      <c r="AB180" s="33">
        <v>104641</v>
      </c>
      <c r="AC180" s="33">
        <v>95094</v>
      </c>
      <c r="AD180" s="33">
        <v>101831</v>
      </c>
      <c r="AE180" s="33"/>
      <c r="AF180" s="33">
        <v>45451</v>
      </c>
      <c r="AG180" s="511"/>
      <c r="AH180" s="509">
        <f t="shared" si="276"/>
        <v>-0.24267809176893029</v>
      </c>
      <c r="AI180" s="510">
        <f t="shared" si="267"/>
        <v>9.0310259833701778E-2</v>
      </c>
      <c r="AJ180" s="510">
        <f t="shared" si="268"/>
        <v>-0.22469246547170718</v>
      </c>
    </row>
    <row r="181" spans="2:36" ht="12" x14ac:dyDescent="0.2">
      <c r="B181" s="2" t="s">
        <v>43</v>
      </c>
      <c r="C181" s="33">
        <v>32585</v>
      </c>
      <c r="D181" s="33">
        <v>44689</v>
      </c>
      <c r="E181" s="33">
        <v>47721</v>
      </c>
      <c r="F181" s="33">
        <v>0</v>
      </c>
      <c r="G181" s="33">
        <v>61394</v>
      </c>
      <c r="H181" s="33">
        <v>60554</v>
      </c>
      <c r="I181" s="33">
        <v>61262</v>
      </c>
      <c r="J181" s="33">
        <v>0</v>
      </c>
      <c r="K181" s="33">
        <v>44273</v>
      </c>
      <c r="L181" s="33">
        <v>40445</v>
      </c>
      <c r="M181" s="33">
        <v>39311</v>
      </c>
      <c r="N181" s="33">
        <v>0</v>
      </c>
      <c r="O181" s="33">
        <v>38722</v>
      </c>
      <c r="P181" s="33">
        <v>33485</v>
      </c>
      <c r="Q181" s="33">
        <v>31358</v>
      </c>
      <c r="R181" s="33"/>
      <c r="S181" s="33"/>
      <c r="T181" s="33"/>
      <c r="U181" s="33">
        <v>39423</v>
      </c>
      <c r="V181" s="33"/>
      <c r="X181" s="33">
        <v>26380</v>
      </c>
      <c r="Y181" s="33">
        <v>21028</v>
      </c>
      <c r="Z181" s="33">
        <v>17100</v>
      </c>
      <c r="AA181" s="33">
        <v>21270</v>
      </c>
      <c r="AB181" s="33">
        <v>62823</v>
      </c>
      <c r="AC181" s="33">
        <v>46274</v>
      </c>
      <c r="AD181" s="33">
        <v>40009</v>
      </c>
      <c r="AE181" s="33"/>
      <c r="AF181" s="33">
        <v>40189</v>
      </c>
      <c r="AG181" s="511"/>
      <c r="AH181" s="509">
        <f t="shared" si="276"/>
        <v>-0.13835274359214622</v>
      </c>
      <c r="AI181" s="510">
        <f t="shared" si="267"/>
        <v>0.17242461412506538</v>
      </c>
      <c r="AJ181" s="510">
        <f t="shared" si="268"/>
        <v>6.1986303218346972E-2</v>
      </c>
    </row>
    <row r="182" spans="2:36" ht="12" x14ac:dyDescent="0.2">
      <c r="B182" s="11" t="s">
        <v>44</v>
      </c>
      <c r="C182" s="33">
        <v>18541</v>
      </c>
      <c r="D182" s="33">
        <v>15601</v>
      </c>
      <c r="E182" s="33">
        <v>44515</v>
      </c>
      <c r="F182" s="33">
        <v>0</v>
      </c>
      <c r="G182" s="33">
        <v>39672</v>
      </c>
      <c r="H182" s="33">
        <v>39563</v>
      </c>
      <c r="I182" s="33">
        <v>39472</v>
      </c>
      <c r="J182" s="33">
        <v>0</v>
      </c>
      <c r="K182" s="33">
        <v>38847</v>
      </c>
      <c r="L182" s="33">
        <v>36573</v>
      </c>
      <c r="M182" s="33">
        <v>35965</v>
      </c>
      <c r="N182" s="33">
        <v>0</v>
      </c>
      <c r="O182" s="33">
        <v>39804</v>
      </c>
      <c r="P182" s="33">
        <v>39613</v>
      </c>
      <c r="Q182" s="33">
        <v>22803</v>
      </c>
      <c r="R182" s="33"/>
      <c r="S182" s="33"/>
      <c r="T182" s="33"/>
      <c r="U182" s="33">
        <v>20616</v>
      </c>
      <c r="V182" s="33"/>
      <c r="X182" s="33">
        <v>1959</v>
      </c>
      <c r="Y182" s="33">
        <v>1769</v>
      </c>
      <c r="Z182" s="33">
        <v>7406</v>
      </c>
      <c r="AA182" s="33">
        <v>8377</v>
      </c>
      <c r="AB182" s="33">
        <v>39548</v>
      </c>
      <c r="AC182" s="33">
        <v>39250</v>
      </c>
      <c r="AD182" s="33">
        <v>39335</v>
      </c>
      <c r="AE182" s="33"/>
      <c r="AF182" s="33">
        <v>20616</v>
      </c>
      <c r="AG182" s="511"/>
      <c r="AH182" s="509">
        <f t="shared" si="276"/>
        <v>-0.19519013088495152</v>
      </c>
      <c r="AI182" s="510">
        <f t="shared" si="267"/>
        <v>0.25250357034115178</v>
      </c>
      <c r="AJ182" s="510">
        <f t="shared" si="268"/>
        <v>0.3996655755569487</v>
      </c>
    </row>
    <row r="183" spans="2:36" ht="12" x14ac:dyDescent="0.2">
      <c r="B183" s="2" t="s">
        <v>45</v>
      </c>
      <c r="C183" s="33">
        <v>22812</v>
      </c>
      <c r="D183" s="33">
        <v>24313</v>
      </c>
      <c r="E183" s="33">
        <v>25549</v>
      </c>
      <c r="F183" s="33">
        <v>0</v>
      </c>
      <c r="G183" s="33">
        <v>16229</v>
      </c>
      <c r="H183" s="33">
        <v>16235</v>
      </c>
      <c r="I183" s="33">
        <v>16407</v>
      </c>
      <c r="J183" s="33">
        <v>0</v>
      </c>
      <c r="K183" s="33">
        <v>16403</v>
      </c>
      <c r="L183" s="33">
        <v>12993</v>
      </c>
      <c r="M183" s="33">
        <v>16349</v>
      </c>
      <c r="N183" s="33">
        <v>0</v>
      </c>
      <c r="O183" s="33">
        <v>17301</v>
      </c>
      <c r="P183" s="33">
        <v>17191</v>
      </c>
      <c r="Q183" s="33">
        <v>13516</v>
      </c>
      <c r="R183" s="33"/>
      <c r="S183" s="33"/>
      <c r="T183" s="33"/>
      <c r="U183" s="33">
        <v>12470</v>
      </c>
      <c r="V183" s="33"/>
      <c r="X183" s="33">
        <v>29920</v>
      </c>
      <c r="Y183" s="33">
        <v>36920</v>
      </c>
      <c r="Z183" s="33">
        <v>32668</v>
      </c>
      <c r="AA183" s="33">
        <v>21712</v>
      </c>
      <c r="AB183" s="33">
        <v>16809</v>
      </c>
      <c r="AC183" s="33">
        <v>17270</v>
      </c>
      <c r="AD183" s="33">
        <v>18130</v>
      </c>
      <c r="AE183" s="33"/>
      <c r="AF183" s="33">
        <v>12595</v>
      </c>
      <c r="AG183" s="511"/>
      <c r="AH183" s="509">
        <f t="shared" si="276"/>
        <v>-9.1722062952071637E-2</v>
      </c>
      <c r="AI183" s="510">
        <f t="shared" si="267"/>
        <v>-0.12728068999777287</v>
      </c>
      <c r="AJ183" s="510">
        <f t="shared" si="268"/>
        <v>-0.11627017589609534</v>
      </c>
    </row>
    <row r="184" spans="2:36" ht="12" x14ac:dyDescent="0.2">
      <c r="B184" s="11" t="s">
        <v>46</v>
      </c>
      <c r="C184" s="33">
        <v>0</v>
      </c>
      <c r="D184" s="33">
        <v>5091</v>
      </c>
      <c r="E184" s="33">
        <v>6488</v>
      </c>
      <c r="F184" s="33">
        <v>0</v>
      </c>
      <c r="G184" s="33">
        <v>5944</v>
      </c>
      <c r="H184" s="33">
        <v>6422</v>
      </c>
      <c r="I184" s="33">
        <v>6955</v>
      </c>
      <c r="J184" s="33">
        <v>0</v>
      </c>
      <c r="K184" s="33">
        <v>7039</v>
      </c>
      <c r="L184" s="33">
        <v>7064</v>
      </c>
      <c r="M184" s="33">
        <v>7388</v>
      </c>
      <c r="N184" s="33">
        <v>0</v>
      </c>
      <c r="O184" s="33">
        <v>9272</v>
      </c>
      <c r="P184" s="33">
        <v>9447</v>
      </c>
      <c r="Q184" s="33">
        <v>11237</v>
      </c>
      <c r="R184" s="33"/>
      <c r="S184" s="33"/>
      <c r="T184" s="33"/>
      <c r="U184" s="33">
        <v>12024</v>
      </c>
      <c r="V184" s="33"/>
      <c r="X184" s="33"/>
      <c r="Y184" s="33"/>
      <c r="Z184" s="33"/>
      <c r="AA184" s="33">
        <v>0</v>
      </c>
      <c r="AB184" s="33">
        <v>5944</v>
      </c>
      <c r="AC184" s="33">
        <v>7014</v>
      </c>
      <c r="AD184" s="33">
        <v>8821</v>
      </c>
      <c r="AE184" s="33"/>
      <c r="AF184" s="33">
        <v>12902</v>
      </c>
      <c r="AG184" s="511"/>
      <c r="AH184" s="509">
        <f t="shared" si="276"/>
        <v>0.29477035006029739</v>
      </c>
      <c r="AI184" s="510" t="e">
        <f t="shared" si="267"/>
        <v>#DIV/0!</v>
      </c>
      <c r="AJ184" s="510" t="str">
        <f t="shared" si="268"/>
        <v/>
      </c>
    </row>
    <row r="185" spans="2:36" ht="14.25" x14ac:dyDescent="0.35">
      <c r="B185" s="2" t="s">
        <v>47</v>
      </c>
      <c r="C185" s="38">
        <f>294+56217</f>
        <v>56511</v>
      </c>
      <c r="D185" s="38">
        <f>379+79096</f>
        <v>79475</v>
      </c>
      <c r="E185" s="38">
        <f>540+96417</f>
        <v>96957</v>
      </c>
      <c r="F185" s="15">
        <v>0</v>
      </c>
      <c r="G185" s="15">
        <v>92617</v>
      </c>
      <c r="H185" s="15">
        <v>91954</v>
      </c>
      <c r="I185" s="38">
        <v>96051</v>
      </c>
      <c r="J185" s="15">
        <v>0</v>
      </c>
      <c r="K185" s="15">
        <v>88041</v>
      </c>
      <c r="L185" s="15">
        <v>49787</v>
      </c>
      <c r="M185" s="15">
        <v>48933</v>
      </c>
      <c r="N185" s="15">
        <v>0</v>
      </c>
      <c r="O185" s="15">
        <v>47935</v>
      </c>
      <c r="P185" s="15">
        <v>47271</v>
      </c>
      <c r="Q185" s="15">
        <v>40961</v>
      </c>
      <c r="R185" s="15"/>
      <c r="S185" s="15"/>
      <c r="T185" s="15"/>
      <c r="U185" s="15">
        <v>38672</v>
      </c>
      <c r="V185" s="15"/>
      <c r="X185" s="15">
        <v>13810</v>
      </c>
      <c r="Y185" s="15">
        <v>49350</v>
      </c>
      <c r="Z185" s="15">
        <v>50218</v>
      </c>
      <c r="AA185" s="15">
        <v>58439</v>
      </c>
      <c r="AB185" s="15">
        <v>93794</v>
      </c>
      <c r="AC185" s="15">
        <v>85113</v>
      </c>
      <c r="AD185" s="15">
        <v>48902</v>
      </c>
      <c r="AE185" s="15"/>
      <c r="AF185" s="15">
        <v>37956</v>
      </c>
      <c r="AG185" s="279"/>
      <c r="AH185" s="509">
        <f t="shared" si="276"/>
        <v>-0.2603349013798707</v>
      </c>
      <c r="AI185" s="510">
        <f t="shared" si="267"/>
        <v>-0.10227273468176523</v>
      </c>
      <c r="AJ185" s="510">
        <f t="shared" si="268"/>
        <v>0.15538488022671815</v>
      </c>
    </row>
    <row r="186" spans="2:36" ht="12" x14ac:dyDescent="0.2">
      <c r="B186" s="4" t="s">
        <v>322</v>
      </c>
      <c r="C186" s="5">
        <f>SUM(C179:C185)</f>
        <v>765635</v>
      </c>
      <c r="D186" s="5">
        <f>SUM(D179:D185)</f>
        <v>800117</v>
      </c>
      <c r="E186" s="5">
        <f t="shared" ref="E186" si="304">SUM(E179:E185)</f>
        <v>908164</v>
      </c>
      <c r="F186" s="5">
        <f t="shared" ref="F186:M186" si="305">SUM(F179:F185)</f>
        <v>0</v>
      </c>
      <c r="G186" s="5">
        <f t="shared" si="305"/>
        <v>792187</v>
      </c>
      <c r="H186" s="5">
        <f t="shared" si="305"/>
        <v>614065</v>
      </c>
      <c r="I186" s="5">
        <f t="shared" si="305"/>
        <v>618223</v>
      </c>
      <c r="J186" s="5">
        <f t="shared" si="305"/>
        <v>0</v>
      </c>
      <c r="K186" s="5">
        <f t="shared" si="305"/>
        <v>570406</v>
      </c>
      <c r="L186" s="5">
        <f t="shared" si="305"/>
        <v>534547</v>
      </c>
      <c r="M186" s="5">
        <f t="shared" si="305"/>
        <v>544150</v>
      </c>
      <c r="N186" s="5">
        <f t="shared" ref="N186" si="306">SUM(N179:N185)</f>
        <v>0</v>
      </c>
      <c r="O186" s="5">
        <f>SUM(O179:O185)</f>
        <v>486866</v>
      </c>
      <c r="P186" s="5">
        <f>SUM(P179:P185)</f>
        <v>472103</v>
      </c>
      <c r="Q186" s="5">
        <f>SUM(Q179:Q185)</f>
        <v>460700</v>
      </c>
      <c r="R186" s="5"/>
      <c r="S186" s="5"/>
      <c r="T186" s="5"/>
      <c r="U186" s="5">
        <f>SUM(U179:U185)</f>
        <v>286525</v>
      </c>
      <c r="V186" s="5"/>
      <c r="X186" s="5">
        <f t="shared" ref="X186" si="307">SUM(X179:X185)</f>
        <v>420821</v>
      </c>
      <c r="Y186" s="5">
        <f>SUM(Y179:Y185)</f>
        <v>613307</v>
      </c>
      <c r="Z186" s="5">
        <f>SUM(Z179:Z185)</f>
        <v>697910</v>
      </c>
      <c r="AA186" s="5">
        <f>SUM(AA179:AA185)</f>
        <v>590682</v>
      </c>
      <c r="AB186" s="5">
        <f t="shared" ref="AB186" si="308">SUM(AB179:AB185)</f>
        <v>789995</v>
      </c>
      <c r="AC186" s="5">
        <f t="shared" ref="AC186" si="309">SUM(AC179:AC185)</f>
        <v>548943</v>
      </c>
      <c r="AD186" s="5">
        <f>SUM(AD179:AD185)</f>
        <v>474826</v>
      </c>
      <c r="AE186" s="5"/>
      <c r="AF186" s="5">
        <f>SUM(AF179:AF185)</f>
        <v>358011</v>
      </c>
      <c r="AG186" s="5"/>
      <c r="AH186" s="509">
        <f t="shared" si="276"/>
        <v>-0.23188895623231021</v>
      </c>
      <c r="AI186" s="510">
        <f t="shared" si="267"/>
        <v>-0.11766062876173744</v>
      </c>
      <c r="AJ186" s="510">
        <f t="shared" si="268"/>
        <v>-2.2827399709969609E-2</v>
      </c>
    </row>
    <row r="187" spans="2:36" ht="12" x14ac:dyDescent="0.2">
      <c r="B187" s="2" t="s">
        <v>41</v>
      </c>
      <c r="C187" s="33">
        <v>72739</v>
      </c>
      <c r="D187" s="33">
        <v>85968</v>
      </c>
      <c r="E187" s="33">
        <v>68804</v>
      </c>
      <c r="F187" s="33">
        <v>0</v>
      </c>
      <c r="G187" s="33">
        <v>102491</v>
      </c>
      <c r="H187" s="33">
        <v>272847</v>
      </c>
      <c r="I187" s="33">
        <v>263315</v>
      </c>
      <c r="J187" s="33">
        <v>0</v>
      </c>
      <c r="K187" s="33">
        <v>60638</v>
      </c>
      <c r="L187" s="33">
        <v>61418</v>
      </c>
      <c r="M187" s="33">
        <v>64965</v>
      </c>
      <c r="N187" s="33">
        <v>0</v>
      </c>
      <c r="O187" s="33">
        <v>36427</v>
      </c>
      <c r="P187" s="33">
        <v>35145</v>
      </c>
      <c r="Q187" s="33">
        <v>2000</v>
      </c>
      <c r="R187" s="33"/>
      <c r="S187" s="33"/>
      <c r="T187" s="33"/>
      <c r="U187" s="33">
        <v>219</v>
      </c>
      <c r="V187" s="33"/>
      <c r="X187" s="58">
        <f>66370+114169</f>
        <v>180539</v>
      </c>
      <c r="Y187" s="58">
        <f>55961+172247</f>
        <v>228208</v>
      </c>
      <c r="Z187" s="58">
        <f>51257+64434</f>
        <v>115691</v>
      </c>
      <c r="AA187" s="58">
        <v>107481</v>
      </c>
      <c r="AB187" s="58">
        <v>122913</v>
      </c>
      <c r="AC187" s="58">
        <v>82276</v>
      </c>
      <c r="AD187" s="58">
        <v>18450</v>
      </c>
      <c r="AE187" s="58"/>
      <c r="AF187" s="58">
        <v>417</v>
      </c>
      <c r="AG187" s="508"/>
      <c r="AH187" s="509">
        <f t="shared" si="276"/>
        <v>-0.84973906783878705</v>
      </c>
      <c r="AI187" s="510">
        <f t="shared" si="267"/>
        <v>-0.75042499462822998</v>
      </c>
      <c r="AJ187" s="510">
        <f t="shared" si="268"/>
        <v>-0.57988669897043044</v>
      </c>
    </row>
    <row r="188" spans="2:36" ht="12" x14ac:dyDescent="0.2">
      <c r="B188" s="2" t="s">
        <v>42</v>
      </c>
      <c r="C188" s="33">
        <v>125062</v>
      </c>
      <c r="D188" s="33">
        <v>56033</v>
      </c>
      <c r="E188" s="33">
        <v>29860</v>
      </c>
      <c r="F188" s="33">
        <v>0</v>
      </c>
      <c r="G188" s="33">
        <v>7804</v>
      </c>
      <c r="H188" s="33">
        <v>9104</v>
      </c>
      <c r="I188" s="33">
        <v>8067</v>
      </c>
      <c r="J188" s="33">
        <v>0</v>
      </c>
      <c r="K188" s="33">
        <v>13006</v>
      </c>
      <c r="L188" s="33">
        <v>2162</v>
      </c>
      <c r="M188" s="33">
        <v>1623</v>
      </c>
      <c r="N188" s="33">
        <v>0</v>
      </c>
      <c r="O188" s="33">
        <v>5052</v>
      </c>
      <c r="P188" s="33">
        <v>4584</v>
      </c>
      <c r="Q188" s="33">
        <v>3650</v>
      </c>
      <c r="R188" s="33"/>
      <c r="S188" s="33"/>
      <c r="T188" s="33"/>
      <c r="U188" s="33">
        <v>5425</v>
      </c>
      <c r="V188" s="33"/>
      <c r="X188" s="33">
        <v>11692</v>
      </c>
      <c r="Y188" s="33">
        <v>31046</v>
      </c>
      <c r="Z188" s="33">
        <v>29484</v>
      </c>
      <c r="AA188" s="33">
        <v>2448</v>
      </c>
      <c r="AB188" s="33">
        <v>11593</v>
      </c>
      <c r="AC188" s="33">
        <v>14744</v>
      </c>
      <c r="AD188" s="33">
        <v>6315</v>
      </c>
      <c r="AE188" s="33"/>
      <c r="AF188" s="33">
        <v>6709</v>
      </c>
      <c r="AG188" s="511"/>
      <c r="AH188" s="509">
        <f t="shared" si="276"/>
        <v>-0.16666302463805516</v>
      </c>
      <c r="AI188" s="510">
        <f t="shared" si="267"/>
        <v>0.28665346704496875</v>
      </c>
      <c r="AJ188" s="510">
        <f t="shared" si="268"/>
        <v>-7.6284084641636163E-2</v>
      </c>
    </row>
    <row r="189" spans="2:36" ht="12" x14ac:dyDescent="0.2">
      <c r="B189" s="2" t="s">
        <v>48</v>
      </c>
      <c r="C189" s="33">
        <v>1139</v>
      </c>
      <c r="D189" s="33">
        <v>1328</v>
      </c>
      <c r="E189" s="33">
        <v>5775</v>
      </c>
      <c r="F189" s="33">
        <v>0</v>
      </c>
      <c r="G189" s="33">
        <v>909</v>
      </c>
      <c r="H189" s="33">
        <v>965</v>
      </c>
      <c r="I189" s="33">
        <v>1016</v>
      </c>
      <c r="J189" s="33">
        <v>0</v>
      </c>
      <c r="K189" s="33">
        <v>3207</v>
      </c>
      <c r="L189" s="33">
        <v>3771</v>
      </c>
      <c r="M189" s="33">
        <v>6165</v>
      </c>
      <c r="N189" s="33">
        <v>0</v>
      </c>
      <c r="O189" s="33">
        <v>8841</v>
      </c>
      <c r="P189" s="33">
        <v>7633</v>
      </c>
      <c r="Q189" s="33">
        <v>6528</v>
      </c>
      <c r="R189" s="33"/>
      <c r="S189" s="33"/>
      <c r="T189" s="33"/>
      <c r="U189" s="33">
        <v>7067</v>
      </c>
      <c r="V189" s="33"/>
      <c r="X189" s="33">
        <v>4985</v>
      </c>
      <c r="Y189" s="33">
        <v>5697</v>
      </c>
      <c r="Z189" s="33">
        <v>2992</v>
      </c>
      <c r="AA189" s="33">
        <v>708</v>
      </c>
      <c r="AB189" s="33">
        <v>718</v>
      </c>
      <c r="AC189" s="33">
        <v>987</v>
      </c>
      <c r="AD189" s="33">
        <v>6802</v>
      </c>
      <c r="AE189" s="33"/>
      <c r="AF189" s="33">
        <v>9196</v>
      </c>
      <c r="AG189" s="511"/>
      <c r="AH189" s="509">
        <f t="shared" si="276"/>
        <v>1.3396892130466962</v>
      </c>
      <c r="AI189" s="510">
        <f t="shared" si="267"/>
        <v>0.8984161780589317</v>
      </c>
      <c r="AJ189" s="510">
        <f t="shared" si="268"/>
        <v>9.1416569619814814E-2</v>
      </c>
    </row>
    <row r="190" spans="2:36" ht="12" x14ac:dyDescent="0.2">
      <c r="B190" s="2" t="s">
        <v>44</v>
      </c>
      <c r="C190" s="33">
        <v>8280</v>
      </c>
      <c r="D190" s="33">
        <v>5018</v>
      </c>
      <c r="E190" s="33">
        <v>6653</v>
      </c>
      <c r="F190" s="33">
        <v>0</v>
      </c>
      <c r="G190" s="33">
        <v>8536</v>
      </c>
      <c r="H190" s="33">
        <v>8310</v>
      </c>
      <c r="I190" s="33">
        <v>8031</v>
      </c>
      <c r="J190" s="33">
        <v>0</v>
      </c>
      <c r="K190" s="33">
        <v>12055</v>
      </c>
      <c r="L190" s="33">
        <v>10994</v>
      </c>
      <c r="M190" s="33">
        <v>12808</v>
      </c>
      <c r="N190" s="33">
        <v>0</v>
      </c>
      <c r="O190" s="33">
        <v>8704</v>
      </c>
      <c r="P190" s="33">
        <v>7177</v>
      </c>
      <c r="Q190" s="33">
        <v>4959</v>
      </c>
      <c r="R190" s="33"/>
      <c r="S190" s="33"/>
      <c r="T190" s="33"/>
      <c r="U190" s="33">
        <v>5862</v>
      </c>
      <c r="V190" s="33"/>
      <c r="X190" s="33">
        <v>3571</v>
      </c>
      <c r="Y190" s="33">
        <v>3006</v>
      </c>
      <c r="Z190" s="33">
        <v>3220</v>
      </c>
      <c r="AA190" s="33">
        <v>4625</v>
      </c>
      <c r="AB190" s="33">
        <v>7781</v>
      </c>
      <c r="AC190" s="33">
        <v>10347</v>
      </c>
      <c r="AD190" s="33">
        <v>10050</v>
      </c>
      <c r="AE190" s="33"/>
      <c r="AF190" s="33">
        <v>6015</v>
      </c>
      <c r="AG190" s="511"/>
      <c r="AH190" s="509">
        <f t="shared" si="276"/>
        <v>-8.2230955080405677E-2</v>
      </c>
      <c r="AI190" s="510">
        <f t="shared" si="267"/>
        <v>6.7900951948056898E-2</v>
      </c>
      <c r="AJ190" s="510">
        <f t="shared" si="268"/>
        <v>7.7331596808705827E-2</v>
      </c>
    </row>
    <row r="191" spans="2:36" ht="12" x14ac:dyDescent="0.2">
      <c r="B191" s="2" t="s">
        <v>45</v>
      </c>
      <c r="C191" s="33">
        <v>18519</v>
      </c>
      <c r="D191" s="33">
        <v>25639</v>
      </c>
      <c r="E191" s="33">
        <v>28491</v>
      </c>
      <c r="F191" s="33">
        <v>0</v>
      </c>
      <c r="G191" s="33">
        <v>24950</v>
      </c>
      <c r="H191" s="33">
        <v>23329</v>
      </c>
      <c r="I191" s="33">
        <v>26344</v>
      </c>
      <c r="J191" s="33">
        <v>0</v>
      </c>
      <c r="K191" s="33">
        <v>30843</v>
      </c>
      <c r="L191" s="33">
        <v>27311</v>
      </c>
      <c r="M191" s="33">
        <v>33907</v>
      </c>
      <c r="N191" s="33">
        <v>0</v>
      </c>
      <c r="O191" s="33">
        <v>36235</v>
      </c>
      <c r="P191" s="33">
        <v>32940</v>
      </c>
      <c r="Q191" s="33">
        <v>26354</v>
      </c>
      <c r="R191" s="33"/>
      <c r="S191" s="33"/>
      <c r="T191" s="33"/>
      <c r="U191" s="33">
        <v>32410</v>
      </c>
      <c r="V191" s="33"/>
      <c r="X191" s="33">
        <v>13721</v>
      </c>
      <c r="Y191" s="33">
        <v>12019</v>
      </c>
      <c r="Z191" s="33">
        <v>11234</v>
      </c>
      <c r="AA191" s="33">
        <v>15128</v>
      </c>
      <c r="AB191" s="33">
        <v>21544</v>
      </c>
      <c r="AC191" s="33">
        <v>23629</v>
      </c>
      <c r="AD191" s="33">
        <v>30089</v>
      </c>
      <c r="AE191" s="33"/>
      <c r="AF191" s="33">
        <v>25927</v>
      </c>
      <c r="AG191" s="511"/>
      <c r="AH191" s="509">
        <f t="shared" si="276"/>
        <v>6.3674241900398387E-2</v>
      </c>
      <c r="AI191" s="510">
        <f t="shared" si="267"/>
        <v>0.14417561563782821</v>
      </c>
      <c r="AJ191" s="510">
        <f t="shared" si="268"/>
        <v>9.5168462741409554E-2</v>
      </c>
    </row>
    <row r="192" spans="2:36" ht="12" x14ac:dyDescent="0.2">
      <c r="B192" s="2" t="s">
        <v>49</v>
      </c>
      <c r="C192" s="33">
        <v>157202</v>
      </c>
      <c r="D192" s="33">
        <v>167872</v>
      </c>
      <c r="E192" s="33">
        <v>170928</v>
      </c>
      <c r="F192" s="33">
        <v>0</v>
      </c>
      <c r="G192" s="33">
        <v>172161</v>
      </c>
      <c r="H192" s="33">
        <v>187933</v>
      </c>
      <c r="I192" s="33">
        <v>183381</v>
      </c>
      <c r="J192" s="33">
        <v>0</v>
      </c>
      <c r="K192" s="33">
        <v>214722</v>
      </c>
      <c r="L192" s="33">
        <v>218686</v>
      </c>
      <c r="M192" s="33">
        <v>232001</v>
      </c>
      <c r="N192" s="33">
        <v>0</v>
      </c>
      <c r="O192" s="33">
        <v>186838</v>
      </c>
      <c r="P192" s="33">
        <v>180255</v>
      </c>
      <c r="Q192" s="2">
        <v>92060</v>
      </c>
      <c r="U192" s="33">
        <v>120581</v>
      </c>
      <c r="V192" s="33"/>
      <c r="X192" s="33">
        <v>88594</v>
      </c>
      <c r="Y192" s="33">
        <v>140034</v>
      </c>
      <c r="Z192" s="33">
        <v>112858</v>
      </c>
      <c r="AA192" s="33">
        <v>110789</v>
      </c>
      <c r="AB192" s="33">
        <v>224141</v>
      </c>
      <c r="AC192" s="33">
        <v>230361</v>
      </c>
      <c r="AD192" s="33">
        <v>235193</v>
      </c>
      <c r="AE192" s="33"/>
      <c r="AF192" s="33">
        <v>119462</v>
      </c>
      <c r="AG192" s="511"/>
      <c r="AH192" s="509">
        <f t="shared" si="276"/>
        <v>-0.18922037669620273</v>
      </c>
      <c r="AI192" s="510">
        <f t="shared" si="267"/>
        <v>1.902135357276169E-2</v>
      </c>
      <c r="AJ192" s="510">
        <f t="shared" si="268"/>
        <v>4.3629858416345924E-2</v>
      </c>
    </row>
    <row r="193" spans="1:38" ht="12" x14ac:dyDescent="0.2">
      <c r="B193" s="2" t="s">
        <v>46</v>
      </c>
      <c r="C193" s="33">
        <v>24350</v>
      </c>
      <c r="D193" s="33">
        <v>19769</v>
      </c>
      <c r="E193" s="33">
        <v>24856</v>
      </c>
      <c r="F193" s="33">
        <v>0</v>
      </c>
      <c r="G193" s="33">
        <v>3043</v>
      </c>
      <c r="H193" s="33">
        <v>3153</v>
      </c>
      <c r="I193" s="33">
        <v>3029</v>
      </c>
      <c r="J193" s="33">
        <v>0</v>
      </c>
      <c r="K193" s="33">
        <v>2067</v>
      </c>
      <c r="L193" s="33">
        <v>9283</v>
      </c>
      <c r="M193" s="33">
        <v>21303</v>
      </c>
      <c r="N193" s="33">
        <v>0</v>
      </c>
      <c r="O193" s="33">
        <v>25298</v>
      </c>
      <c r="P193" s="33">
        <v>26780</v>
      </c>
      <c r="Q193" s="33">
        <v>14331</v>
      </c>
      <c r="R193" s="33"/>
      <c r="S193" s="33"/>
      <c r="T193" s="33"/>
      <c r="U193" s="33">
        <v>14371</v>
      </c>
      <c r="V193" s="33"/>
      <c r="X193" s="33">
        <v>10362</v>
      </c>
      <c r="Y193" s="33">
        <v>8936</v>
      </c>
      <c r="Z193" s="33">
        <v>13497</v>
      </c>
      <c r="AA193" s="33">
        <v>19626</v>
      </c>
      <c r="AB193" s="33">
        <v>3698</v>
      </c>
      <c r="AC193" s="33">
        <v>8670</v>
      </c>
      <c r="AD193" s="33">
        <v>19006</v>
      </c>
      <c r="AE193" s="33"/>
      <c r="AF193" s="33">
        <v>8732</v>
      </c>
      <c r="AG193" s="511"/>
      <c r="AH193" s="509">
        <f t="shared" si="276"/>
        <v>0.331626022189073</v>
      </c>
      <c r="AI193" s="510">
        <f t="shared" si="267"/>
        <v>-0.1832850919497403</v>
      </c>
      <c r="AJ193" s="510">
        <f t="shared" si="268"/>
        <v>-2.415363564374462E-2</v>
      </c>
      <c r="AL193" s="2">
        <f>(AF184+AF193)/(AD184+AD193)-1</f>
        <v>-0.22255363495885294</v>
      </c>
    </row>
    <row r="194" spans="1:38" ht="14.25" x14ac:dyDescent="0.35">
      <c r="B194" s="2" t="s">
        <v>50</v>
      </c>
      <c r="C194" s="33">
        <v>1350</v>
      </c>
      <c r="D194" s="33">
        <v>1264</v>
      </c>
      <c r="E194" s="33">
        <v>1987</v>
      </c>
      <c r="F194" s="33">
        <v>0</v>
      </c>
      <c r="G194" s="33">
        <v>176</v>
      </c>
      <c r="H194" s="33">
        <v>296</v>
      </c>
      <c r="I194" s="33">
        <v>4198</v>
      </c>
      <c r="J194" s="33">
        <v>0</v>
      </c>
      <c r="K194" s="33">
        <v>4912</v>
      </c>
      <c r="L194" s="33">
        <v>133</v>
      </c>
      <c r="M194" s="33">
        <v>134</v>
      </c>
      <c r="N194" s="33">
        <v>0</v>
      </c>
      <c r="O194" s="33">
        <v>19</v>
      </c>
      <c r="P194" s="33">
        <v>6</v>
      </c>
      <c r="Q194" s="2">
        <v>0</v>
      </c>
      <c r="U194" s="33">
        <v>0</v>
      </c>
      <c r="V194" s="33"/>
      <c r="X194" s="15">
        <v>2900</v>
      </c>
      <c r="Y194" s="15">
        <v>10883</v>
      </c>
      <c r="Z194" s="15">
        <v>9225</v>
      </c>
      <c r="AA194" s="33">
        <v>1991</v>
      </c>
      <c r="AB194" s="33">
        <v>989</v>
      </c>
      <c r="AC194" s="33">
        <v>5380</v>
      </c>
      <c r="AD194" s="33">
        <v>23</v>
      </c>
      <c r="AE194" s="33"/>
      <c r="AF194" s="33">
        <v>15</v>
      </c>
      <c r="AG194" s="511"/>
      <c r="AH194" s="509">
        <f t="shared" si="276"/>
        <v>-0.75246782617598595</v>
      </c>
      <c r="AI194" s="510">
        <f t="shared" si="267"/>
        <v>-0.70538490159493028</v>
      </c>
      <c r="AJ194" s="510">
        <f t="shared" si="268"/>
        <v>-0.52860523894291278</v>
      </c>
    </row>
    <row r="195" spans="1:38" ht="12" x14ac:dyDescent="0.2">
      <c r="B195" s="2" t="s">
        <v>106</v>
      </c>
      <c r="C195" s="33">
        <v>16199</v>
      </c>
      <c r="D195" s="33">
        <v>21357</v>
      </c>
      <c r="E195" s="33">
        <v>31990</v>
      </c>
      <c r="F195" s="33"/>
      <c r="G195" s="33"/>
      <c r="H195" s="33"/>
      <c r="I195" s="33"/>
      <c r="J195" s="33"/>
      <c r="K195" s="33"/>
      <c r="L195" s="33">
        <v>54103</v>
      </c>
      <c r="M195" s="33">
        <v>67403</v>
      </c>
      <c r="N195" s="33"/>
      <c r="O195" s="33"/>
      <c r="P195" s="33"/>
      <c r="Q195" s="33">
        <v>0</v>
      </c>
      <c r="R195" s="33"/>
      <c r="S195" s="33"/>
      <c r="T195" s="33"/>
      <c r="U195" s="33"/>
      <c r="V195" s="33"/>
      <c r="X195" s="2">
        <v>8589</v>
      </c>
      <c r="Y195" s="2">
        <v>19621</v>
      </c>
      <c r="Z195" s="2">
        <v>10913</v>
      </c>
      <c r="AB195" s="33"/>
      <c r="AC195" s="33"/>
      <c r="AD195" s="33"/>
      <c r="AE195" s="33"/>
      <c r="AF195" s="33"/>
      <c r="AG195" s="511"/>
      <c r="AH195" s="509" t="str">
        <f t="shared" si="276"/>
        <v/>
      </c>
      <c r="AI195" s="510" t="e">
        <f t="shared" si="267"/>
        <v>#DIV/0!</v>
      </c>
      <c r="AJ195" s="510">
        <f t="shared" si="268"/>
        <v>-1</v>
      </c>
    </row>
    <row r="196" spans="1:38" ht="14.25" x14ac:dyDescent="0.35">
      <c r="B196" s="2" t="s">
        <v>51</v>
      </c>
      <c r="C196" s="15">
        <v>56778</v>
      </c>
      <c r="D196" s="15">
        <v>54840</v>
      </c>
      <c r="E196" s="15">
        <v>54638</v>
      </c>
      <c r="F196" s="15">
        <v>0</v>
      </c>
      <c r="G196" s="15">
        <v>70885</v>
      </c>
      <c r="H196" s="15">
        <v>76560</v>
      </c>
      <c r="I196" s="15">
        <v>77888</v>
      </c>
      <c r="J196" s="15">
        <v>0</v>
      </c>
      <c r="K196" s="15">
        <v>64764</v>
      </c>
      <c r="L196" s="15">
        <v>65264</v>
      </c>
      <c r="M196" s="15">
        <v>45573</v>
      </c>
      <c r="N196" s="15">
        <v>0</v>
      </c>
      <c r="O196" s="15">
        <v>96840</v>
      </c>
      <c r="P196" s="15">
        <v>101858</v>
      </c>
      <c r="Q196" s="15">
        <v>62011</v>
      </c>
      <c r="R196" s="15"/>
      <c r="S196" s="15"/>
      <c r="T196" s="15"/>
      <c r="U196" s="15">
        <v>63219</v>
      </c>
      <c r="V196" s="15"/>
      <c r="X196" s="2">
        <v>14675</v>
      </c>
      <c r="Y196" s="2">
        <v>13981</v>
      </c>
      <c r="Z196" s="2">
        <v>18135</v>
      </c>
      <c r="AA196" s="15">
        <v>34051</v>
      </c>
      <c r="AB196" s="15">
        <v>79643</v>
      </c>
      <c r="AC196" s="15">
        <v>75765</v>
      </c>
      <c r="AD196" s="15">
        <v>100591</v>
      </c>
      <c r="AE196" s="15"/>
      <c r="AF196" s="15">
        <v>65251</v>
      </c>
      <c r="AG196" s="279"/>
      <c r="AH196" s="509">
        <f t="shared" si="276"/>
        <v>-6.4278689546225176E-2</v>
      </c>
      <c r="AI196" s="510">
        <f t="shared" si="267"/>
        <v>0.17656066610265619</v>
      </c>
      <c r="AJ196" s="510">
        <f t="shared" si="268"/>
        <v>0.23757840656208695</v>
      </c>
    </row>
    <row r="197" spans="1:38" ht="12" x14ac:dyDescent="0.2">
      <c r="B197" s="4" t="s">
        <v>52</v>
      </c>
      <c r="C197" s="34">
        <f t="shared" ref="C197:M197" si="310">SUM(C187:C196)</f>
        <v>481618</v>
      </c>
      <c r="D197" s="34">
        <f t="shared" si="310"/>
        <v>439088</v>
      </c>
      <c r="E197" s="34">
        <f t="shared" si="310"/>
        <v>423982</v>
      </c>
      <c r="F197" s="34">
        <f t="shared" si="310"/>
        <v>0</v>
      </c>
      <c r="G197" s="34">
        <f t="shared" si="310"/>
        <v>390955</v>
      </c>
      <c r="H197" s="34">
        <f t="shared" si="310"/>
        <v>582497</v>
      </c>
      <c r="I197" s="34">
        <f t="shared" si="310"/>
        <v>575269</v>
      </c>
      <c r="J197" s="34">
        <f t="shared" si="310"/>
        <v>0</v>
      </c>
      <c r="K197" s="34">
        <f t="shared" si="310"/>
        <v>406214</v>
      </c>
      <c r="L197" s="34">
        <f t="shared" si="310"/>
        <v>453125</v>
      </c>
      <c r="M197" s="34">
        <f t="shared" si="310"/>
        <v>485882</v>
      </c>
      <c r="N197" s="34">
        <f t="shared" ref="N197" si="311">SUM(N187:N196)</f>
        <v>0</v>
      </c>
      <c r="O197" s="34">
        <f>SUM(O187:O196)</f>
        <v>404254</v>
      </c>
      <c r="P197" s="34">
        <f>SUM(P187:P196)</f>
        <v>396378</v>
      </c>
      <c r="Q197" s="34">
        <f>SUM(Q187:Q196)</f>
        <v>211893</v>
      </c>
      <c r="R197" s="34"/>
      <c r="S197" s="34"/>
      <c r="T197" s="34"/>
      <c r="U197" s="34">
        <f>SUM(U187:U196)</f>
        <v>249154</v>
      </c>
      <c r="V197" s="34"/>
      <c r="X197" s="34">
        <f t="shared" ref="X197" si="312">SUM(X187:X196)</f>
        <v>339628</v>
      </c>
      <c r="Y197" s="34">
        <f>SUM(Y187:Y196)</f>
        <v>473431</v>
      </c>
      <c r="Z197" s="34">
        <f>SUM(Z187:Z196)</f>
        <v>327249</v>
      </c>
      <c r="AA197" s="34">
        <f>SUM(AA187:AA196)</f>
        <v>296847</v>
      </c>
      <c r="AB197" s="34">
        <f t="shared" ref="AB197" si="313">SUM(AB187:AB196)</f>
        <v>473020</v>
      </c>
      <c r="AC197" s="34">
        <f t="shared" ref="AC197" si="314">SUM(AC187:AC196)</f>
        <v>452159</v>
      </c>
      <c r="AD197" s="34">
        <f>SUM(AD187:AD196)</f>
        <v>426519</v>
      </c>
      <c r="AE197" s="34"/>
      <c r="AF197" s="34">
        <f>SUM(AF187:AF196)</f>
        <v>241724</v>
      </c>
      <c r="AG197" s="331"/>
      <c r="AH197" s="509">
        <f t="shared" si="276"/>
        <v>-0.20050928782899857</v>
      </c>
      <c r="AI197" s="510">
        <f t="shared" si="267"/>
        <v>-5.0058683860900177E-2</v>
      </c>
      <c r="AJ197" s="510">
        <f t="shared" si="268"/>
        <v>-4.7418097492079814E-2</v>
      </c>
    </row>
    <row r="198" spans="1:38" ht="12" x14ac:dyDescent="0.2">
      <c r="B198" s="4" t="s">
        <v>53</v>
      </c>
      <c r="C198" s="5">
        <f t="shared" ref="C198:M198" si="315">C197+C186</f>
        <v>1247253</v>
      </c>
      <c r="D198" s="5">
        <f t="shared" si="315"/>
        <v>1239205</v>
      </c>
      <c r="E198" s="5">
        <f t="shared" si="315"/>
        <v>1332146</v>
      </c>
      <c r="F198" s="5">
        <f t="shared" si="315"/>
        <v>0</v>
      </c>
      <c r="G198" s="5">
        <f t="shared" si="315"/>
        <v>1183142</v>
      </c>
      <c r="H198" s="5">
        <f t="shared" si="315"/>
        <v>1196562</v>
      </c>
      <c r="I198" s="5">
        <f t="shared" si="315"/>
        <v>1193492</v>
      </c>
      <c r="J198" s="5">
        <f t="shared" si="315"/>
        <v>0</v>
      </c>
      <c r="K198" s="5">
        <f t="shared" si="315"/>
        <v>976620</v>
      </c>
      <c r="L198" s="5">
        <f t="shared" si="315"/>
        <v>987672</v>
      </c>
      <c r="M198" s="5">
        <f t="shared" si="315"/>
        <v>1030032</v>
      </c>
      <c r="N198" s="5">
        <f t="shared" ref="N198" si="316">N197+N186</f>
        <v>0</v>
      </c>
      <c r="O198" s="5">
        <f>O197+O186</f>
        <v>891120</v>
      </c>
      <c r="P198" s="5">
        <f>P197+P186</f>
        <v>868481</v>
      </c>
      <c r="Q198" s="5">
        <f>Q197+Q186</f>
        <v>672593</v>
      </c>
      <c r="R198" s="5"/>
      <c r="S198" s="5"/>
      <c r="T198" s="5"/>
      <c r="U198" s="5">
        <f>U197+U186</f>
        <v>535679</v>
      </c>
      <c r="V198" s="5"/>
      <c r="X198" s="5">
        <f t="shared" ref="X198" si="317">X197+X186</f>
        <v>760449</v>
      </c>
      <c r="Y198" s="5">
        <f>Y197+Y186</f>
        <v>1086738</v>
      </c>
      <c r="Z198" s="5">
        <f>Z197+Z186</f>
        <v>1025159</v>
      </c>
      <c r="AA198" s="5">
        <f>AA197+AA186</f>
        <v>887529</v>
      </c>
      <c r="AB198" s="5">
        <f t="shared" ref="AB198" si="318">AB197+AB186</f>
        <v>1263015</v>
      </c>
      <c r="AC198" s="5">
        <f t="shared" ref="AC198" si="319">AC197+AC186</f>
        <v>1001102</v>
      </c>
      <c r="AD198" s="5">
        <f>AD197+AD186</f>
        <v>901345</v>
      </c>
      <c r="AE198" s="5"/>
      <c r="AF198" s="5">
        <f>AF197+AF186</f>
        <v>599735</v>
      </c>
      <c r="AG198" s="5"/>
      <c r="AH198" s="509">
        <f t="shared" si="276"/>
        <v>-0.21984009138030247</v>
      </c>
      <c r="AI198" s="510">
        <f t="shared" si="267"/>
        <v>-9.3340512392492747E-2</v>
      </c>
      <c r="AJ198" s="510">
        <f t="shared" si="268"/>
        <v>-3.3348564509219303E-2</v>
      </c>
    </row>
    <row r="199" spans="1:38" ht="7.5" customHeight="1" x14ac:dyDescent="0.2">
      <c r="B199" s="12" t="s">
        <v>54</v>
      </c>
      <c r="C199" s="5">
        <f t="shared" ref="C199:Q199" si="320">C171-C178-C198</f>
        <v>0</v>
      </c>
      <c r="D199" s="5">
        <f t="shared" si="320"/>
        <v>0</v>
      </c>
      <c r="E199" s="5">
        <f t="shared" si="320"/>
        <v>0</v>
      </c>
      <c r="F199" s="5">
        <f t="shared" si="320"/>
        <v>0</v>
      </c>
      <c r="G199" s="5">
        <f t="shared" si="320"/>
        <v>0</v>
      </c>
      <c r="H199" s="5">
        <f t="shared" si="320"/>
        <v>1</v>
      </c>
      <c r="I199" s="5">
        <f t="shared" si="320"/>
        <v>0</v>
      </c>
      <c r="J199" s="5">
        <f t="shared" si="320"/>
        <v>0</v>
      </c>
      <c r="K199" s="5">
        <f t="shared" si="320"/>
        <v>0</v>
      </c>
      <c r="L199" s="5">
        <f t="shared" si="320"/>
        <v>0</v>
      </c>
      <c r="M199" s="5">
        <f t="shared" si="320"/>
        <v>0</v>
      </c>
      <c r="N199" s="5">
        <f t="shared" si="320"/>
        <v>0</v>
      </c>
      <c r="O199" s="5">
        <f>O171-O178-O198</f>
        <v>-1</v>
      </c>
      <c r="P199" s="5">
        <f t="shared" si="320"/>
        <v>-2</v>
      </c>
      <c r="Q199" s="5">
        <f t="shared" si="320"/>
        <v>-2</v>
      </c>
      <c r="R199" s="5"/>
      <c r="S199" s="5"/>
      <c r="T199" s="5"/>
      <c r="U199" s="5">
        <f t="shared" ref="U199" si="321">U171-U178-U198</f>
        <v>-1</v>
      </c>
      <c r="V199" s="5"/>
      <c r="X199" s="5"/>
      <c r="Y199" s="5"/>
      <c r="Z199" s="5"/>
      <c r="AA199" s="5">
        <f>AA171-AA178-AA198</f>
        <v>1.0749570913612843</v>
      </c>
      <c r="AB199" s="5">
        <f>AB171-AB178-AB198</f>
        <v>1.8184282775036991</v>
      </c>
      <c r="AC199" s="5">
        <f>AC171-AC178-AC198</f>
        <v>-0.16760761616751552</v>
      </c>
      <c r="AD199" s="5">
        <f>AD171-AD178-AD198</f>
        <v>-1.2907979190349579</v>
      </c>
      <c r="AE199" s="5"/>
      <c r="AF199" s="5">
        <f>AF171-AF178-AF198</f>
        <v>2.8350721052847803</v>
      </c>
      <c r="AG199" s="5"/>
      <c r="AH199" s="509">
        <f t="shared" si="276"/>
        <v>0.15954954783963093</v>
      </c>
    </row>
    <row r="200" spans="1:38" ht="10.5" customHeight="1" x14ac:dyDescent="0.2">
      <c r="B200" s="512" t="s">
        <v>485</v>
      </c>
      <c r="C200" s="5"/>
      <c r="D200" s="5"/>
      <c r="E200" s="5"/>
      <c r="F200" s="5"/>
      <c r="G200" s="5"/>
      <c r="H200" s="5"/>
      <c r="I200" s="5"/>
      <c r="J200" s="5"/>
      <c r="K200" s="5"/>
      <c r="L200" s="5"/>
      <c r="M200" s="5"/>
      <c r="N200" s="5"/>
      <c r="O200" s="5"/>
      <c r="P200" s="5"/>
      <c r="Q200" s="5"/>
      <c r="R200" s="5"/>
      <c r="S200" s="5"/>
      <c r="T200" s="5"/>
      <c r="U200" s="5"/>
      <c r="V200" s="5"/>
      <c r="X200" s="5"/>
      <c r="Y200" s="5"/>
      <c r="Z200" s="5"/>
      <c r="AA200" s="5"/>
      <c r="AB200" s="5"/>
      <c r="AC200" s="5"/>
      <c r="AD200" s="5"/>
      <c r="AE200" s="5"/>
      <c r="AF200" s="5"/>
      <c r="AG200" s="5"/>
      <c r="AH200" s="509" t="str">
        <f t="shared" si="276"/>
        <v/>
      </c>
    </row>
    <row r="201" spans="1:38" ht="10.5" customHeight="1" x14ac:dyDescent="0.2">
      <c r="B201" s="12" t="s">
        <v>486</v>
      </c>
      <c r="C201" s="5"/>
      <c r="D201" s="5"/>
      <c r="E201" s="5"/>
      <c r="F201" s="5"/>
      <c r="G201" s="5"/>
      <c r="H201" s="5"/>
      <c r="I201" s="5"/>
      <c r="J201" s="5"/>
      <c r="K201" s="5"/>
      <c r="L201" s="5"/>
      <c r="M201" s="5"/>
      <c r="N201" s="5"/>
      <c r="O201" s="5"/>
      <c r="P201" s="5"/>
      <c r="Q201" s="5"/>
      <c r="R201" s="5"/>
      <c r="S201" s="5"/>
      <c r="T201" s="5"/>
      <c r="U201" s="5"/>
      <c r="V201" s="5"/>
      <c r="X201" s="5"/>
      <c r="Y201" s="5"/>
      <c r="Z201" s="5"/>
      <c r="AA201" s="5"/>
      <c r="AB201" s="5"/>
      <c r="AC201" s="5"/>
      <c r="AD201" s="1">
        <v>9283</v>
      </c>
      <c r="AE201" s="5"/>
      <c r="AF201" s="1">
        <v>8483</v>
      </c>
      <c r="AG201" s="236"/>
      <c r="AH201" s="122"/>
    </row>
    <row r="202" spans="1:38" ht="10.5" customHeight="1" x14ac:dyDescent="0.2">
      <c r="B202" s="12" t="s">
        <v>487</v>
      </c>
      <c r="C202" s="5"/>
      <c r="D202" s="5"/>
      <c r="E202" s="5"/>
      <c r="F202" s="5"/>
      <c r="G202" s="5"/>
      <c r="H202" s="5"/>
      <c r="I202" s="5"/>
      <c r="J202" s="5"/>
      <c r="K202" s="5"/>
      <c r="L202" s="5"/>
      <c r="M202" s="5"/>
      <c r="N202" s="5"/>
      <c r="O202" s="5"/>
      <c r="P202" s="5"/>
      <c r="Q202" s="5"/>
      <c r="R202" s="5"/>
      <c r="S202" s="5"/>
      <c r="T202" s="5"/>
      <c r="U202" s="5"/>
      <c r="V202" s="5"/>
      <c r="X202" s="5"/>
      <c r="Y202" s="5"/>
      <c r="Z202" s="5"/>
      <c r="AA202" s="5"/>
      <c r="AB202" s="5"/>
      <c r="AC202" s="5"/>
      <c r="AD202" s="1">
        <v>82</v>
      </c>
      <c r="AE202" s="5"/>
      <c r="AF202" s="1">
        <v>142</v>
      </c>
      <c r="AG202" s="236"/>
    </row>
    <row r="203" spans="1:38" ht="13.5" customHeight="1" x14ac:dyDescent="0.2">
      <c r="B203" s="84" t="s">
        <v>390</v>
      </c>
      <c r="C203" s="208"/>
      <c r="D203" s="208"/>
      <c r="E203" s="208"/>
      <c r="F203" s="208"/>
      <c r="G203" s="208"/>
      <c r="H203" s="208"/>
      <c r="I203" s="208"/>
      <c r="J203" s="208"/>
      <c r="K203" s="208"/>
      <c r="L203" s="208"/>
      <c r="M203" s="208"/>
      <c r="N203" s="208"/>
      <c r="O203" s="208"/>
      <c r="P203" s="208"/>
      <c r="Q203" s="208"/>
      <c r="R203" s="208"/>
      <c r="S203" s="208"/>
      <c r="T203" s="208"/>
      <c r="U203" s="208">
        <f t="shared" ref="U203" si="322">(U179+U180+U188+U187)</f>
        <v>168964</v>
      </c>
      <c r="V203" s="208"/>
      <c r="W203" s="84"/>
      <c r="X203" s="208">
        <f t="shared" ref="X203" si="323">(X179+X180+X188+X187)</f>
        <v>540983</v>
      </c>
      <c r="Y203" s="208">
        <f>(Y179+Y180+Y188+Y187)</f>
        <v>763494</v>
      </c>
      <c r="Z203" s="208">
        <f>(Z179+Z180+Z188+Z187)</f>
        <v>735693</v>
      </c>
      <c r="AA203" s="208">
        <f>(AA179+AA180+AA188+AA187)</f>
        <v>590813</v>
      </c>
      <c r="AB203" s="208">
        <f t="shared" ref="AB203:AF203" si="324">(AB179+AB180+AB188+AB187)</f>
        <v>705583</v>
      </c>
      <c r="AC203" s="208">
        <f t="shared" si="324"/>
        <v>451042</v>
      </c>
      <c r="AD203" s="208">
        <f t="shared" si="324"/>
        <v>344394</v>
      </c>
      <c r="AE203" s="208"/>
      <c r="AF203" s="208">
        <f t="shared" si="324"/>
        <v>240879</v>
      </c>
      <c r="AG203" s="208"/>
      <c r="AH203" s="122">
        <f t="shared" si="276"/>
        <v>-0.3010969372304938</v>
      </c>
      <c r="AI203" s="164">
        <f>((AF203/AA203)^(1/(2025-2021)))-1</f>
        <v>-0.20092558744165612</v>
      </c>
      <c r="AJ203" s="24">
        <f t="shared" ref="AJ203:AJ245" si="325">IFERROR((AF203/X203)^(1/(2025-2018))-1,"")</f>
        <v>-0.10915491383579923</v>
      </c>
    </row>
    <row r="204" spans="1:38" s="114" customFormat="1" x14ac:dyDescent="0.25">
      <c r="A204" s="2"/>
      <c r="B204" s="84" t="s">
        <v>344</v>
      </c>
      <c r="C204" s="84"/>
      <c r="D204" s="207"/>
      <c r="E204" s="207"/>
      <c r="F204" s="460"/>
      <c r="G204" s="460"/>
      <c r="H204" s="84"/>
      <c r="I204" s="84"/>
      <c r="J204" s="84"/>
      <c r="K204" s="460"/>
      <c r="L204" s="84"/>
      <c r="M204" s="239"/>
      <c r="N204" s="84"/>
      <c r="O204" s="239"/>
      <c r="P204" s="239"/>
      <c r="Q204" s="239"/>
      <c r="R204" s="239"/>
      <c r="S204" s="239"/>
      <c r="T204" s="239"/>
      <c r="U204" s="208">
        <f>U187+U179+U177+U188+U180+U201+U202-U169</f>
        <v>88982</v>
      </c>
      <c r="V204" s="202">
        <f>U204/AF204-1</f>
        <v>-0.41591015012176469</v>
      </c>
      <c r="W204" s="84"/>
      <c r="X204" s="208">
        <f t="shared" ref="X204" si="326">X187+X179+X177+X188+X180-X169</f>
        <v>468813</v>
      </c>
      <c r="Y204" s="208">
        <f>Y187+Y179+Y177+Y188+Y180-Y169</f>
        <v>628087</v>
      </c>
      <c r="Z204" s="208">
        <f>Z187+Z179+Z177+Z188+Z180-Z169</f>
        <v>639597</v>
      </c>
      <c r="AA204" s="208">
        <f>AA187+AA179+AA177+AA188+AA180-AA169</f>
        <v>81050</v>
      </c>
      <c r="AB204" s="208">
        <f>AB187+AB179+AB177+AB188+AB180-AB169</f>
        <v>277963</v>
      </c>
      <c r="AC204" s="208">
        <f>AC187+AC179+AC177+AC188+AC180-AC169</f>
        <v>273987</v>
      </c>
      <c r="AD204" s="208">
        <f>AD187+AD179+AD177+AD188+AD180+AD201+AD202-AD169</f>
        <v>217998</v>
      </c>
      <c r="AE204" s="239"/>
      <c r="AF204" s="208">
        <f>AF187+AF179+AF177+AF188+AF180+AF201+AF202-AF169</f>
        <v>152343</v>
      </c>
      <c r="AG204" s="208"/>
      <c r="AH204" s="122">
        <f t="shared" si="276"/>
        <v>-0.18163853501999505</v>
      </c>
      <c r="AI204" s="164">
        <f>((AF204/AA204)^(1/(2025-2021)))-1</f>
        <v>0.17089343532988677</v>
      </c>
      <c r="AJ204" s="24">
        <f t="shared" si="325"/>
        <v>-0.14835145607470202</v>
      </c>
      <c r="AK204" s="60"/>
    </row>
    <row r="205" spans="1:38" x14ac:dyDescent="0.25">
      <c r="B205" s="84" t="s">
        <v>479</v>
      </c>
      <c r="C205" s="84"/>
      <c r="D205" s="207"/>
      <c r="E205" s="207"/>
      <c r="F205" s="238"/>
      <c r="G205" s="238"/>
      <c r="H205" s="84"/>
      <c r="I205" s="84"/>
      <c r="J205" s="84"/>
      <c r="K205" s="238"/>
      <c r="L205" s="84"/>
      <c r="M205" s="239">
        <f>(M179+M188)/M176</f>
        <v>0.33256313198865767</v>
      </c>
      <c r="N205" s="84"/>
      <c r="O205" s="239">
        <f>(O179+O188)/O176</f>
        <v>0.24003958222102145</v>
      </c>
      <c r="P205" s="239">
        <f>(P179+P188)/P176</f>
        <v>0.23264219711749315</v>
      </c>
      <c r="Q205" s="239">
        <f>(Q179+Q188)/Q176</f>
        <v>0.2520591953498677</v>
      </c>
      <c r="R205" s="239"/>
      <c r="S205" s="239"/>
      <c r="T205" s="239"/>
      <c r="U205" s="239">
        <f t="shared" ref="U205" si="327">U204/U178</f>
        <v>8.7153860619642379E-2</v>
      </c>
      <c r="V205" s="239"/>
      <c r="W205" s="84"/>
      <c r="X205" s="239">
        <f t="shared" ref="X205" si="328">X204/X178</f>
        <v>1.6476809042312031</v>
      </c>
      <c r="Y205" s="239">
        <f t="shared" ref="Y205:AD205" si="329">Y204/Y178</f>
        <v>2.4415717190093567</v>
      </c>
      <c r="Z205" s="239">
        <f t="shared" si="329"/>
        <v>3.0372679656002619</v>
      </c>
      <c r="AA205" s="239">
        <f t="shared" si="329"/>
        <v>8.9572758387845064E-2</v>
      </c>
      <c r="AB205" s="239">
        <f t="shared" si="329"/>
        <v>0.29026107133123302</v>
      </c>
      <c r="AC205" s="239">
        <f t="shared" si="329"/>
        <v>0.29323556923577471</v>
      </c>
      <c r="AD205" s="239">
        <f t="shared" si="329"/>
        <v>0.2345608077573629</v>
      </c>
      <c r="AE205" s="239"/>
      <c r="AF205" s="239">
        <f>AF204/AF178</f>
        <v>0.15267369121517207</v>
      </c>
      <c r="AG205" s="239"/>
      <c r="AH205" s="122">
        <f>IFERROR(((AF205/AB205))^(1/(2025-2022))-1,"")</f>
        <v>-0.19278020383101302</v>
      </c>
      <c r="AJ205" s="24">
        <f t="shared" si="325"/>
        <v>-0.28810980084574289</v>
      </c>
    </row>
    <row r="206" spans="1:38" s="114" customFormat="1" x14ac:dyDescent="0.25">
      <c r="A206" s="2"/>
      <c r="B206" s="84" t="s">
        <v>484</v>
      </c>
      <c r="C206" s="84"/>
      <c r="D206" s="207"/>
      <c r="E206" s="207"/>
      <c r="F206" s="238"/>
      <c r="G206" s="238"/>
      <c r="H206" s="84"/>
      <c r="I206" s="84"/>
      <c r="J206" s="84"/>
      <c r="K206" s="238"/>
      <c r="L206" s="84"/>
      <c r="M206" s="239"/>
      <c r="N206" s="84"/>
      <c r="O206" s="239"/>
      <c r="P206" s="239"/>
      <c r="Q206" s="239"/>
      <c r="R206" s="239"/>
      <c r="S206" s="239"/>
      <c r="T206" s="239"/>
      <c r="U206" s="239"/>
      <c r="V206" s="239"/>
      <c r="W206" s="84"/>
      <c r="X206" s="239">
        <f t="shared" ref="X206" si="330">X204/X99</f>
        <v>7.1591991936961703</v>
      </c>
      <c r="Y206" s="239">
        <f>Y204/Y99</f>
        <v>7.0689919078007</v>
      </c>
      <c r="Z206" s="239">
        <f>Z204/Z99</f>
        <v>19.212309633234206</v>
      </c>
      <c r="AA206" s="239">
        <f>AA204/AA99</f>
        <v>1.7599287777126353</v>
      </c>
      <c r="AB206" s="239">
        <f t="shared" ref="AB206:AF206" si="331">AB204/AB99</f>
        <v>2.1899955879108757</v>
      </c>
      <c r="AC206" s="239">
        <f t="shared" si="331"/>
        <v>2.8274648614063693</v>
      </c>
      <c r="AD206" s="239">
        <f t="shared" si="331"/>
        <v>1.3585138469975322</v>
      </c>
      <c r="AE206" s="239"/>
      <c r="AF206" s="239">
        <f t="shared" si="331"/>
        <v>0.94863380492178939</v>
      </c>
      <c r="AG206" s="239"/>
      <c r="AH206" s="122">
        <f>IFERROR(((AF206/AB206))^(1/(2025-2022))-1,"")</f>
        <v>-0.24336727844893558</v>
      </c>
      <c r="AI206" s="164"/>
      <c r="AJ206" s="24">
        <f t="shared" si="325"/>
        <v>-0.25078773452212033</v>
      </c>
      <c r="AK206" s="62"/>
    </row>
    <row r="207" spans="1:38" x14ac:dyDescent="0.25">
      <c r="B207" s="84" t="s">
        <v>396</v>
      </c>
      <c r="C207" s="84"/>
      <c r="D207" s="207"/>
      <c r="E207" s="207"/>
      <c r="F207" s="238"/>
      <c r="G207" s="238"/>
      <c r="H207" s="84"/>
      <c r="I207" s="84"/>
      <c r="J207" s="84"/>
      <c r="K207" s="238"/>
      <c r="L207" s="84"/>
      <c r="M207" s="239"/>
      <c r="N207" s="84"/>
      <c r="O207" s="239"/>
      <c r="P207" s="239"/>
      <c r="Q207" s="239"/>
      <c r="R207" s="239"/>
      <c r="S207" s="239"/>
      <c r="T207" s="239"/>
      <c r="U207" s="208">
        <f t="shared" ref="U207" si="332">U151+U150+U157-U192-U193-U196</f>
        <v>688438</v>
      </c>
      <c r="V207" s="239"/>
      <c r="W207" s="84"/>
      <c r="X207" s="208">
        <f t="shared" ref="X207" si="333">X151+X150+X157-X192-X193-X196</f>
        <v>414334</v>
      </c>
      <c r="Y207" s="208">
        <f t="shared" ref="Y207:AD207" si="334">Y151+Y150+Y157-Y192-Y193-Y196</f>
        <v>583855</v>
      </c>
      <c r="Z207" s="208">
        <f t="shared" si="334"/>
        <v>635885</v>
      </c>
      <c r="AA207" s="208">
        <f t="shared" si="334"/>
        <v>675268</v>
      </c>
      <c r="AB207" s="208">
        <f t="shared" si="334"/>
        <v>803725</v>
      </c>
      <c r="AC207" s="208">
        <f t="shared" si="334"/>
        <v>746525</v>
      </c>
      <c r="AD207" s="208">
        <f t="shared" si="334"/>
        <v>662067</v>
      </c>
      <c r="AE207" s="239"/>
      <c r="AF207" s="208">
        <v>1070</v>
      </c>
      <c r="AG207" s="208"/>
      <c r="AH207" s="122">
        <f t="shared" si="276"/>
        <v>-0.88999170505754899</v>
      </c>
      <c r="AJ207" s="24">
        <f t="shared" si="325"/>
        <v>-0.5731350877163065</v>
      </c>
    </row>
    <row r="208" spans="1:38" x14ac:dyDescent="0.25">
      <c r="B208" s="84" t="s">
        <v>397</v>
      </c>
      <c r="C208" s="84"/>
      <c r="D208" s="207"/>
      <c r="E208" s="207"/>
      <c r="F208" s="238"/>
      <c r="G208" s="238"/>
      <c r="H208" s="84"/>
      <c r="I208" s="84"/>
      <c r="J208" s="84"/>
      <c r="K208" s="238"/>
      <c r="L208" s="84"/>
      <c r="M208" s="239"/>
      <c r="N208" s="84"/>
      <c r="O208" s="239"/>
      <c r="P208" s="239"/>
      <c r="Q208" s="239"/>
      <c r="R208" s="239"/>
      <c r="S208" s="239"/>
      <c r="T208" s="239"/>
      <c r="U208" s="239"/>
      <c r="V208" s="239"/>
      <c r="W208" s="84"/>
      <c r="X208" s="202">
        <f>X143/(AVERAGE(X207,Y207))</f>
        <v>6.729502744087483E-2</v>
      </c>
      <c r="Y208" s="202">
        <f>Y143/(AVERAGE(Y207,Z207))</f>
        <v>-2.6101853348629621E-3</v>
      </c>
      <c r="Z208" s="202">
        <f>Z143/(AVERAGE(Z207,AA207))</f>
        <v>-6.4337006196583113E-2</v>
      </c>
      <c r="AA208" s="202">
        <f>AA143/(AVERAGE(AA207,W207))</f>
        <v>-3.2942040154463462E-2</v>
      </c>
      <c r="AB208" s="202">
        <f>AB143/(AVERAGE(AB207,AA207))</f>
        <v>1.7181391356269664E-2</v>
      </c>
      <c r="AC208" s="202">
        <f>AC143/(AVERAGE(AC207,AB207))</f>
        <v>6.3768882314950226E-3</v>
      </c>
      <c r="AD208" s="202">
        <f>AD143/(AVERAGE(AD207,AC207))</f>
        <v>0</v>
      </c>
      <c r="AE208" s="239"/>
      <c r="AF208" s="202">
        <f>AF143/(AVERAGE(AF207,AD207))</f>
        <v>0.14178067660246438</v>
      </c>
      <c r="AG208" s="240"/>
      <c r="AH208" s="122">
        <f t="shared" si="276"/>
        <v>1.0207824962556242</v>
      </c>
      <c r="AJ208" s="24">
        <f t="shared" si="325"/>
        <v>0.11232945724801358</v>
      </c>
    </row>
    <row r="209" spans="1:36" x14ac:dyDescent="0.25">
      <c r="B209" s="84" t="s">
        <v>669</v>
      </c>
      <c r="C209" s="84"/>
      <c r="D209" s="207"/>
      <c r="E209" s="207"/>
      <c r="F209" s="238"/>
      <c r="G209" s="238"/>
      <c r="H209" s="84"/>
      <c r="I209" s="84"/>
      <c r="J209" s="84"/>
      <c r="K209" s="238"/>
      <c r="L209" s="84"/>
      <c r="M209" s="239"/>
      <c r="N209" s="84"/>
      <c r="O209" s="239"/>
      <c r="P209" s="239"/>
      <c r="Q209" s="239"/>
      <c r="R209" s="239"/>
      <c r="S209" s="239"/>
      <c r="T209" s="239"/>
      <c r="U209" s="239"/>
      <c r="V209" s="239"/>
      <c r="W209" s="84"/>
      <c r="X209" s="459">
        <f>X160+X162+X163+X165+X167-(X192+X193+X194)</f>
        <v>186708</v>
      </c>
      <c r="Y209" s="459">
        <f t="shared" ref="Y209:AF209" si="335">Y160+Y162+Y163+Y165+Y167-(Y192+Y193+Y194)</f>
        <v>175316</v>
      </c>
      <c r="Z209" s="459">
        <f t="shared" si="335"/>
        <v>191865</v>
      </c>
      <c r="AA209" s="459">
        <f t="shared" si="335"/>
        <v>293452</v>
      </c>
      <c r="AB209" s="459">
        <f t="shared" si="335"/>
        <v>388756</v>
      </c>
      <c r="AC209" s="459">
        <f t="shared" si="335"/>
        <v>362472</v>
      </c>
      <c r="AD209" s="459">
        <f t="shared" si="335"/>
        <v>404861</v>
      </c>
      <c r="AE209" s="239"/>
      <c r="AF209" s="459">
        <f t="shared" si="335"/>
        <v>339407</v>
      </c>
      <c r="AG209" s="240"/>
      <c r="AH209" s="122">
        <f t="shared" ref="AH209" si="336">IFERROR(((AF209/AB209))^(1/(2025-2022))-1,"")</f>
        <v>-4.424209942625601E-2</v>
      </c>
      <c r="AJ209" s="24">
        <f t="shared" ref="AJ209" si="337">IFERROR((AF209/X209)^(1/(2025-2018))-1,"")</f>
        <v>8.9129936410055288E-2</v>
      </c>
    </row>
    <row r="210" spans="1:36" x14ac:dyDescent="0.25">
      <c r="B210" s="461" t="s">
        <v>406</v>
      </c>
      <c r="C210" s="84"/>
      <c r="D210" s="207"/>
      <c r="E210" s="207"/>
      <c r="F210" s="238"/>
      <c r="G210" s="238"/>
      <c r="H210" s="84"/>
      <c r="I210" s="84"/>
      <c r="J210" s="84"/>
      <c r="K210" s="238"/>
      <c r="L210" s="84"/>
      <c r="M210" s="239"/>
      <c r="N210" s="84"/>
      <c r="O210" s="239"/>
      <c r="P210" s="239"/>
      <c r="Q210" s="239"/>
      <c r="R210" s="239"/>
      <c r="S210" s="239"/>
      <c r="T210" s="239"/>
      <c r="U210" s="239"/>
      <c r="V210" s="239"/>
      <c r="W210" s="84"/>
      <c r="X210" s="202">
        <f t="shared" ref="X210:AD210" si="338">X209/X86</f>
        <v>0.24373203418107195</v>
      </c>
      <c r="Y210" s="202">
        <f t="shared" si="338"/>
        <v>0.22382804221320579</v>
      </c>
      <c r="Z210" s="202">
        <f t="shared" si="338"/>
        <v>0.31238958945594569</v>
      </c>
      <c r="AA210" s="202">
        <f t="shared" si="338"/>
        <v>0.37143377904239216</v>
      </c>
      <c r="AB210" s="202">
        <f t="shared" si="338"/>
        <v>0.29763868025792145</v>
      </c>
      <c r="AC210" s="202">
        <f t="shared" si="338"/>
        <v>0.2853328379310236</v>
      </c>
      <c r="AD210" s="202">
        <f t="shared" si="338"/>
        <v>0.27105062486903092</v>
      </c>
      <c r="AE210" s="239"/>
      <c r="AF210" s="202">
        <f>AF209/AF86</f>
        <v>0.34657026071879682</v>
      </c>
      <c r="AG210" s="202" t="e">
        <f>AG209/AG86</f>
        <v>#DIV/0!</v>
      </c>
      <c r="AH210" s="122"/>
      <c r="AJ210" s="24"/>
    </row>
    <row r="211" spans="1:36" x14ac:dyDescent="0.25">
      <c r="B211" s="84" t="s">
        <v>670</v>
      </c>
      <c r="C211" s="84"/>
      <c r="D211" s="207"/>
      <c r="E211" s="207"/>
      <c r="F211" s="238"/>
      <c r="G211" s="238"/>
      <c r="H211" s="84"/>
      <c r="I211" s="84"/>
      <c r="J211" s="84"/>
      <c r="K211" s="238"/>
      <c r="L211" s="84"/>
      <c r="M211" s="239"/>
      <c r="N211" s="84"/>
      <c r="O211" s="239"/>
      <c r="P211" s="239"/>
      <c r="Q211" s="239"/>
      <c r="R211" s="239"/>
      <c r="S211" s="239"/>
      <c r="T211" s="239"/>
      <c r="U211" s="239"/>
      <c r="V211" s="239"/>
      <c r="W211" s="84"/>
      <c r="X211" s="349">
        <f t="shared" ref="X211:AD211" si="339">X163/(X86/365)</f>
        <v>52.911892099347554</v>
      </c>
      <c r="Y211" s="349">
        <f t="shared" si="339"/>
        <v>51.097353120667151</v>
      </c>
      <c r="Z211" s="349">
        <f t="shared" si="339"/>
        <v>51.999804619129414</v>
      </c>
      <c r="AA211" s="349">
        <f t="shared" si="339"/>
        <v>59.657402297570286</v>
      </c>
      <c r="AB211" s="349">
        <f t="shared" si="339"/>
        <v>47.901474886956471</v>
      </c>
      <c r="AC211" s="349">
        <f t="shared" si="339"/>
        <v>45.759036106641645</v>
      </c>
      <c r="AD211" s="349">
        <f t="shared" si="339"/>
        <v>44.420010269985468</v>
      </c>
      <c r="AE211" s="239"/>
      <c r="AF211" s="349">
        <f>AF163/(AF86/365)</f>
        <v>44.456062352769393</v>
      </c>
      <c r="AG211" s="202"/>
      <c r="AH211" s="122"/>
      <c r="AJ211" s="24"/>
    </row>
    <row r="212" spans="1:36" x14ac:dyDescent="0.25">
      <c r="B212" s="84" t="s">
        <v>671</v>
      </c>
      <c r="C212" s="84"/>
      <c r="D212" s="207"/>
      <c r="E212" s="207"/>
      <c r="F212" s="238"/>
      <c r="G212" s="238"/>
      <c r="H212" s="84"/>
      <c r="I212" s="84"/>
      <c r="J212" s="84"/>
      <c r="K212" s="238"/>
      <c r="L212" s="84"/>
      <c r="M212" s="239"/>
      <c r="N212" s="84"/>
      <c r="O212" s="239"/>
      <c r="P212" s="239"/>
      <c r="Q212" s="239"/>
      <c r="R212" s="239"/>
      <c r="S212" s="239"/>
      <c r="T212" s="239"/>
      <c r="U212" s="239"/>
      <c r="V212" s="239"/>
      <c r="W212" s="84"/>
      <c r="X212" s="349">
        <f>X160/(-X92/365)</f>
        <v>109.24062492527547</v>
      </c>
      <c r="Y212" s="349">
        <f t="shared" ref="Y212:AF212" si="340">Y160/(-Y92/365)</f>
        <v>135.34388138874436</v>
      </c>
      <c r="Z212" s="349">
        <f t="shared" si="340"/>
        <v>167.97002354420025</v>
      </c>
      <c r="AA212" s="349">
        <f t="shared" si="340"/>
        <v>160.44443827529759</v>
      </c>
      <c r="AB212" s="349">
        <f t="shared" si="340"/>
        <v>137.96033366388613</v>
      </c>
      <c r="AC212" s="349">
        <f t="shared" si="340"/>
        <v>151.9387120061736</v>
      </c>
      <c r="AD212" s="349">
        <f t="shared" si="340"/>
        <v>153.17304614628563</v>
      </c>
      <c r="AE212" s="349">
        <f t="shared" si="340"/>
        <v>0</v>
      </c>
      <c r="AF212" s="349">
        <f t="shared" si="340"/>
        <v>221.19026686612284</v>
      </c>
      <c r="AG212" s="202"/>
      <c r="AH212" s="122"/>
      <c r="AJ212" s="24"/>
    </row>
    <row r="213" spans="1:36" x14ac:dyDescent="0.25">
      <c r="B213" s="84" t="s">
        <v>672</v>
      </c>
      <c r="C213" s="84"/>
      <c r="D213" s="207"/>
      <c r="E213" s="207"/>
      <c r="F213" s="238"/>
      <c r="G213" s="238"/>
      <c r="H213" s="84"/>
      <c r="I213" s="84"/>
      <c r="J213" s="84"/>
      <c r="K213" s="238"/>
      <c r="L213" s="84"/>
      <c r="M213" s="239"/>
      <c r="N213" s="84"/>
      <c r="O213" s="239"/>
      <c r="P213" s="239"/>
      <c r="Q213" s="239"/>
      <c r="R213" s="239"/>
      <c r="S213" s="239"/>
      <c r="T213" s="239"/>
      <c r="U213" s="239"/>
      <c r="V213" s="239"/>
      <c r="W213" s="84"/>
      <c r="X213" s="349">
        <f>X192/(-X92/365)</f>
        <v>70.29389834856083</v>
      </c>
      <c r="Y213" s="349">
        <f t="shared" ref="Y213:AF213" si="341">Y192/(-Y92/365)</f>
        <v>108.97517845416478</v>
      </c>
      <c r="Z213" s="349">
        <f t="shared" si="341"/>
        <v>102.73943254486866</v>
      </c>
      <c r="AA213" s="349">
        <f t="shared" si="341"/>
        <v>72.426155312053353</v>
      </c>
      <c r="AB213" s="349">
        <f t="shared" si="341"/>
        <v>95.445913784051811</v>
      </c>
      <c r="AC213" s="349">
        <f t="shared" si="341"/>
        <v>104.65480695028752</v>
      </c>
      <c r="AD213" s="349">
        <f t="shared" si="341"/>
        <v>92.516135950434148</v>
      </c>
      <c r="AE213" s="349"/>
      <c r="AF213" s="349">
        <f t="shared" si="341"/>
        <v>97.792517700990615</v>
      </c>
      <c r="AG213" s="202"/>
      <c r="AH213" s="122"/>
      <c r="AJ213" s="24"/>
    </row>
    <row r="214" spans="1:36" x14ac:dyDescent="0.25">
      <c r="B214" s="84" t="s">
        <v>673</v>
      </c>
      <c r="C214" s="84"/>
      <c r="D214" s="207"/>
      <c r="E214" s="207"/>
      <c r="F214" s="238"/>
      <c r="G214" s="238"/>
      <c r="H214" s="84"/>
      <c r="I214" s="84"/>
      <c r="J214" s="84"/>
      <c r="K214" s="238"/>
      <c r="L214" s="84"/>
      <c r="M214" s="239"/>
      <c r="N214" s="84"/>
      <c r="O214" s="239"/>
      <c r="P214" s="239"/>
      <c r="Q214" s="239"/>
      <c r="R214" s="239"/>
      <c r="S214" s="239"/>
      <c r="T214" s="239"/>
      <c r="U214" s="239"/>
      <c r="V214" s="239"/>
      <c r="W214" s="84"/>
      <c r="X214" s="349">
        <f>X211+X212-X213</f>
        <v>91.858618676062193</v>
      </c>
      <c r="Y214" s="349">
        <f t="shared" ref="Y214:AF214" si="342">Y211+Y212-Y213</f>
        <v>77.466056055246739</v>
      </c>
      <c r="Z214" s="349">
        <f t="shared" si="342"/>
        <v>117.23039561846099</v>
      </c>
      <c r="AA214" s="349">
        <f t="shared" si="342"/>
        <v>147.67568526081453</v>
      </c>
      <c r="AB214" s="349">
        <f t="shared" si="342"/>
        <v>90.415894766790785</v>
      </c>
      <c r="AC214" s="349">
        <f t="shared" si="342"/>
        <v>93.042941162527725</v>
      </c>
      <c r="AD214" s="349">
        <f t="shared" si="342"/>
        <v>105.07692046583696</v>
      </c>
      <c r="AE214" s="349"/>
      <c r="AF214" s="349">
        <f t="shared" si="342"/>
        <v>167.85381151790159</v>
      </c>
      <c r="AG214" s="202"/>
      <c r="AH214" s="122"/>
      <c r="AJ214" s="24"/>
    </row>
    <row r="215" spans="1:36" x14ac:dyDescent="0.25">
      <c r="B215" s="84" t="s">
        <v>675</v>
      </c>
      <c r="C215" s="84"/>
      <c r="D215" s="207"/>
      <c r="E215" s="207"/>
      <c r="F215" s="238"/>
      <c r="G215" s="238"/>
      <c r="H215" s="84"/>
      <c r="I215" s="84"/>
      <c r="J215" s="84"/>
      <c r="K215" s="238"/>
      <c r="L215" s="84"/>
      <c r="M215" s="239"/>
      <c r="N215" s="84"/>
      <c r="O215" s="239"/>
      <c r="P215" s="239"/>
      <c r="Q215" s="239"/>
      <c r="R215" s="239"/>
      <c r="S215" s="239"/>
      <c r="T215" s="239"/>
      <c r="U215" s="239"/>
      <c r="V215" s="239"/>
      <c r="W215" s="84"/>
      <c r="X215" s="349">
        <f t="shared" ref="X215:AF215" si="343">(X160+X163-X192)/X86</f>
        <v>0.20904184909886978</v>
      </c>
      <c r="Y215" s="349">
        <f t="shared" si="343"/>
        <v>0.18325285791982759</v>
      </c>
      <c r="Z215" s="349">
        <f t="shared" si="343"/>
        <v>0.25913202048242795</v>
      </c>
      <c r="AA215" s="349">
        <f t="shared" si="343"/>
        <v>0.33386410008455142</v>
      </c>
      <c r="AB215" s="349">
        <f t="shared" si="343"/>
        <v>0.20767547587001028</v>
      </c>
      <c r="AC215" s="349">
        <f t="shared" si="343"/>
        <v>0.20729674073560944</v>
      </c>
      <c r="AD215" s="349">
        <f t="shared" si="343"/>
        <v>0.22493477488044572</v>
      </c>
      <c r="AE215" s="349">
        <f t="shared" si="343"/>
        <v>0</v>
      </c>
      <c r="AF215" s="349">
        <f t="shared" si="343"/>
        <v>0.2757198536551993</v>
      </c>
      <c r="AG215" s="202"/>
      <c r="AH215" s="122"/>
      <c r="AJ215" s="24"/>
    </row>
    <row r="216" spans="1:36" ht="12" x14ac:dyDescent="0.2">
      <c r="B216" s="85" t="s">
        <v>316</v>
      </c>
      <c r="C216" s="86"/>
      <c r="D216" s="86"/>
      <c r="E216" s="86"/>
      <c r="F216" s="86"/>
      <c r="G216" s="86"/>
      <c r="H216" s="86"/>
      <c r="I216" s="86"/>
      <c r="J216" s="86"/>
      <c r="K216" s="86"/>
      <c r="L216" s="86"/>
      <c r="M216" s="86"/>
      <c r="N216" s="86"/>
      <c r="O216" s="86"/>
      <c r="P216" s="86"/>
      <c r="Q216" s="86"/>
      <c r="R216" s="86"/>
      <c r="S216" s="86"/>
      <c r="T216" s="86"/>
      <c r="U216" s="86"/>
      <c r="V216" s="86"/>
      <c r="W216" s="87"/>
      <c r="X216" s="86"/>
      <c r="Y216" s="86"/>
      <c r="Z216" s="86"/>
      <c r="AA216" s="86"/>
      <c r="AB216" s="86"/>
      <c r="AC216" s="86"/>
      <c r="AD216" s="86"/>
      <c r="AE216" s="86"/>
      <c r="AF216" s="86"/>
      <c r="AG216" s="274"/>
      <c r="AH216" s="122" t="str">
        <f t="shared" si="276"/>
        <v/>
      </c>
      <c r="AI216" s="241"/>
      <c r="AJ216" s="24" t="str">
        <f t="shared" si="325"/>
        <v/>
      </c>
    </row>
    <row r="217" spans="1:36" ht="12" x14ac:dyDescent="0.2">
      <c r="A217" s="2" t="s">
        <v>55</v>
      </c>
      <c r="B217" s="13" t="s">
        <v>56</v>
      </c>
      <c r="C217" s="1">
        <v>-6382</v>
      </c>
      <c r="D217" s="1">
        <v>-25475</v>
      </c>
      <c r="E217" s="1">
        <v>-48570</v>
      </c>
      <c r="F217" s="1">
        <v>0</v>
      </c>
      <c r="G217" s="1">
        <v>-18385</v>
      </c>
      <c r="H217" s="1">
        <v>-24098</v>
      </c>
      <c r="I217" s="33">
        <v>-31356</v>
      </c>
      <c r="K217" s="1">
        <v>3444</v>
      </c>
      <c r="L217" s="33">
        <v>-14709</v>
      </c>
      <c r="M217" s="33">
        <v>-23277</v>
      </c>
      <c r="O217" s="1">
        <v>5873</v>
      </c>
      <c r="P217" s="1">
        <v>4713</v>
      </c>
      <c r="Q217" s="1">
        <v>-6450</v>
      </c>
      <c r="R217" s="1"/>
      <c r="S217" s="1">
        <v>5873</v>
      </c>
      <c r="T217" s="1"/>
      <c r="U217" s="1">
        <v>11008</v>
      </c>
      <c r="V217" s="1"/>
      <c r="X217" s="20">
        <v>24081</v>
      </c>
      <c r="Y217" s="20">
        <v>-22443</v>
      </c>
      <c r="Z217" s="20">
        <v>-61186</v>
      </c>
      <c r="AA217" s="20">
        <v>-43457</v>
      </c>
      <c r="AB217" s="20">
        <v>-28690</v>
      </c>
      <c r="AC217" s="20">
        <v>-51799</v>
      </c>
      <c r="AD217" s="20">
        <v>40039</v>
      </c>
      <c r="AE217" s="20"/>
      <c r="AF217" s="20">
        <v>14471</v>
      </c>
      <c r="AG217" s="20"/>
      <c r="AH217" s="237">
        <f t="shared" si="276"/>
        <v>-1.79601759077969</v>
      </c>
      <c r="AJ217" s="24">
        <f t="shared" si="325"/>
        <v>-7.0170260931671669E-2</v>
      </c>
    </row>
    <row r="218" spans="1:36" ht="12" x14ac:dyDescent="0.2">
      <c r="B218" s="2" t="s">
        <v>57</v>
      </c>
      <c r="C218" s="1">
        <v>4526</v>
      </c>
      <c r="D218" s="1">
        <v>11089</v>
      </c>
      <c r="E218" s="1">
        <v>18789</v>
      </c>
      <c r="F218" s="1">
        <v>0</v>
      </c>
      <c r="G218" s="1">
        <v>7687</v>
      </c>
      <c r="H218" s="1">
        <v>16614</v>
      </c>
      <c r="I218" s="33">
        <v>25293</v>
      </c>
      <c r="K218" s="1">
        <v>9869</v>
      </c>
      <c r="L218" s="33">
        <v>18953</v>
      </c>
      <c r="M218" s="33">
        <v>28836</v>
      </c>
      <c r="O218" s="1">
        <v>8152</v>
      </c>
      <c r="P218" s="1">
        <v>16339</v>
      </c>
      <c r="Q218" s="1">
        <v>24593</v>
      </c>
      <c r="R218" s="1"/>
      <c r="S218" s="1">
        <v>8152</v>
      </c>
      <c r="T218" s="1"/>
      <c r="U218" s="1">
        <v>2818</v>
      </c>
      <c r="V218" s="1"/>
      <c r="X218" s="20">
        <v>11391</v>
      </c>
      <c r="Y218" s="20">
        <v>16851</v>
      </c>
      <c r="Z218" s="20">
        <v>17620</v>
      </c>
      <c r="AA218" s="20">
        <v>16905</v>
      </c>
      <c r="AB218" s="20">
        <v>25005</v>
      </c>
      <c r="AC218" s="20">
        <v>39190</v>
      </c>
      <c r="AD218" s="20">
        <v>38982</v>
      </c>
      <c r="AE218" s="20"/>
      <c r="AF218" s="20">
        <v>26245</v>
      </c>
      <c r="AG218" s="20"/>
      <c r="AH218" s="237">
        <f t="shared" si="276"/>
        <v>1.6264073193074546E-2</v>
      </c>
      <c r="AJ218" s="24">
        <f t="shared" si="325"/>
        <v>0.12663576085322426</v>
      </c>
    </row>
    <row r="219" spans="1:36" ht="12" x14ac:dyDescent="0.2">
      <c r="B219" s="2" t="s">
        <v>58</v>
      </c>
      <c r="C219" s="1">
        <v>0</v>
      </c>
      <c r="D219" s="1">
        <v>0</v>
      </c>
      <c r="E219" s="1">
        <v>0</v>
      </c>
      <c r="F219" s="1">
        <v>0</v>
      </c>
      <c r="G219" s="1">
        <v>0</v>
      </c>
      <c r="H219" s="1">
        <v>83</v>
      </c>
      <c r="I219" s="33">
        <v>933</v>
      </c>
      <c r="K219" s="1">
        <v>213</v>
      </c>
      <c r="L219" s="33">
        <v>-383</v>
      </c>
      <c r="M219" s="33">
        <v>2717</v>
      </c>
      <c r="O219" s="1">
        <v>0</v>
      </c>
      <c r="P219" s="1">
        <v>0</v>
      </c>
      <c r="Q219" s="1">
        <v>0</v>
      </c>
      <c r="R219" s="1"/>
      <c r="S219" s="1"/>
      <c r="T219" s="1"/>
      <c r="U219" s="1"/>
      <c r="V219" s="1"/>
      <c r="X219" s="20"/>
      <c r="Y219" s="20"/>
      <c r="Z219" s="20"/>
      <c r="AA219" s="20">
        <v>0</v>
      </c>
      <c r="AB219" s="20">
        <v>0</v>
      </c>
      <c r="AC219" s="20">
        <v>-1420</v>
      </c>
      <c r="AD219" s="20">
        <v>2717</v>
      </c>
      <c r="AE219" s="20"/>
      <c r="AF219" s="20">
        <v>-1125</v>
      </c>
      <c r="AG219" s="20"/>
      <c r="AH219" s="237" t="str">
        <f t="shared" si="276"/>
        <v/>
      </c>
      <c r="AJ219" s="24" t="str">
        <f t="shared" si="325"/>
        <v/>
      </c>
    </row>
    <row r="220" spans="1:36" ht="12" x14ac:dyDescent="0.2">
      <c r="B220" s="2" t="s">
        <v>59</v>
      </c>
      <c r="C220" s="1">
        <v>19220</v>
      </c>
      <c r="D220" s="1">
        <v>46599</v>
      </c>
      <c r="E220" s="1">
        <v>75816</v>
      </c>
      <c r="F220" s="1">
        <v>0</v>
      </c>
      <c r="G220" s="1">
        <v>27856</v>
      </c>
      <c r="H220" s="1">
        <v>52096</v>
      </c>
      <c r="I220" s="33">
        <v>79408</v>
      </c>
      <c r="K220" s="1">
        <v>24972</v>
      </c>
      <c r="L220" s="33">
        <v>73796</v>
      </c>
      <c r="M220" s="33">
        <v>99900</v>
      </c>
      <c r="O220" s="1">
        <v>24896</v>
      </c>
      <c r="P220" s="1">
        <v>49314</v>
      </c>
      <c r="Q220" s="1">
        <v>90154</v>
      </c>
      <c r="R220" s="1"/>
      <c r="S220" s="1">
        <v>24896</v>
      </c>
      <c r="T220" s="1"/>
      <c r="U220" s="1">
        <v>23431</v>
      </c>
      <c r="V220" s="1"/>
      <c r="X220" s="20">
        <v>38284</v>
      </c>
      <c r="Y220" s="20">
        <v>90405</v>
      </c>
      <c r="Z220" s="20">
        <v>73167</v>
      </c>
      <c r="AA220" s="20">
        <v>71808</v>
      </c>
      <c r="AB220" s="20">
        <v>109233</v>
      </c>
      <c r="AC220" s="20">
        <v>102997</v>
      </c>
      <c r="AD220" s="20">
        <v>124864</v>
      </c>
      <c r="AE220" s="20"/>
      <c r="AF220" s="20">
        <v>112960</v>
      </c>
      <c r="AG220" s="20"/>
      <c r="AH220" s="237">
        <f t="shared" si="276"/>
        <v>1.1246288757331246E-2</v>
      </c>
      <c r="AJ220" s="24">
        <f t="shared" si="325"/>
        <v>0.16715793017240754</v>
      </c>
    </row>
    <row r="221" spans="1:36" ht="12" x14ac:dyDescent="0.2">
      <c r="B221" s="6" t="s">
        <v>406</v>
      </c>
      <c r="C221" s="5"/>
      <c r="D221" s="5"/>
      <c r="E221" s="5"/>
      <c r="F221" s="5"/>
      <c r="G221" s="5"/>
      <c r="H221" s="5"/>
      <c r="I221" s="5"/>
      <c r="K221" s="5"/>
      <c r="L221" s="5"/>
      <c r="M221" s="5"/>
      <c r="O221" s="5"/>
      <c r="P221" s="5"/>
      <c r="Q221" s="5"/>
      <c r="R221" s="5"/>
      <c r="S221" s="5"/>
      <c r="T221" s="5"/>
      <c r="U221" s="5"/>
      <c r="V221" s="5"/>
      <c r="X221" s="24">
        <f>-X220/X$86</f>
        <v>-4.997663301298369E-2</v>
      </c>
      <c r="Y221" s="24">
        <f t="shared" ref="Y221:AF221" si="344">-Y220/Y$86</f>
        <v>-0.11542114898973779</v>
      </c>
      <c r="Z221" s="24">
        <f t="shared" si="344"/>
        <v>-0.1191286013171927</v>
      </c>
      <c r="AA221" s="24">
        <f t="shared" si="344"/>
        <v>-9.0890219884260784E-2</v>
      </c>
      <c r="AB221" s="24">
        <f t="shared" si="344"/>
        <v>-8.363077601532462E-2</v>
      </c>
      <c r="AC221" s="24">
        <f t="shared" si="344"/>
        <v>-8.1077783410530027E-2</v>
      </c>
      <c r="AD221" s="24">
        <f t="shared" si="344"/>
        <v>-8.3595271521946235E-2</v>
      </c>
      <c r="AE221" s="24"/>
      <c r="AF221" s="24">
        <f t="shared" si="344"/>
        <v>-0.11534404608860538</v>
      </c>
      <c r="AG221" s="116"/>
      <c r="AH221" s="237">
        <f t="shared" si="276"/>
        <v>0.11312264594774435</v>
      </c>
      <c r="AJ221" s="24">
        <f t="shared" ref="AJ221" si="345">IFERROR((AF221/X221)^(1/(2025-2018))-1,"")</f>
        <v>0.12691131911594056</v>
      </c>
    </row>
    <row r="222" spans="1:36" ht="12" x14ac:dyDescent="0.2">
      <c r="B222" s="2" t="s">
        <v>573</v>
      </c>
      <c r="C222" s="1"/>
      <c r="D222" s="1"/>
      <c r="E222" s="1"/>
      <c r="F222" s="1"/>
      <c r="G222" s="1"/>
      <c r="H222" s="1"/>
      <c r="I222" s="33"/>
      <c r="K222" s="1"/>
      <c r="L222" s="33"/>
      <c r="M222" s="33"/>
      <c r="O222" s="1"/>
      <c r="P222" s="1"/>
      <c r="Q222" s="1"/>
      <c r="R222" s="1"/>
      <c r="S222" s="1">
        <v>8</v>
      </c>
      <c r="T222" s="1"/>
      <c r="U222" s="1">
        <v>19</v>
      </c>
      <c r="V222" s="1"/>
      <c r="X222" s="20"/>
      <c r="Y222" s="20"/>
      <c r="Z222" s="20"/>
      <c r="AA222" s="20"/>
      <c r="AB222" s="20"/>
      <c r="AC222" s="20"/>
      <c r="AD222" s="20"/>
      <c r="AE222" s="20"/>
      <c r="AF222" s="20"/>
      <c r="AG222" s="20"/>
      <c r="AH222" s="237"/>
      <c r="AJ222" s="24"/>
    </row>
    <row r="223" spans="1:36" ht="12" x14ac:dyDescent="0.2">
      <c r="B223" s="2" t="s">
        <v>574</v>
      </c>
      <c r="C223" s="1"/>
      <c r="D223" s="1"/>
      <c r="E223" s="1"/>
      <c r="F223" s="1"/>
      <c r="G223" s="1"/>
      <c r="H223" s="1"/>
      <c r="I223" s="33"/>
      <c r="K223" s="1"/>
      <c r="L223" s="33"/>
      <c r="M223" s="33"/>
      <c r="O223" s="1"/>
      <c r="P223" s="1"/>
      <c r="Q223" s="1"/>
      <c r="R223" s="1"/>
      <c r="S223" s="1">
        <v>0</v>
      </c>
      <c r="T223" s="1"/>
      <c r="U223" s="1">
        <v>32</v>
      </c>
      <c r="V223" s="1"/>
      <c r="X223" s="20"/>
      <c r="Y223" s="20"/>
      <c r="Z223" s="20"/>
      <c r="AA223" s="20"/>
      <c r="AB223" s="20"/>
      <c r="AC223" s="20"/>
      <c r="AD223" s="20"/>
      <c r="AE223" s="20"/>
      <c r="AF223" s="20"/>
      <c r="AG223" s="20"/>
      <c r="AH223" s="237"/>
      <c r="AJ223" s="24"/>
    </row>
    <row r="224" spans="1:36" ht="12" x14ac:dyDescent="0.2">
      <c r="B224" s="2" t="s">
        <v>108</v>
      </c>
      <c r="C224" s="1"/>
      <c r="D224" s="1"/>
      <c r="E224" s="1"/>
      <c r="F224" s="1"/>
      <c r="G224" s="1"/>
      <c r="H224" s="1"/>
      <c r="I224" s="33">
        <v>0</v>
      </c>
      <c r="K224" s="1">
        <v>0</v>
      </c>
      <c r="L224" s="33"/>
      <c r="M224" s="33"/>
      <c r="O224" s="1"/>
      <c r="P224" s="1"/>
      <c r="Q224" s="1"/>
      <c r="R224" s="1"/>
      <c r="S224" s="1"/>
      <c r="T224" s="1"/>
      <c r="U224" s="1"/>
      <c r="V224" s="1"/>
      <c r="X224" s="20">
        <v>-3291</v>
      </c>
      <c r="Y224" s="20"/>
      <c r="Z224" s="20"/>
      <c r="AA224" s="20">
        <v>-705</v>
      </c>
      <c r="AB224" s="20">
        <v>0</v>
      </c>
      <c r="AC224" s="20">
        <v>-1091</v>
      </c>
      <c r="AD224" s="20">
        <v>0</v>
      </c>
      <c r="AE224" s="20"/>
      <c r="AF224" s="20">
        <v>0</v>
      </c>
      <c r="AG224" s="20"/>
      <c r="AH224" s="237" t="str">
        <f t="shared" si="276"/>
        <v/>
      </c>
      <c r="AJ224" s="24">
        <f t="shared" si="325"/>
        <v>-1</v>
      </c>
    </row>
    <row r="225" spans="2:37" ht="12" x14ac:dyDescent="0.2">
      <c r="B225" s="2" t="s">
        <v>109</v>
      </c>
      <c r="C225" s="1"/>
      <c r="D225" s="1"/>
      <c r="E225" s="1"/>
      <c r="F225" s="1"/>
      <c r="G225" s="1"/>
      <c r="H225" s="1"/>
      <c r="I225" s="33">
        <v>0</v>
      </c>
      <c r="K225" s="1"/>
      <c r="L225" s="33"/>
      <c r="M225" s="33">
        <v>1346</v>
      </c>
      <c r="O225" s="1"/>
      <c r="P225" s="1"/>
      <c r="Q225" s="1"/>
      <c r="R225" s="1"/>
      <c r="S225" s="1"/>
      <c r="T225" s="1"/>
      <c r="U225" s="1"/>
      <c r="V225" s="1"/>
      <c r="X225" s="20"/>
      <c r="Y225" s="20"/>
      <c r="Z225" s="20"/>
      <c r="AA225" s="20">
        <v>-445</v>
      </c>
      <c r="AB225" s="20">
        <v>0</v>
      </c>
      <c r="AC225" s="20">
        <v>0</v>
      </c>
      <c r="AD225" s="20">
        <v>1346</v>
      </c>
      <c r="AE225" s="20"/>
      <c r="AF225" s="20">
        <v>649</v>
      </c>
      <c r="AG225" s="20"/>
      <c r="AH225" s="237" t="str">
        <f t="shared" si="276"/>
        <v/>
      </c>
      <c r="AJ225" s="24" t="str">
        <f t="shared" si="325"/>
        <v/>
      </c>
    </row>
    <row r="226" spans="2:37" ht="12" x14ac:dyDescent="0.2">
      <c r="B226" s="2" t="s">
        <v>60</v>
      </c>
      <c r="C226" s="1">
        <v>337</v>
      </c>
      <c r="D226" s="1">
        <v>413</v>
      </c>
      <c r="E226" s="1">
        <v>392</v>
      </c>
      <c r="F226" s="1">
        <v>0</v>
      </c>
      <c r="G226" s="1">
        <v>136</v>
      </c>
      <c r="H226" s="1">
        <v>470</v>
      </c>
      <c r="I226" s="33">
        <v>481</v>
      </c>
      <c r="K226" s="1">
        <v>-57</v>
      </c>
      <c r="L226" s="33">
        <v>-53</v>
      </c>
      <c r="M226" s="33">
        <v>-68</v>
      </c>
      <c r="O226" s="1">
        <v>8</v>
      </c>
      <c r="P226" s="1">
        <v>467</v>
      </c>
      <c r="Q226" s="1">
        <v>601</v>
      </c>
      <c r="R226" s="1"/>
      <c r="S226" s="1"/>
      <c r="T226" s="1"/>
      <c r="U226" s="1"/>
      <c r="V226" s="1"/>
      <c r="X226" s="44">
        <f>-91+937</f>
        <v>846</v>
      </c>
      <c r="Y226" s="44">
        <f>-30+3162</f>
        <v>3132</v>
      </c>
      <c r="Z226" s="44">
        <f>49+443</f>
        <v>492</v>
      </c>
      <c r="AA226" s="20">
        <v>259</v>
      </c>
      <c r="AB226" s="20">
        <v>-8667</v>
      </c>
      <c r="AC226" s="20">
        <v>447</v>
      </c>
      <c r="AD226" s="20">
        <v>306</v>
      </c>
      <c r="AE226" s="20"/>
      <c r="AF226" s="20">
        <v>-30</v>
      </c>
      <c r="AG226" s="20"/>
      <c r="AH226" s="237">
        <f t="shared" si="276"/>
        <v>-0.84873069227286946</v>
      </c>
      <c r="AJ226" s="24">
        <f t="shared" si="325"/>
        <v>-1.6206139823491794</v>
      </c>
    </row>
    <row r="227" spans="2:37" ht="14.25" x14ac:dyDescent="0.35">
      <c r="B227" s="2" t="s">
        <v>61</v>
      </c>
      <c r="C227" s="3">
        <v>-511</v>
      </c>
      <c r="D227" s="3">
        <v>-12665</v>
      </c>
      <c r="E227" s="3">
        <v>-14848</v>
      </c>
      <c r="F227" s="3">
        <v>0</v>
      </c>
      <c r="G227" s="3">
        <v>-1245</v>
      </c>
      <c r="H227" s="3">
        <v>2672</v>
      </c>
      <c r="I227" s="38">
        <v>3437</v>
      </c>
      <c r="K227" s="3">
        <v>-3454</v>
      </c>
      <c r="L227" s="15">
        <v>-1312</v>
      </c>
      <c r="M227" s="38">
        <f>-103+5375</f>
        <v>5272</v>
      </c>
      <c r="O227" s="3">
        <v>5666</v>
      </c>
      <c r="P227" s="3">
        <v>27079</v>
      </c>
      <c r="Q227" s="3">
        <f>-30+33928</f>
        <v>33898</v>
      </c>
      <c r="R227" s="3"/>
      <c r="S227" s="3">
        <v>5666</v>
      </c>
      <c r="T227" s="3"/>
      <c r="U227" s="3">
        <v>299</v>
      </c>
      <c r="V227" s="3"/>
      <c r="X227" s="21">
        <v>-7363</v>
      </c>
      <c r="Y227" s="21">
        <v>-8095</v>
      </c>
      <c r="Z227" s="21">
        <v>14578</v>
      </c>
      <c r="AA227" s="21">
        <f>-3440+4231</f>
        <v>791</v>
      </c>
      <c r="AB227" s="59">
        <f>-10203-16850+10107</f>
        <v>-16946</v>
      </c>
      <c r="AC227" s="21">
        <v>12140</v>
      </c>
      <c r="AD227" s="22">
        <f>-103-44633</f>
        <v>-44736</v>
      </c>
      <c r="AE227" s="22"/>
      <c r="AF227" s="21">
        <v>34190</v>
      </c>
      <c r="AG227" s="21"/>
      <c r="AH227" s="237">
        <f t="shared" si="276"/>
        <v>-2.2636029551584751</v>
      </c>
      <c r="AJ227" s="24">
        <f t="shared" si="325"/>
        <v>-2.2452698449007826</v>
      </c>
    </row>
    <row r="228" spans="2:37" ht="12" x14ac:dyDescent="0.2">
      <c r="B228" s="6" t="s">
        <v>62</v>
      </c>
      <c r="C228" s="5">
        <f>SUM(C217:C227)</f>
        <v>17190</v>
      </c>
      <c r="D228" s="5">
        <f>SUM(D217:D227)</f>
        <v>19961</v>
      </c>
      <c r="E228" s="5">
        <f t="shared" ref="E228" si="346">SUM(E217:E227)</f>
        <v>31579</v>
      </c>
      <c r="F228" s="5">
        <f>SUM(F217:F227)</f>
        <v>0</v>
      </c>
      <c r="G228" s="5">
        <f>SUM(G217:G227)</f>
        <v>16049</v>
      </c>
      <c r="H228" s="5">
        <f>SUM(H217:H227)</f>
        <v>47837</v>
      </c>
      <c r="I228" s="5">
        <f>SUM(I217:I227)</f>
        <v>78196</v>
      </c>
      <c r="K228" s="5">
        <f>SUM(K217:K227)</f>
        <v>34987</v>
      </c>
      <c r="L228" s="5">
        <f>SUM(L217:L227)</f>
        <v>76292</v>
      </c>
      <c r="M228" s="5">
        <f>SUM(M217:M227)</f>
        <v>114726</v>
      </c>
      <c r="O228" s="5">
        <f>SUM(O217:O227)</f>
        <v>44595</v>
      </c>
      <c r="P228" s="36">
        <f>SUM(P217:P227)</f>
        <v>97912</v>
      </c>
      <c r="Q228" s="36">
        <f>SUM(Q217:Q227)</f>
        <v>142796</v>
      </c>
      <c r="R228" s="36"/>
      <c r="S228" s="36">
        <f>SUM(S217:S227)</f>
        <v>44595</v>
      </c>
      <c r="T228" s="36"/>
      <c r="U228" s="36">
        <f>SUM(U217:U227)</f>
        <v>37607</v>
      </c>
      <c r="V228" s="36"/>
      <c r="X228" s="5">
        <f t="shared" ref="X228" si="347">SUM(X217:X227)</f>
        <v>63947.950023366982</v>
      </c>
      <c r="Y228" s="5">
        <f>SUM(Y217:Y227)</f>
        <v>79849.884578851008</v>
      </c>
      <c r="Z228" s="5">
        <f>SUM(Z217:Z227)</f>
        <v>44670.88087139868</v>
      </c>
      <c r="AA228" s="5">
        <f>SUM(AA217:AA227)</f>
        <v>45155.909109780114</v>
      </c>
      <c r="AB228" s="5">
        <f t="shared" ref="AB228" si="348">SUM(AB217:AB227)</f>
        <v>79934.916369223982</v>
      </c>
      <c r="AC228" s="5">
        <f>SUM(AC217:AC227)</f>
        <v>100463.91892221659</v>
      </c>
      <c r="AD228" s="5">
        <f>SUM(AD217:AD227)</f>
        <v>163517.91640472849</v>
      </c>
      <c r="AE228" s="5"/>
      <c r="AF228" s="5">
        <f>SUM(AF217:AF227)</f>
        <v>187359.88465595391</v>
      </c>
      <c r="AG228" s="5"/>
      <c r="AH228" s="237">
        <f t="shared" si="276"/>
        <v>0.32835257452162803</v>
      </c>
      <c r="AJ228" s="24">
        <f t="shared" si="325"/>
        <v>0.16598470836685797</v>
      </c>
    </row>
    <row r="229" spans="2:37" ht="12" x14ac:dyDescent="0.2">
      <c r="B229" s="2" t="s">
        <v>27</v>
      </c>
      <c r="C229" s="1">
        <v>-34330</v>
      </c>
      <c r="D229" s="1">
        <v>-52648</v>
      </c>
      <c r="E229" s="1">
        <v>-58353</v>
      </c>
      <c r="F229" s="1">
        <v>0</v>
      </c>
      <c r="G229" s="1">
        <v>-14223</v>
      </c>
      <c r="H229" s="1">
        <v>-8562</v>
      </c>
      <c r="I229" s="33">
        <v>-19490</v>
      </c>
      <c r="J229" s="5"/>
      <c r="K229" s="1">
        <v>-11136</v>
      </c>
      <c r="L229" s="33">
        <v>-48661</v>
      </c>
      <c r="M229" s="33">
        <v>-42728</v>
      </c>
      <c r="O229" s="1">
        <v>-426</v>
      </c>
      <c r="P229" s="1">
        <v>5449</v>
      </c>
      <c r="Q229" s="1">
        <v>21536</v>
      </c>
      <c r="R229" s="1"/>
      <c r="S229" s="1">
        <v>-426</v>
      </c>
      <c r="T229" s="1"/>
      <c r="U229" s="1">
        <v>-21542</v>
      </c>
      <c r="V229" s="1"/>
      <c r="X229" s="20">
        <v>-595</v>
      </c>
      <c r="Y229" s="20">
        <v>-34699</v>
      </c>
      <c r="Z229" s="20">
        <v>-1726</v>
      </c>
      <c r="AA229" s="20">
        <v>-49444</v>
      </c>
      <c r="AB229" s="20">
        <v>-39990</v>
      </c>
      <c r="AC229" s="20">
        <v>-11163</v>
      </c>
      <c r="AD229" s="20">
        <v>-51561</v>
      </c>
      <c r="AE229" s="20"/>
      <c r="AF229" s="20">
        <v>40486</v>
      </c>
      <c r="AG229" s="20"/>
      <c r="AH229" s="237">
        <f t="shared" si="276"/>
        <v>-2.0041173907512198</v>
      </c>
      <c r="AJ229" s="24">
        <f t="shared" si="325"/>
        <v>-2.8273714843501363</v>
      </c>
    </row>
    <row r="230" spans="2:37" ht="12" x14ac:dyDescent="0.2">
      <c r="B230" s="2" t="s">
        <v>63</v>
      </c>
      <c r="C230" s="1">
        <v>-37860</v>
      </c>
      <c r="D230" s="1">
        <v>-70093</v>
      </c>
      <c r="E230" s="1">
        <v>-90508</v>
      </c>
      <c r="F230" s="1">
        <v>0</v>
      </c>
      <c r="G230" s="1">
        <v>-24277</v>
      </c>
      <c r="H230" s="1">
        <v>-40532</v>
      </c>
      <c r="I230" s="2">
        <v>-16478</v>
      </c>
      <c r="K230" s="1">
        <v>-15275</v>
      </c>
      <c r="L230" s="33">
        <v>-16930</v>
      </c>
      <c r="M230" s="2">
        <v>-18185</v>
      </c>
      <c r="O230" s="1">
        <v>-15622</v>
      </c>
      <c r="P230" s="1">
        <v>-33987</v>
      </c>
      <c r="Q230" s="1">
        <v>-29570</v>
      </c>
      <c r="R230" s="1"/>
      <c r="S230" s="1">
        <v>-15622</v>
      </c>
      <c r="T230" s="1"/>
      <c r="U230" s="1">
        <v>-24465</v>
      </c>
      <c r="V230" s="1"/>
      <c r="X230" s="20">
        <v>-18942</v>
      </c>
      <c r="Y230" s="20">
        <v>-8759</v>
      </c>
      <c r="Z230" s="20">
        <v>12309</v>
      </c>
      <c r="AA230" s="20">
        <v>-42677</v>
      </c>
      <c r="AB230" s="20">
        <v>-25169</v>
      </c>
      <c r="AC230" s="20">
        <v>17732</v>
      </c>
      <c r="AD230" s="20">
        <v>4468</v>
      </c>
      <c r="AE230" s="20"/>
      <c r="AF230" s="20">
        <v>-21316</v>
      </c>
      <c r="AG230" s="20"/>
      <c r="AH230" s="237">
        <f t="shared" si="276"/>
        <v>-5.387921467091572E-2</v>
      </c>
      <c r="AJ230" s="24">
        <f t="shared" si="325"/>
        <v>1.7011109502176103E-2</v>
      </c>
    </row>
    <row r="231" spans="2:37" ht="12" x14ac:dyDescent="0.2">
      <c r="B231" s="2" t="s">
        <v>252</v>
      </c>
      <c r="C231" s="1">
        <v>18713</v>
      </c>
      <c r="D231" s="1">
        <v>53649</v>
      </c>
      <c r="E231" s="1">
        <v>47529</v>
      </c>
      <c r="F231" s="1">
        <v>0</v>
      </c>
      <c r="G231" s="1">
        <v>-53774</v>
      </c>
      <c r="H231" s="1">
        <v>-33216</v>
      </c>
      <c r="I231" s="33">
        <v>-33459</v>
      </c>
      <c r="K231" s="1">
        <v>-24993</v>
      </c>
      <c r="L231" s="33">
        <v>-11286</v>
      </c>
      <c r="M231" s="33">
        <v>-15332</v>
      </c>
      <c r="O231" s="1">
        <v>-32801</v>
      </c>
      <c r="P231" s="1">
        <v>-24598</v>
      </c>
      <c r="Q231" s="1">
        <v>-39712</v>
      </c>
      <c r="R231" s="1"/>
      <c r="S231" s="1">
        <v>-32801</v>
      </c>
      <c r="T231" s="1"/>
      <c r="U231" s="1">
        <v>13361</v>
      </c>
      <c r="V231" s="1"/>
      <c r="X231" s="20">
        <v>-7935</v>
      </c>
      <c r="Y231" s="20">
        <v>55582</v>
      </c>
      <c r="Z231" s="20">
        <v>-28723</v>
      </c>
      <c r="AA231" s="20">
        <v>22970</v>
      </c>
      <c r="AB231" s="20">
        <v>110955</v>
      </c>
      <c r="AC231" s="20">
        <v>17562</v>
      </c>
      <c r="AD231" s="20">
        <v>8019</v>
      </c>
      <c r="AE231" s="20"/>
      <c r="AF231" s="20">
        <v>-27321</v>
      </c>
      <c r="AG231" s="20"/>
      <c r="AH231" s="237">
        <f t="shared" si="276"/>
        <v>-1.6267820798449892</v>
      </c>
      <c r="AJ231" s="24">
        <f t="shared" si="325"/>
        <v>0.19318310230527058</v>
      </c>
    </row>
    <row r="232" spans="2:37" ht="14.25" x14ac:dyDescent="0.35">
      <c r="B232" s="2" t="s">
        <v>64</v>
      </c>
      <c r="C232" s="3">
        <v>-842</v>
      </c>
      <c r="D232" s="3">
        <v>-1507</v>
      </c>
      <c r="E232" s="3">
        <v>11182</v>
      </c>
      <c r="F232" s="3">
        <v>0</v>
      </c>
      <c r="G232" s="3">
        <v>-165</v>
      </c>
      <c r="H232" s="3">
        <v>-1549</v>
      </c>
      <c r="I232" s="15">
        <v>-1799</v>
      </c>
      <c r="K232" s="3">
        <v>1001</v>
      </c>
      <c r="L232" s="15">
        <v>3</v>
      </c>
      <c r="M232" s="15">
        <v>-471</v>
      </c>
      <c r="O232" s="3">
        <v>-587</v>
      </c>
      <c r="P232" s="3">
        <v>-1621</v>
      </c>
      <c r="Q232" s="3">
        <v>-1402</v>
      </c>
      <c r="R232" s="3"/>
      <c r="S232" s="3">
        <v>-587</v>
      </c>
      <c r="T232" s="3"/>
      <c r="U232" s="3">
        <v>-687</v>
      </c>
      <c r="V232" s="3"/>
      <c r="X232" s="21">
        <v>10680</v>
      </c>
      <c r="Y232" s="21">
        <v>13698</v>
      </c>
      <c r="Z232" s="21">
        <v>-14387</v>
      </c>
      <c r="AA232" s="21">
        <v>-654</v>
      </c>
      <c r="AB232" s="21">
        <v>12353</v>
      </c>
      <c r="AC232" s="21">
        <v>-1333</v>
      </c>
      <c r="AD232" s="21">
        <v>-366</v>
      </c>
      <c r="AE232" s="21"/>
      <c r="AF232" s="21">
        <v>-3682</v>
      </c>
      <c r="AG232" s="21"/>
      <c r="AH232" s="237">
        <f t="shared" ref="AH232:AH298" si="349">IFERROR(((AF232/AB232))^(1/(2025-2022))-1,"")</f>
        <v>-1.6679907483960374</v>
      </c>
      <c r="AJ232" s="24">
        <f t="shared" si="325"/>
        <v>-1.8588757912322242</v>
      </c>
    </row>
    <row r="233" spans="2:37" ht="12" x14ac:dyDescent="0.2">
      <c r="B233" s="6" t="s">
        <v>65</v>
      </c>
      <c r="C233" s="5">
        <f>SUM(C229:C232)</f>
        <v>-54319</v>
      </c>
      <c r="D233" s="5">
        <f>SUM(D229:D232)</f>
        <v>-70599</v>
      </c>
      <c r="E233" s="5">
        <f t="shared" ref="E233" si="350">SUM(E229:E232)</f>
        <v>-90150</v>
      </c>
      <c r="F233" s="5">
        <f>SUM(F229:F232)</f>
        <v>0</v>
      </c>
      <c r="G233" s="5">
        <f>SUM(G229:G232)</f>
        <v>-92439</v>
      </c>
      <c r="H233" s="5">
        <f>SUM(H229:H232)</f>
        <v>-83859</v>
      </c>
      <c r="I233" s="5">
        <f>SUM(I229:I232)</f>
        <v>-71226</v>
      </c>
      <c r="K233" s="5">
        <f>SUM(K229:K232)</f>
        <v>-50403</v>
      </c>
      <c r="L233" s="5">
        <f>SUM(L229:L232)</f>
        <v>-76874</v>
      </c>
      <c r="M233" s="5">
        <f>SUM(M229:M232)</f>
        <v>-76716</v>
      </c>
      <c r="O233" s="5">
        <f>SUM(O229:O232)</f>
        <v>-49436</v>
      </c>
      <c r="P233" s="5">
        <f>SUM(P229:P232)</f>
        <v>-54757</v>
      </c>
      <c r="Q233" s="5">
        <f>SUM(Q229:Q232)</f>
        <v>-49148</v>
      </c>
      <c r="R233" s="5"/>
      <c r="S233" s="5">
        <f>SUM(S229:S232)</f>
        <v>-49436</v>
      </c>
      <c r="T233" s="5"/>
      <c r="U233" s="5">
        <f>SUM(U229:U232)</f>
        <v>-33333</v>
      </c>
      <c r="V233" s="5"/>
      <c r="X233" s="5">
        <f t="shared" ref="X233" si="351">SUM(X229:X232)</f>
        <v>-16792</v>
      </c>
      <c r="Y233" s="5">
        <f>SUM(Y229:Y232)</f>
        <v>25822</v>
      </c>
      <c r="Z233" s="5">
        <f>SUM(Z229:Z232)</f>
        <v>-32527</v>
      </c>
      <c r="AA233" s="5">
        <f>SUM(AA229:AA232)</f>
        <v>-69805</v>
      </c>
      <c r="AB233" s="5">
        <f t="shared" ref="AB233" si="352">SUM(AB229:AB232)</f>
        <v>58149</v>
      </c>
      <c r="AC233" s="5">
        <f>SUM(AC229:AC232)</f>
        <v>22798</v>
      </c>
      <c r="AD233" s="5">
        <f>SUM(AD229:AD232)</f>
        <v>-39440</v>
      </c>
      <c r="AE233" s="5"/>
      <c r="AF233" s="5">
        <f>SUM(AF229:AF232)</f>
        <v>-11833</v>
      </c>
      <c r="AG233" s="5"/>
      <c r="AH233" s="237">
        <f t="shared" si="349"/>
        <v>-1.5881898663967038</v>
      </c>
      <c r="AJ233" s="24">
        <f t="shared" si="325"/>
        <v>-4.8771981159308031E-2</v>
      </c>
    </row>
    <row r="234" spans="2:37" ht="12" x14ac:dyDescent="0.2">
      <c r="B234" s="6" t="s">
        <v>406</v>
      </c>
      <c r="C234" s="5"/>
      <c r="D234" s="5"/>
      <c r="E234" s="5"/>
      <c r="F234" s="5"/>
      <c r="G234" s="5"/>
      <c r="H234" s="5"/>
      <c r="I234" s="5"/>
      <c r="K234" s="5"/>
      <c r="L234" s="5"/>
      <c r="M234" s="5"/>
      <c r="O234" s="5"/>
      <c r="P234" s="5"/>
      <c r="Q234" s="5"/>
      <c r="R234" s="5"/>
      <c r="S234" s="5"/>
      <c r="T234" s="5"/>
      <c r="U234" s="5"/>
      <c r="V234" s="5"/>
      <c r="X234" s="24">
        <f>-X233/X$86</f>
        <v>2.1920583574183004E-2</v>
      </c>
      <c r="Y234" s="24">
        <f t="shared" ref="Y234:AF234" si="353">-Y233/Y$86</f>
        <v>-3.2967257443869358E-2</v>
      </c>
      <c r="Z234" s="24">
        <f t="shared" si="353"/>
        <v>5.2959613145876244E-2</v>
      </c>
      <c r="AA234" s="24">
        <f t="shared" si="353"/>
        <v>8.8354943725223151E-2</v>
      </c>
      <c r="AB234" s="24">
        <f t="shared" si="353"/>
        <v>-4.4519934401830136E-2</v>
      </c>
      <c r="AC234" s="24">
        <f t="shared" si="353"/>
        <v>-1.7946263543532952E-2</v>
      </c>
      <c r="AD234" s="24">
        <f t="shared" si="353"/>
        <v>2.6404708393336425E-2</v>
      </c>
      <c r="AE234" s="24"/>
      <c r="AF234" s="24">
        <f t="shared" si="353"/>
        <v>1.2082738114079918E-2</v>
      </c>
      <c r="AG234" s="116"/>
      <c r="AH234" s="237">
        <f t="shared" si="349"/>
        <v>-1.6474460946677096</v>
      </c>
      <c r="AJ234" s="24">
        <f t="shared" si="325"/>
        <v>-8.1572772817931183E-2</v>
      </c>
    </row>
    <row r="235" spans="2:37" ht="14.25" x14ac:dyDescent="0.35">
      <c r="B235" s="2" t="s">
        <v>66</v>
      </c>
      <c r="C235" s="1">
        <v>-310</v>
      </c>
      <c r="D235" s="1">
        <v>-1542</v>
      </c>
      <c r="E235" s="1">
        <v>-1876</v>
      </c>
      <c r="F235" s="1">
        <v>0</v>
      </c>
      <c r="G235" s="1">
        <v>-14</v>
      </c>
      <c r="H235" s="1">
        <v>-956</v>
      </c>
      <c r="I235" s="33">
        <v>403</v>
      </c>
      <c r="K235" s="1">
        <v>-409</v>
      </c>
      <c r="L235" s="33">
        <v>-3606</v>
      </c>
      <c r="M235" s="33">
        <v>-6286</v>
      </c>
      <c r="O235" s="1">
        <v>-563</v>
      </c>
      <c r="P235" s="1">
        <v>-4632</v>
      </c>
      <c r="Q235" s="1">
        <v>-6522</v>
      </c>
      <c r="R235" s="1"/>
      <c r="S235" s="3">
        <v>-563</v>
      </c>
      <c r="T235" s="1"/>
      <c r="U235" s="3">
        <v>-2881</v>
      </c>
      <c r="V235" s="1"/>
      <c r="X235" s="21">
        <v>-6159</v>
      </c>
      <c r="Y235" s="21">
        <v>-4260</v>
      </c>
      <c r="Z235" s="21">
        <v>-2804</v>
      </c>
      <c r="AA235" s="21">
        <v>-3188</v>
      </c>
      <c r="AB235" s="21">
        <v>-6688</v>
      </c>
      <c r="AC235" s="21">
        <v>836</v>
      </c>
      <c r="AD235" s="21">
        <v>-5939</v>
      </c>
      <c r="AE235" s="21"/>
      <c r="AF235" s="21">
        <v>-8001</v>
      </c>
      <c r="AG235" s="21"/>
      <c r="AH235" s="237">
        <f t="shared" si="349"/>
        <v>6.1571707313770485E-2</v>
      </c>
      <c r="AJ235" s="24">
        <f t="shared" si="325"/>
        <v>3.8086248624132901E-2</v>
      </c>
    </row>
    <row r="236" spans="2:37" s="13" customFormat="1" ht="12" x14ac:dyDescent="0.2">
      <c r="B236" s="4" t="s">
        <v>67</v>
      </c>
      <c r="C236" s="18">
        <f>C228+C233+C235</f>
        <v>-37439</v>
      </c>
      <c r="D236" s="18">
        <f>D228+D233+D235</f>
        <v>-52180</v>
      </c>
      <c r="E236" s="18">
        <f t="shared" ref="E236" si="354">E228+E233+E235</f>
        <v>-60447</v>
      </c>
      <c r="F236" s="18">
        <f>F228+F233+F235</f>
        <v>0</v>
      </c>
      <c r="G236" s="18">
        <f>G228+G233+G235</f>
        <v>-76404</v>
      </c>
      <c r="H236" s="18">
        <f>H228+H233+H235</f>
        <v>-36978</v>
      </c>
      <c r="I236" s="18">
        <f>I228+I233+I235</f>
        <v>7373</v>
      </c>
      <c r="K236" s="18">
        <f>K228+K233+K235</f>
        <v>-15825</v>
      </c>
      <c r="L236" s="18">
        <f>L228+L233+L235</f>
        <v>-4188</v>
      </c>
      <c r="M236" s="18">
        <f>M228+M233+M235</f>
        <v>31724</v>
      </c>
      <c r="O236" s="18">
        <f>O228+O233+O235</f>
        <v>-5404</v>
      </c>
      <c r="P236" s="18">
        <f>P228+P233+P235</f>
        <v>38523</v>
      </c>
      <c r="Q236" s="18">
        <f>Q228+Q233+Q235</f>
        <v>87126</v>
      </c>
      <c r="R236" s="18"/>
      <c r="S236" s="18">
        <f t="shared" ref="S236:U236" si="355">S228+S233+S235</f>
        <v>-5404</v>
      </c>
      <c r="T236" s="18"/>
      <c r="U236" s="18">
        <f t="shared" si="355"/>
        <v>1393</v>
      </c>
      <c r="V236" s="18"/>
      <c r="X236" s="18">
        <f t="shared" ref="X236" si="356">X228+X233+X235</f>
        <v>40996.950023366982</v>
      </c>
      <c r="Y236" s="18">
        <f>Y228+Y233+Y235</f>
        <v>101411.88457885101</v>
      </c>
      <c r="Z236" s="18">
        <f>Z228+Z233+Z235</f>
        <v>9339.88087139868</v>
      </c>
      <c r="AA236" s="18">
        <f>AA228+AA233+AA235</f>
        <v>-27837.090890219886</v>
      </c>
      <c r="AB236" s="18">
        <f t="shared" ref="AB236" si="357">AB228+AB233+AB235</f>
        <v>131395.91636922397</v>
      </c>
      <c r="AC236" s="18">
        <f>AC228+AC233+AC235</f>
        <v>124097.91892221659</v>
      </c>
      <c r="AD236" s="18">
        <f>AD228+AD233+AD235</f>
        <v>118138.91640472849</v>
      </c>
      <c r="AE236" s="18"/>
      <c r="AF236" s="18">
        <f>AF228+AF233+AF235</f>
        <v>167525.88465595391</v>
      </c>
      <c r="AG236" s="18"/>
      <c r="AH236" s="237">
        <f t="shared" si="349"/>
        <v>8.4343009391786294E-2</v>
      </c>
      <c r="AI236" s="24" t="e">
        <f>((AF236/AA236)^(1/(2025-2021)))-1</f>
        <v>#NUM!</v>
      </c>
      <c r="AJ236" s="24">
        <f t="shared" si="325"/>
        <v>0.22273659476139929</v>
      </c>
      <c r="AK236" s="62"/>
    </row>
    <row r="237" spans="2:37" ht="12" x14ac:dyDescent="0.2">
      <c r="B237" s="2" t="s">
        <v>68</v>
      </c>
      <c r="C237" s="1">
        <v>-62471</v>
      </c>
      <c r="D237" s="1">
        <v>-62475</v>
      </c>
      <c r="E237" s="1">
        <v>-91990</v>
      </c>
      <c r="F237" s="1">
        <v>0</v>
      </c>
      <c r="G237" s="1">
        <v>-168</v>
      </c>
      <c r="H237" s="1">
        <v>-170</v>
      </c>
      <c r="I237" s="33">
        <v>-195</v>
      </c>
      <c r="K237" s="1">
        <v>-1481</v>
      </c>
      <c r="L237" s="33">
        <v>-2260</v>
      </c>
      <c r="M237" s="33">
        <v>-824</v>
      </c>
      <c r="O237" s="1">
        <v>-1500</v>
      </c>
      <c r="P237" s="1">
        <v>-1500</v>
      </c>
      <c r="Q237" s="1">
        <v>-29782</v>
      </c>
      <c r="R237" s="1"/>
      <c r="S237" s="1">
        <v>-1500</v>
      </c>
      <c r="T237" s="1"/>
      <c r="U237" s="1">
        <v>0</v>
      </c>
      <c r="V237" s="1"/>
      <c r="X237" s="20">
        <v>25532</v>
      </c>
      <c r="Y237" s="20">
        <v>-17309</v>
      </c>
      <c r="Z237" s="20">
        <v>-584</v>
      </c>
      <c r="AA237" s="20">
        <v>-4321</v>
      </c>
      <c r="AB237" s="20">
        <v>-91135</v>
      </c>
      <c r="AC237" s="20">
        <v>-190</v>
      </c>
      <c r="AD237" s="20">
        <v>-1014</v>
      </c>
      <c r="AE237" s="20"/>
      <c r="AF237" s="20">
        <v>-29782</v>
      </c>
      <c r="AG237" s="20"/>
      <c r="AH237" s="237">
        <f t="shared" si="349"/>
        <v>-0.31120568530947368</v>
      </c>
      <c r="AJ237" s="24">
        <f t="shared" si="325"/>
        <v>-2.0222396395393911</v>
      </c>
    </row>
    <row r="238" spans="2:37" ht="12" x14ac:dyDescent="0.2">
      <c r="B238" s="2" t="s">
        <v>110</v>
      </c>
      <c r="C238" s="1">
        <v>-21757</v>
      </c>
      <c r="D238" s="1">
        <v>0</v>
      </c>
      <c r="E238" s="1">
        <v>1002</v>
      </c>
      <c r="F238" s="1">
        <v>0</v>
      </c>
      <c r="G238" s="1">
        <v>0</v>
      </c>
      <c r="H238" s="1">
        <v>0</v>
      </c>
      <c r="I238" s="33">
        <v>0</v>
      </c>
      <c r="K238" s="1">
        <v>1000</v>
      </c>
      <c r="L238" s="33">
        <v>1000</v>
      </c>
      <c r="M238" s="33">
        <v>1000</v>
      </c>
      <c r="O238" s="1">
        <v>0</v>
      </c>
      <c r="P238" s="1">
        <v>0</v>
      </c>
      <c r="Q238" s="1"/>
      <c r="R238" s="1"/>
      <c r="S238" s="1">
        <v>0</v>
      </c>
      <c r="T238" s="1"/>
      <c r="U238" s="1">
        <v>1969</v>
      </c>
      <c r="V238" s="1"/>
      <c r="X238" s="20"/>
      <c r="Y238" s="20"/>
      <c r="Z238" s="20"/>
      <c r="AA238" s="20">
        <v>0</v>
      </c>
      <c r="AB238" s="20">
        <v>8480</v>
      </c>
      <c r="AC238" s="20">
        <v>0</v>
      </c>
      <c r="AD238" s="20">
        <v>1000</v>
      </c>
      <c r="AE238" s="20"/>
      <c r="AF238" s="20">
        <v>0</v>
      </c>
      <c r="AG238" s="20"/>
      <c r="AH238" s="237">
        <f t="shared" si="349"/>
        <v>-1</v>
      </c>
      <c r="AJ238" s="24" t="str">
        <f t="shared" si="325"/>
        <v/>
      </c>
    </row>
    <row r="239" spans="2:37" ht="12" x14ac:dyDescent="0.2">
      <c r="B239" s="2" t="s">
        <v>69</v>
      </c>
      <c r="C239" s="1">
        <v>0</v>
      </c>
      <c r="D239" s="1">
        <v>0</v>
      </c>
      <c r="E239" s="1">
        <v>0</v>
      </c>
      <c r="F239" s="1">
        <v>0</v>
      </c>
      <c r="G239" s="1">
        <v>0</v>
      </c>
      <c r="H239" s="1"/>
      <c r="I239" s="33">
        <v>0</v>
      </c>
      <c r="K239" s="1">
        <v>0</v>
      </c>
      <c r="L239" s="33">
        <v>0</v>
      </c>
      <c r="M239" s="33"/>
      <c r="O239" s="1">
        <v>760</v>
      </c>
      <c r="P239" s="1">
        <v>760</v>
      </c>
      <c r="Q239" s="1">
        <v>-50667</v>
      </c>
      <c r="R239" s="1"/>
      <c r="S239" s="1">
        <v>760</v>
      </c>
      <c r="T239" s="1"/>
      <c r="U239" s="1">
        <v>0</v>
      </c>
      <c r="V239" s="1"/>
      <c r="X239" s="20"/>
      <c r="Y239" s="20"/>
      <c r="Z239" s="20"/>
      <c r="AA239" s="20">
        <v>0</v>
      </c>
      <c r="AB239" s="20"/>
      <c r="AC239" s="20">
        <v>0</v>
      </c>
      <c r="AD239" s="20">
        <v>88140</v>
      </c>
      <c r="AE239" s="20"/>
      <c r="AF239" s="20">
        <v>-50667</v>
      </c>
      <c r="AG239" s="20"/>
      <c r="AH239" s="237" t="str">
        <f t="shared" si="349"/>
        <v/>
      </c>
      <c r="AJ239" s="24" t="str">
        <f t="shared" si="325"/>
        <v/>
      </c>
    </row>
    <row r="240" spans="2:37" ht="12" x14ac:dyDescent="0.2">
      <c r="B240" s="2" t="s">
        <v>70</v>
      </c>
      <c r="C240" s="1">
        <v>0</v>
      </c>
      <c r="D240" s="1">
        <v>-38835</v>
      </c>
      <c r="E240" s="1">
        <v>-59733</v>
      </c>
      <c r="F240" s="1">
        <v>0</v>
      </c>
      <c r="G240" s="1">
        <v>-17348</v>
      </c>
      <c r="H240" s="1">
        <v>-31843</v>
      </c>
      <c r="I240" s="33">
        <v>-46931</v>
      </c>
      <c r="K240" s="1">
        <v>-17707</v>
      </c>
      <c r="L240" s="33">
        <v>-38809</v>
      </c>
      <c r="M240" s="33">
        <v>-57255</v>
      </c>
      <c r="O240" s="1">
        <v>-21718</v>
      </c>
      <c r="P240" s="1">
        <v>-41089</v>
      </c>
      <c r="Q240" s="1">
        <v>-62250</v>
      </c>
      <c r="R240" s="1"/>
      <c r="S240" s="1">
        <v>-21718</v>
      </c>
      <c r="T240" s="1"/>
      <c r="U240" s="1">
        <v>-10966</v>
      </c>
      <c r="V240" s="1"/>
      <c r="X240" s="20">
        <v>-103292</v>
      </c>
      <c r="Y240" s="20">
        <v>-213597</v>
      </c>
      <c r="Z240" s="20">
        <v>-133305</v>
      </c>
      <c r="AA240" s="20">
        <v>-121370</v>
      </c>
      <c r="AB240" s="20">
        <v>-85956</v>
      </c>
      <c r="AC240" s="20">
        <v>-69415</v>
      </c>
      <c r="AD240" s="20">
        <v>-87046</v>
      </c>
      <c r="AE240" s="20"/>
      <c r="AF240" s="20">
        <v>-74773</v>
      </c>
      <c r="AG240" s="20"/>
      <c r="AH240" s="237">
        <f t="shared" si="349"/>
        <v>-4.5396836112547523E-2</v>
      </c>
      <c r="AJ240" s="24">
        <f t="shared" si="325"/>
        <v>-4.5108523038815185E-2</v>
      </c>
    </row>
    <row r="241" spans="2:42" ht="12" x14ac:dyDescent="0.2">
      <c r="B241" s="6" t="s">
        <v>406</v>
      </c>
      <c r="C241" s="5"/>
      <c r="D241" s="5"/>
      <c r="E241" s="5"/>
      <c r="F241" s="5"/>
      <c r="G241" s="5"/>
      <c r="H241" s="5"/>
      <c r="I241" s="5"/>
      <c r="K241" s="5"/>
      <c r="L241" s="5"/>
      <c r="M241" s="5"/>
      <c r="O241" s="5"/>
      <c r="P241" s="5"/>
      <c r="Q241" s="5"/>
      <c r="R241" s="5"/>
      <c r="S241" s="5"/>
      <c r="T241" s="5"/>
      <c r="U241" s="5"/>
      <c r="V241" s="5"/>
      <c r="X241" s="24">
        <f>-X240/X$86</f>
        <v>0.13483926384852971</v>
      </c>
      <c r="Y241" s="24">
        <f t="shared" ref="Y241" si="358">-Y240/Y$86</f>
        <v>0.2727018545518613</v>
      </c>
      <c r="Z241" s="24">
        <f t="shared" ref="Z241" si="359">-Z240/Z$86</f>
        <v>0.2170437246106629</v>
      </c>
      <c r="AA241" s="24">
        <f t="shared" ref="AA241" si="360">-AA240/AA$86</f>
        <v>0.15362279951193086</v>
      </c>
      <c r="AB241" s="24">
        <f t="shared" ref="AB241" si="361">-AB240/AB$86</f>
        <v>6.5809480497406855E-2</v>
      </c>
      <c r="AC241" s="24">
        <f t="shared" ref="AC241" si="362">-AC240/AC$86</f>
        <v>5.4642507407419071E-2</v>
      </c>
      <c r="AD241" s="24">
        <f t="shared" ref="AD241" si="363">-AD240/AD$86</f>
        <v>5.8276476846003109E-2</v>
      </c>
      <c r="AE241" s="24"/>
      <c r="AF241" s="24">
        <f t="shared" ref="AF241" si="364">-AF240/AF$86</f>
        <v>7.6351100904597125E-2</v>
      </c>
      <c r="AG241" s="116"/>
      <c r="AH241" s="237">
        <f t="shared" ref="AH241" si="365">IFERROR(((AF241/AB241))^(1/(2025-2022))-1,"")</f>
        <v>5.0773101894151074E-2</v>
      </c>
      <c r="AJ241" s="24">
        <f t="shared" ref="AJ241" si="366">IFERROR((AF241/X241)^(1/(2025-2018))-1,"")</f>
        <v>-7.8035640167441689E-2</v>
      </c>
    </row>
    <row r="242" spans="2:42" ht="12" x14ac:dyDescent="0.2">
      <c r="B242" s="2" t="s">
        <v>71</v>
      </c>
      <c r="C242" s="1">
        <v>23</v>
      </c>
      <c r="D242" s="1">
        <v>25</v>
      </c>
      <c r="E242" s="1">
        <v>81</v>
      </c>
      <c r="F242" s="1">
        <v>0</v>
      </c>
      <c r="G242" s="1">
        <v>73</v>
      </c>
      <c r="H242" s="1">
        <v>82</v>
      </c>
      <c r="I242" s="33">
        <v>97</v>
      </c>
      <c r="K242" s="1">
        <v>1163</v>
      </c>
      <c r="L242" s="33">
        <v>1691</v>
      </c>
      <c r="M242" s="33">
        <v>2024</v>
      </c>
      <c r="O242" s="1">
        <v>2035</v>
      </c>
      <c r="P242" s="1">
        <v>2167</v>
      </c>
      <c r="Q242" s="1">
        <v>2203</v>
      </c>
      <c r="R242" s="1"/>
      <c r="S242" s="1">
        <v>2035</v>
      </c>
      <c r="T242" s="1"/>
      <c r="U242" s="1">
        <v>429</v>
      </c>
      <c r="V242" s="1"/>
      <c r="X242" s="20">
        <v>543</v>
      </c>
      <c r="Y242" s="20">
        <v>679</v>
      </c>
      <c r="Z242" s="20">
        <v>1147</v>
      </c>
      <c r="AA242" s="20">
        <v>15480</v>
      </c>
      <c r="AB242" s="20">
        <v>11195</v>
      </c>
      <c r="AC242" s="20">
        <v>582</v>
      </c>
      <c r="AD242" s="20">
        <v>631</v>
      </c>
      <c r="AE242" s="20"/>
      <c r="AF242" s="20">
        <v>2512</v>
      </c>
      <c r="AG242" s="20"/>
      <c r="AH242" s="237">
        <f t="shared" si="349"/>
        <v>-0.39233366198571296</v>
      </c>
      <c r="AJ242" s="24">
        <f t="shared" si="325"/>
        <v>0.2446045971311992</v>
      </c>
    </row>
    <row r="243" spans="2:42" ht="12" x14ac:dyDescent="0.2">
      <c r="B243" s="2" t="s">
        <v>529</v>
      </c>
      <c r="C243" s="1">
        <v>0</v>
      </c>
      <c r="D243" s="1">
        <v>0</v>
      </c>
      <c r="E243" s="1">
        <v>0</v>
      </c>
      <c r="F243" s="1">
        <v>0</v>
      </c>
      <c r="G243" s="1">
        <v>-9400</v>
      </c>
      <c r="H243" s="1">
        <v>-9400</v>
      </c>
      <c r="I243" s="33">
        <v>-9400</v>
      </c>
      <c r="K243" s="1">
        <v>-2000</v>
      </c>
      <c r="L243" s="33">
        <v>-2000</v>
      </c>
      <c r="M243" s="33">
        <v>-2000</v>
      </c>
      <c r="O243" s="1">
        <v>0</v>
      </c>
      <c r="P243" s="1">
        <v>0</v>
      </c>
      <c r="Q243" s="1"/>
      <c r="R243" s="1"/>
      <c r="S243" s="1">
        <v>0</v>
      </c>
      <c r="T243" s="1"/>
      <c r="U243" s="1"/>
      <c r="V243" s="1"/>
      <c r="X243" s="44">
        <f>-37301-69395</f>
        <v>-106696</v>
      </c>
      <c r="Y243" s="44">
        <f>-3101-33311</f>
        <v>-36412</v>
      </c>
      <c r="Z243" s="44">
        <f>-9269-8504</f>
        <v>-17773</v>
      </c>
      <c r="AA243" s="20">
        <v>0</v>
      </c>
      <c r="AB243" s="20">
        <v>0</v>
      </c>
      <c r="AC243" s="20">
        <v>-9400</v>
      </c>
      <c r="AD243" s="20">
        <v>-2000</v>
      </c>
      <c r="AE243" s="20"/>
      <c r="AF243" s="20">
        <v>0</v>
      </c>
      <c r="AG243" s="20"/>
      <c r="AH243" s="237" t="str">
        <f t="shared" si="349"/>
        <v/>
      </c>
      <c r="AJ243" s="24">
        <f t="shared" si="325"/>
        <v>-1</v>
      </c>
    </row>
    <row r="244" spans="2:42" ht="12" x14ac:dyDescent="0.2">
      <c r="B244" s="2" t="s">
        <v>530</v>
      </c>
      <c r="C244" s="1"/>
      <c r="D244" s="1"/>
      <c r="E244" s="1"/>
      <c r="F244" s="1"/>
      <c r="G244" s="1"/>
      <c r="H244" s="1"/>
      <c r="I244" s="33"/>
      <c r="K244" s="1"/>
      <c r="L244" s="33"/>
      <c r="M244" s="33"/>
      <c r="O244" s="1"/>
      <c r="P244" s="1"/>
      <c r="Q244" s="1"/>
      <c r="R244" s="1"/>
      <c r="S244" s="1"/>
      <c r="T244" s="1"/>
      <c r="U244" s="1">
        <v>62073</v>
      </c>
      <c r="V244" s="1"/>
      <c r="X244" s="44">
        <f>5669+79820</f>
        <v>85489</v>
      </c>
      <c r="Y244" s="44">
        <f>53160+16546</f>
        <v>69706</v>
      </c>
      <c r="Z244" s="44">
        <f>41775+68846</f>
        <v>110621</v>
      </c>
      <c r="AA244" s="20"/>
      <c r="AB244" s="20"/>
      <c r="AC244" s="20"/>
      <c r="AD244" s="20"/>
      <c r="AE244" s="20"/>
      <c r="AF244" s="20"/>
      <c r="AG244" s="20"/>
      <c r="AH244" s="237"/>
      <c r="AJ244" s="24">
        <f t="shared" si="325"/>
        <v>-1</v>
      </c>
    </row>
    <row r="245" spans="2:42" ht="12" x14ac:dyDescent="0.2">
      <c r="B245" s="2" t="s">
        <v>175</v>
      </c>
      <c r="C245" s="1">
        <v>4</v>
      </c>
      <c r="D245" s="1">
        <v>4</v>
      </c>
      <c r="E245" s="1">
        <v>0</v>
      </c>
      <c r="F245" s="1">
        <v>0</v>
      </c>
      <c r="G245" s="1">
        <f>-1000</f>
        <v>-1000</v>
      </c>
      <c r="H245" s="1">
        <f>-1400</f>
        <v>-1400</v>
      </c>
      <c r="I245" s="33">
        <v>0</v>
      </c>
      <c r="K245" s="1">
        <v>3</v>
      </c>
      <c r="L245" s="33">
        <v>108</v>
      </c>
      <c r="M245" s="33">
        <v>108</v>
      </c>
      <c r="O245" s="1">
        <v>0</v>
      </c>
      <c r="P245" s="1">
        <v>80</v>
      </c>
      <c r="Q245" s="1">
        <v>80</v>
      </c>
      <c r="R245" s="1"/>
      <c r="S245" s="1">
        <v>0</v>
      </c>
      <c r="T245" s="1"/>
      <c r="U245" s="1"/>
      <c r="V245" s="1"/>
      <c r="X245" s="23"/>
      <c r="Y245" s="23"/>
      <c r="Z245" s="23"/>
      <c r="AA245" s="23">
        <f>13919+8452+319</f>
        <v>22690</v>
      </c>
      <c r="AB245" s="20">
        <v>-833</v>
      </c>
      <c r="AC245" s="23">
        <f>-2884+2000-3</f>
        <v>-887</v>
      </c>
      <c r="AD245" s="20">
        <v>108</v>
      </c>
      <c r="AE245" s="20"/>
      <c r="AF245" s="20">
        <v>80</v>
      </c>
      <c r="AG245" s="20"/>
      <c r="AH245" s="237">
        <f t="shared" si="349"/>
        <v>-1.4579467647330493</v>
      </c>
      <c r="AJ245" s="24" t="str">
        <f t="shared" si="325"/>
        <v/>
      </c>
    </row>
    <row r="246" spans="2:42" ht="14.25" x14ac:dyDescent="0.35">
      <c r="B246" s="2" t="s">
        <v>72</v>
      </c>
      <c r="C246" s="3">
        <v>482</v>
      </c>
      <c r="D246" s="3">
        <v>1215</v>
      </c>
      <c r="E246" s="3">
        <v>6380</v>
      </c>
      <c r="F246" s="3">
        <v>0</v>
      </c>
      <c r="G246" s="3">
        <v>1943</v>
      </c>
      <c r="H246" s="3">
        <v>4392</v>
      </c>
      <c r="I246" s="15">
        <f>6714-2884</f>
        <v>3830</v>
      </c>
      <c r="K246" s="3">
        <v>714</v>
      </c>
      <c r="L246" s="15">
        <v>2274</v>
      </c>
      <c r="M246" s="15">
        <v>2724</v>
      </c>
      <c r="O246" s="3">
        <v>809</v>
      </c>
      <c r="P246" s="3">
        <v>2121</v>
      </c>
      <c r="Q246" s="3">
        <v>4886</v>
      </c>
      <c r="R246" s="3"/>
      <c r="S246" s="3">
        <v>809</v>
      </c>
      <c r="T246" s="3"/>
      <c r="U246" s="3">
        <v>988</v>
      </c>
      <c r="V246" s="3"/>
      <c r="X246" s="21">
        <v>8368</v>
      </c>
      <c r="Y246" s="21">
        <v>6769</v>
      </c>
      <c r="Z246" s="21">
        <v>4776</v>
      </c>
      <c r="AA246" s="21">
        <v>1453</v>
      </c>
      <c r="AB246" s="21">
        <v>7978</v>
      </c>
      <c r="AC246" s="21">
        <v>7784</v>
      </c>
      <c r="AD246" s="21">
        <v>3608</v>
      </c>
      <c r="AE246" s="21"/>
      <c r="AF246" s="21">
        <v>6060</v>
      </c>
      <c r="AG246" s="21"/>
      <c r="AH246" s="237">
        <f t="shared" si="349"/>
        <v>-8.7584059529074665E-2</v>
      </c>
      <c r="AJ246" s="24">
        <f t="shared" ref="AJ246:AJ279" si="367">IFERROR((AF246/X246)^(1/(2025-2018))-1,"")</f>
        <v>-4.5054233964779034E-2</v>
      </c>
    </row>
    <row r="247" spans="2:42" s="13" customFormat="1" ht="12" x14ac:dyDescent="0.2">
      <c r="B247" s="4" t="s">
        <v>73</v>
      </c>
      <c r="C247" s="18">
        <f t="shared" ref="C247:I247" si="368">SUM(C237:C246)</f>
        <v>-83719</v>
      </c>
      <c r="D247" s="18">
        <f t="shared" si="368"/>
        <v>-100066</v>
      </c>
      <c r="E247" s="18">
        <f t="shared" si="368"/>
        <v>-144260</v>
      </c>
      <c r="F247" s="18">
        <f t="shared" si="368"/>
        <v>0</v>
      </c>
      <c r="G247" s="18">
        <f t="shared" si="368"/>
        <v>-25900</v>
      </c>
      <c r="H247" s="18">
        <f t="shared" si="368"/>
        <v>-38339</v>
      </c>
      <c r="I247" s="18">
        <f t="shared" si="368"/>
        <v>-52599</v>
      </c>
      <c r="K247" s="18">
        <f>SUM(K237:K246)</f>
        <v>-18308</v>
      </c>
      <c r="L247" s="18">
        <f>SUM(L237:L246)</f>
        <v>-37996</v>
      </c>
      <c r="M247" s="18">
        <f>SUM(M237:M246)</f>
        <v>-54223</v>
      </c>
      <c r="N247" s="18"/>
      <c r="O247" s="18">
        <f>SUM(O237:O246)</f>
        <v>-19614</v>
      </c>
      <c r="P247" s="18">
        <f>SUM(P237:P246)</f>
        <v>-37461</v>
      </c>
      <c r="Q247" s="18">
        <f>SUM(Q237:Q246)</f>
        <v>-135530</v>
      </c>
      <c r="R247" s="18"/>
      <c r="S247" s="18">
        <f>SUM(S237:S246)</f>
        <v>-19614</v>
      </c>
      <c r="T247" s="18"/>
      <c r="U247" s="18">
        <f>SUM(U237:U246)</f>
        <v>54493</v>
      </c>
      <c r="V247" s="18"/>
      <c r="X247" s="18">
        <f t="shared" ref="X247" si="369">SUM(X237:X246)</f>
        <v>-90055.865160736139</v>
      </c>
      <c r="Y247" s="18">
        <f t="shared" ref="Y247:AD247" si="370">SUM(Y237:Y246)</f>
        <v>-190163.72729814542</v>
      </c>
      <c r="Z247" s="18">
        <f t="shared" si="370"/>
        <v>-35117.78295627539</v>
      </c>
      <c r="AA247" s="18">
        <f t="shared" si="370"/>
        <v>-86067.846377200491</v>
      </c>
      <c r="AB247" s="18">
        <f t="shared" si="370"/>
        <v>-150270.9341905195</v>
      </c>
      <c r="AC247" s="18">
        <f t="shared" si="370"/>
        <v>-71525.945357492586</v>
      </c>
      <c r="AD247" s="18">
        <f t="shared" si="370"/>
        <v>3427.058276476846</v>
      </c>
      <c r="AE247" s="18"/>
      <c r="AF247" s="18">
        <f>SUM(AF237:AF246)</f>
        <v>-146569.9236488991</v>
      </c>
      <c r="AG247" s="18"/>
      <c r="AH247" s="237">
        <f t="shared" si="349"/>
        <v>-8.2779751809466395E-3</v>
      </c>
      <c r="AJ247" s="24">
        <f t="shared" si="367"/>
        <v>7.2059722601435006E-2</v>
      </c>
      <c r="AK247" s="62"/>
    </row>
    <row r="248" spans="2:42" ht="12" x14ac:dyDescent="0.2">
      <c r="B248" s="553" t="s">
        <v>531</v>
      </c>
      <c r="C248" s="554">
        <f t="shared" ref="C248:H248" si="371">C236+C240</f>
        <v>-37439</v>
      </c>
      <c r="D248" s="554">
        <f t="shared" si="371"/>
        <v>-91015</v>
      </c>
      <c r="E248" s="554">
        <f t="shared" si="371"/>
        <v>-120180</v>
      </c>
      <c r="F248" s="554">
        <f t="shared" si="371"/>
        <v>0</v>
      </c>
      <c r="G248" s="554">
        <f t="shared" si="371"/>
        <v>-93752</v>
      </c>
      <c r="H248" s="554">
        <f t="shared" si="371"/>
        <v>-68821</v>
      </c>
      <c r="I248" s="554">
        <f>I236+I239</f>
        <v>7373</v>
      </c>
      <c r="J248" s="555"/>
      <c r="K248" s="554">
        <f>K236+K240</f>
        <v>-33532</v>
      </c>
      <c r="L248" s="554">
        <f>L236+L240</f>
        <v>-42997</v>
      </c>
      <c r="M248" s="554">
        <f>M236+M240</f>
        <v>-25531</v>
      </c>
      <c r="N248" s="554">
        <f>AD248-M248</f>
        <v>56623.916404728487</v>
      </c>
      <c r="O248" s="554">
        <f>O236+O240</f>
        <v>-27122</v>
      </c>
      <c r="P248" s="554">
        <f>P236+P240</f>
        <v>-2566</v>
      </c>
      <c r="Q248" s="554">
        <f>Q236+Q240</f>
        <v>24876</v>
      </c>
      <c r="R248" s="554"/>
      <c r="S248" s="554">
        <f>S236+S240</f>
        <v>-27122</v>
      </c>
      <c r="T248" s="554"/>
      <c r="U248" s="554">
        <f>U236+U240</f>
        <v>-9573</v>
      </c>
      <c r="V248" s="556">
        <f>Q248+P248+O248+N248</f>
        <v>51811.916404728487</v>
      </c>
      <c r="W248" s="555"/>
      <c r="X248" s="554">
        <f t="shared" ref="X248" si="372">X236+X240</f>
        <v>-62295.049976633018</v>
      </c>
      <c r="Y248" s="554">
        <f t="shared" ref="Y248:AD248" si="373">Y236+Y240</f>
        <v>-112185.11542114899</v>
      </c>
      <c r="Z248" s="554">
        <f t="shared" si="373"/>
        <v>-123965.11912860132</v>
      </c>
      <c r="AA248" s="554">
        <f t="shared" si="373"/>
        <v>-149207.0908902199</v>
      </c>
      <c r="AB248" s="554">
        <f t="shared" si="373"/>
        <v>45439.916369223967</v>
      </c>
      <c r="AC248" s="554">
        <f t="shared" si="373"/>
        <v>54682.918922216588</v>
      </c>
      <c r="AD248" s="554">
        <f t="shared" si="373"/>
        <v>31092.916404728487</v>
      </c>
      <c r="AE248" s="554"/>
      <c r="AF248" s="554">
        <f>AF236+AF240</f>
        <v>92752.884655953909</v>
      </c>
      <c r="AG248" s="5"/>
      <c r="AH248" s="237">
        <f t="shared" si="349"/>
        <v>0.26851799942347321</v>
      </c>
      <c r="AI248" s="24">
        <f>((AF248/AB248)^(1/(2024-2021)))-1</f>
        <v>0.26851799942347321</v>
      </c>
      <c r="AJ248" s="24">
        <f t="shared" si="367"/>
        <v>-2.0585131788997417</v>
      </c>
      <c r="AL248" s="79">
        <f>AL99*AL249</f>
        <v>90000</v>
      </c>
      <c r="AM248" s="79">
        <f t="shared" ref="AM248:AO248" si="374">AM99*AM249</f>
        <v>96097.500000000015</v>
      </c>
      <c r="AN248" s="79">
        <f t="shared" si="374"/>
        <v>110308.40000000002</v>
      </c>
      <c r="AO248" s="79">
        <f t="shared" si="374"/>
        <v>115692.49187500002</v>
      </c>
      <c r="AP248" s="80"/>
    </row>
    <row r="249" spans="2:42" ht="12" x14ac:dyDescent="0.2">
      <c r="B249" s="557" t="s">
        <v>300</v>
      </c>
      <c r="C249" s="353"/>
      <c r="D249" s="353"/>
      <c r="E249" s="353"/>
      <c r="F249" s="353"/>
      <c r="G249" s="353"/>
      <c r="H249" s="353"/>
      <c r="I249" s="353"/>
      <c r="J249" s="351"/>
      <c r="K249" s="353"/>
      <c r="L249" s="353"/>
      <c r="M249" s="353"/>
      <c r="N249" s="351"/>
      <c r="O249" s="353"/>
      <c r="P249" s="353"/>
      <c r="Q249" s="353"/>
      <c r="R249" s="353"/>
      <c r="S249" s="353"/>
      <c r="T249" s="353"/>
      <c r="U249" s="353"/>
      <c r="V249" s="558">
        <f>V248/V99</f>
        <v>0.26977785625255651</v>
      </c>
      <c r="W249" s="351"/>
      <c r="X249" s="558">
        <f t="shared" ref="X249:AD249" si="375">X248/X99</f>
        <v>-0.95130184436859411</v>
      </c>
      <c r="Y249" s="558">
        <f t="shared" si="375"/>
        <v>-1.2626207405785979</v>
      </c>
      <c r="Z249" s="558">
        <f t="shared" si="375"/>
        <v>-3.7236826508245868</v>
      </c>
      <c r="AA249" s="558">
        <f t="shared" si="375"/>
        <v>-3.2398994829917682</v>
      </c>
      <c r="AB249" s="558">
        <f t="shared" si="375"/>
        <v>0.3580088586021869</v>
      </c>
      <c r="AC249" s="558">
        <f t="shared" si="375"/>
        <v>0.56431156139415684</v>
      </c>
      <c r="AD249" s="558">
        <f t="shared" si="375"/>
        <v>0.19376396792337716</v>
      </c>
      <c r="AE249" s="558"/>
      <c r="AF249" s="558">
        <f>AF248/AF99</f>
        <v>0.57756852555515781</v>
      </c>
      <c r="AG249" s="116"/>
      <c r="AH249" s="237">
        <f t="shared" si="349"/>
        <v>0.17283409265091065</v>
      </c>
      <c r="AJ249" s="24">
        <f t="shared" si="367"/>
        <v>-1.9311952242018153</v>
      </c>
      <c r="AL249" s="503">
        <v>0.5</v>
      </c>
      <c r="AM249" s="503">
        <v>0.45</v>
      </c>
      <c r="AN249" s="503">
        <v>0.5</v>
      </c>
      <c r="AO249" s="503">
        <v>0.5</v>
      </c>
    </row>
    <row r="250" spans="2:42" ht="12" x14ac:dyDescent="0.2">
      <c r="B250" s="557" t="s">
        <v>299</v>
      </c>
      <c r="C250" s="559" t="str">
        <f t="shared" ref="C250:I250" si="376">IF(C248&lt;0,"NA",C248/(C217-C218-C219))</f>
        <v>NA</v>
      </c>
      <c r="D250" s="559" t="str">
        <f t="shared" si="376"/>
        <v>NA</v>
      </c>
      <c r="E250" s="559" t="str">
        <f t="shared" si="376"/>
        <v>NA</v>
      </c>
      <c r="F250" s="559" t="e">
        <f t="shared" si="376"/>
        <v>#DIV/0!</v>
      </c>
      <c r="G250" s="559" t="str">
        <f t="shared" si="376"/>
        <v>NA</v>
      </c>
      <c r="H250" s="559" t="str">
        <f t="shared" si="376"/>
        <v>NA</v>
      </c>
      <c r="I250" s="559">
        <f t="shared" si="376"/>
        <v>-0.12804348581153832</v>
      </c>
      <c r="J250" s="351"/>
      <c r="K250" s="559" t="str">
        <f>IF(K248&lt;0,"NA",K248/(K217-K218-K219))</f>
        <v>NA</v>
      </c>
      <c r="L250" s="559" t="str">
        <f>IF(L248&lt;0,"NA",L248/(L217-L218-L219))</f>
        <v>NA</v>
      </c>
      <c r="M250" s="559" t="str">
        <f>IF(M248&lt;0,"NA",M248/(M217-M218-M219))</f>
        <v>NA</v>
      </c>
      <c r="N250" s="351"/>
      <c r="O250" s="559" t="str">
        <f>IF(O248&lt;0,"NA",O248/(O217-O218-O219))</f>
        <v>NA</v>
      </c>
      <c r="P250" s="559" t="str">
        <f>IF(P248&lt;0,"NA",P248/(P217-P218-P219))</f>
        <v>NA</v>
      </c>
      <c r="Q250" s="559"/>
      <c r="R250" s="559"/>
      <c r="S250" s="559" t="str">
        <f>IF(S248&lt;0,"NA",S248/(S217-S218-S219))</f>
        <v>NA</v>
      </c>
      <c r="T250" s="559"/>
      <c r="U250" s="559"/>
      <c r="V250" s="558">
        <f>V248/V133</f>
        <v>0.97454935398718112</v>
      </c>
      <c r="W250" s="351"/>
      <c r="X250" s="558">
        <f t="shared" ref="X250:AD250" si="377">X248/X133</f>
        <v>-3.3808232919045382</v>
      </c>
      <c r="Y250" s="558">
        <f t="shared" si="377"/>
        <v>5.1233098333629714</v>
      </c>
      <c r="Z250" s="558">
        <f t="shared" si="377"/>
        <v>2.1501191419408778</v>
      </c>
      <c r="AA250" s="558">
        <f t="shared" si="377"/>
        <v>3.0216097790648018</v>
      </c>
      <c r="AB250" s="558">
        <f t="shared" si="377"/>
        <v>-1.2356197517124123</v>
      </c>
      <c r="AC250" s="558">
        <f t="shared" si="377"/>
        <v>-1.4237377349046185</v>
      </c>
      <c r="AD250" s="558">
        <f t="shared" si="377"/>
        <v>0.86883271592277889</v>
      </c>
      <c r="AE250" s="558"/>
      <c r="AF250" s="558">
        <f>AF248/AF133</f>
        <v>-30.581234637637294</v>
      </c>
      <c r="AG250" s="116"/>
      <c r="AH250" s="237">
        <f t="shared" si="349"/>
        <v>1.9142270900034224</v>
      </c>
      <c r="AJ250" s="24">
        <f t="shared" si="367"/>
        <v>0.3697244889047282</v>
      </c>
    </row>
    <row r="251" spans="2:42" ht="12" x14ac:dyDescent="0.2">
      <c r="B251" s="560" t="s">
        <v>176</v>
      </c>
      <c r="C251" s="561">
        <f t="shared" ref="C251:M251" si="378">C236+C247</f>
        <v>-121158</v>
      </c>
      <c r="D251" s="561">
        <f t="shared" si="378"/>
        <v>-152246</v>
      </c>
      <c r="E251" s="561">
        <f t="shared" si="378"/>
        <v>-204707</v>
      </c>
      <c r="F251" s="561">
        <f t="shared" si="378"/>
        <v>0</v>
      </c>
      <c r="G251" s="561">
        <f t="shared" si="378"/>
        <v>-102304</v>
      </c>
      <c r="H251" s="561">
        <f t="shared" si="378"/>
        <v>-75317</v>
      </c>
      <c r="I251" s="561">
        <f t="shared" si="378"/>
        <v>-45226</v>
      </c>
      <c r="J251" s="561">
        <f t="shared" si="378"/>
        <v>0</v>
      </c>
      <c r="K251" s="561">
        <f t="shared" si="378"/>
        <v>-34133</v>
      </c>
      <c r="L251" s="561">
        <f t="shared" si="378"/>
        <v>-42184</v>
      </c>
      <c r="M251" s="561">
        <f t="shared" si="378"/>
        <v>-22499</v>
      </c>
      <c r="N251" s="562"/>
      <c r="O251" s="561">
        <f>O236+O247</f>
        <v>-25018</v>
      </c>
      <c r="P251" s="561">
        <f>P236+P247</f>
        <v>1062</v>
      </c>
      <c r="Q251" s="561">
        <f>Q236+Q247</f>
        <v>-48404</v>
      </c>
      <c r="R251" s="561"/>
      <c r="S251" s="561">
        <f>S236+S247</f>
        <v>-25018</v>
      </c>
      <c r="T251" s="561"/>
      <c r="U251" s="561">
        <f>U236+U247</f>
        <v>55886</v>
      </c>
      <c r="V251" s="561"/>
      <c r="W251" s="562"/>
      <c r="X251" s="561">
        <f t="shared" ref="X251:AD251" si="379">X236+X247</f>
        <v>-49058.915137369157</v>
      </c>
      <c r="Y251" s="561">
        <f t="shared" si="379"/>
        <v>-88751.842719294407</v>
      </c>
      <c r="Z251" s="561">
        <f t="shared" si="379"/>
        <v>-25777.90208487671</v>
      </c>
      <c r="AA251" s="561">
        <f t="shared" si="379"/>
        <v>-113904.93726742038</v>
      </c>
      <c r="AB251" s="561">
        <f t="shared" si="379"/>
        <v>-18875.017821295536</v>
      </c>
      <c r="AC251" s="561">
        <f t="shared" si="379"/>
        <v>52571.973564724001</v>
      </c>
      <c r="AD251" s="561">
        <f t="shared" si="379"/>
        <v>121565.97468120533</v>
      </c>
      <c r="AE251" s="561"/>
      <c r="AF251" s="561">
        <v>0</v>
      </c>
      <c r="AG251" s="267"/>
      <c r="AH251" s="237">
        <f t="shared" si="349"/>
        <v>-1</v>
      </c>
      <c r="AI251" s="123"/>
      <c r="AJ251" s="24">
        <f t="shared" si="367"/>
        <v>-1</v>
      </c>
      <c r="AL251" s="123"/>
      <c r="AM251" s="123"/>
      <c r="AN251" s="123"/>
      <c r="AO251" s="123"/>
      <c r="AP251" s="123"/>
    </row>
    <row r="252" spans="2:42" ht="12" x14ac:dyDescent="0.2">
      <c r="B252" s="11" t="s">
        <v>667</v>
      </c>
      <c r="C252" s="456"/>
      <c r="D252" s="456"/>
      <c r="E252" s="456"/>
      <c r="F252" s="456"/>
      <c r="G252" s="456"/>
      <c r="H252" s="456"/>
      <c r="I252" s="456"/>
      <c r="J252" s="456"/>
      <c r="K252" s="456"/>
      <c r="L252" s="456"/>
      <c r="M252" s="456"/>
      <c r="O252" s="456"/>
      <c r="P252" s="456"/>
      <c r="Q252" s="456"/>
      <c r="R252" s="456"/>
      <c r="S252" s="456"/>
      <c r="T252" s="456"/>
      <c r="U252" s="456"/>
      <c r="V252" s="456"/>
      <c r="X252" s="20">
        <v>22304</v>
      </c>
      <c r="Y252" s="20">
        <v>-2660</v>
      </c>
      <c r="Z252" s="20">
        <v>20780</v>
      </c>
      <c r="AA252" s="456"/>
      <c r="AB252" s="456"/>
      <c r="AC252" s="456"/>
      <c r="AD252" s="456"/>
      <c r="AE252" s="456"/>
      <c r="AF252" s="267"/>
      <c r="AG252" s="267"/>
      <c r="AH252" s="237"/>
      <c r="AJ252" s="24"/>
    </row>
    <row r="253" spans="2:42" ht="12" x14ac:dyDescent="0.2">
      <c r="B253" s="2" t="s">
        <v>74</v>
      </c>
      <c r="C253" s="20">
        <v>0</v>
      </c>
      <c r="D253" s="20">
        <v>0</v>
      </c>
      <c r="E253" s="20">
        <v>0</v>
      </c>
      <c r="F253" s="1"/>
      <c r="G253" s="1"/>
      <c r="H253" s="1">
        <v>0</v>
      </c>
      <c r="I253" s="33">
        <v>0</v>
      </c>
      <c r="K253" s="1">
        <v>0</v>
      </c>
      <c r="L253" s="33">
        <v>140</v>
      </c>
      <c r="M253" s="33">
        <v>386</v>
      </c>
      <c r="O253" s="1">
        <v>0</v>
      </c>
      <c r="P253" s="1">
        <v>2077</v>
      </c>
      <c r="Q253" s="1">
        <v>8701</v>
      </c>
      <c r="R253" s="1"/>
      <c r="S253" s="1">
        <v>0</v>
      </c>
      <c r="T253" s="1"/>
      <c r="U253" s="1">
        <v>3339</v>
      </c>
      <c r="V253" s="1"/>
      <c r="X253" s="20"/>
      <c r="Y253" s="20"/>
      <c r="Z253" s="20"/>
      <c r="AA253" s="20">
        <v>136999</v>
      </c>
      <c r="AB253" s="20">
        <v>0</v>
      </c>
      <c r="AC253" s="20">
        <v>0</v>
      </c>
      <c r="AD253" s="20">
        <v>386</v>
      </c>
      <c r="AE253" s="20"/>
      <c r="AF253" s="20">
        <v>10048</v>
      </c>
      <c r="AG253" s="20"/>
      <c r="AH253" s="237" t="str">
        <f t="shared" si="349"/>
        <v/>
      </c>
      <c r="AJ253" s="24" t="str">
        <f t="shared" si="367"/>
        <v/>
      </c>
    </row>
    <row r="254" spans="2:42" ht="12" x14ac:dyDescent="0.2">
      <c r="B254" s="2" t="s">
        <v>254</v>
      </c>
      <c r="C254" s="20">
        <v>0</v>
      </c>
      <c r="D254" s="20">
        <v>0</v>
      </c>
      <c r="E254" s="20">
        <v>0</v>
      </c>
      <c r="F254" s="1"/>
      <c r="G254" s="1"/>
      <c r="H254" s="1"/>
      <c r="I254" s="33"/>
      <c r="K254" s="1"/>
      <c r="L254" s="33"/>
      <c r="M254" s="33"/>
      <c r="O254" s="1"/>
      <c r="P254" s="1"/>
      <c r="Q254" s="1"/>
      <c r="R254" s="1"/>
      <c r="S254" s="1"/>
      <c r="T254" s="1"/>
      <c r="U254" s="1"/>
      <c r="V254" s="1"/>
      <c r="X254" s="20"/>
      <c r="Y254" s="20"/>
      <c r="Z254" s="20"/>
      <c r="AA254" s="20">
        <v>421397</v>
      </c>
      <c r="AB254" s="20"/>
      <c r="AC254" s="20"/>
      <c r="AD254" s="20"/>
      <c r="AE254" s="20"/>
      <c r="AF254" s="20">
        <v>-127</v>
      </c>
      <c r="AG254" s="20"/>
      <c r="AH254" s="237" t="str">
        <f t="shared" si="349"/>
        <v/>
      </c>
      <c r="AJ254" s="24" t="str">
        <f t="shared" si="367"/>
        <v/>
      </c>
    </row>
    <row r="255" spans="2:42" ht="12" x14ac:dyDescent="0.2">
      <c r="B255" s="2" t="s">
        <v>255</v>
      </c>
      <c r="C255" s="20">
        <v>0</v>
      </c>
      <c r="D255" s="20">
        <v>0</v>
      </c>
      <c r="E255" s="20">
        <v>0</v>
      </c>
      <c r="F255" s="1"/>
      <c r="G255" s="1"/>
      <c r="H255" s="1"/>
      <c r="I255" s="33"/>
      <c r="K255" s="1"/>
      <c r="L255" s="33"/>
      <c r="M255" s="33"/>
      <c r="O255" s="1"/>
      <c r="P255" s="1"/>
      <c r="Q255" s="1"/>
      <c r="R255" s="1"/>
      <c r="S255" s="1"/>
      <c r="T255" s="1"/>
      <c r="U255" s="1"/>
      <c r="V255" s="1"/>
      <c r="X255" s="20"/>
      <c r="Y255" s="20"/>
      <c r="Z255" s="20"/>
      <c r="AA255" s="20">
        <v>-29147</v>
      </c>
      <c r="AB255" s="20"/>
      <c r="AC255" s="20"/>
      <c r="AD255" s="20"/>
      <c r="AE255" s="20"/>
      <c r="AH255" s="237" t="str">
        <f t="shared" si="349"/>
        <v/>
      </c>
      <c r="AI255" s="24"/>
      <c r="AJ255" s="24" t="str">
        <f t="shared" si="367"/>
        <v/>
      </c>
    </row>
    <row r="256" spans="2:42" ht="12" x14ac:dyDescent="0.2">
      <c r="B256" s="84" t="s">
        <v>333</v>
      </c>
      <c r="C256" s="206">
        <v>26518</v>
      </c>
      <c r="D256" s="206">
        <v>51824</v>
      </c>
      <c r="E256" s="206">
        <v>146193</v>
      </c>
      <c r="F256" s="83"/>
      <c r="G256" s="83">
        <v>21745</v>
      </c>
      <c r="H256" s="83">
        <v>31660</v>
      </c>
      <c r="I256" s="83">
        <v>39744</v>
      </c>
      <c r="J256" s="84"/>
      <c r="K256" s="83">
        <v>33955</v>
      </c>
      <c r="L256" s="83">
        <v>91480</v>
      </c>
      <c r="M256" s="83">
        <v>148530</v>
      </c>
      <c r="N256" s="84"/>
      <c r="O256" s="83">
        <v>24187</v>
      </c>
      <c r="P256" s="83">
        <v>32106</v>
      </c>
      <c r="Q256" s="83">
        <v>34725</v>
      </c>
      <c r="R256" s="83"/>
      <c r="S256" s="83">
        <v>24187</v>
      </c>
      <c r="T256" s="83"/>
      <c r="U256" s="83">
        <v>92</v>
      </c>
      <c r="V256" s="83"/>
      <c r="W256" s="84"/>
      <c r="X256" s="206">
        <v>73355</v>
      </c>
      <c r="Y256" s="206">
        <v>125218</v>
      </c>
      <c r="Z256" s="206">
        <v>159017</v>
      </c>
      <c r="AA256" s="206">
        <v>230842</v>
      </c>
      <c r="AB256" s="206">
        <v>137376</v>
      </c>
      <c r="AC256" s="206">
        <v>328872</v>
      </c>
      <c r="AD256" s="206">
        <v>179481</v>
      </c>
      <c r="AE256" s="206"/>
      <c r="AF256" s="206">
        <v>276701</v>
      </c>
      <c r="AG256" s="206"/>
      <c r="AH256" s="237">
        <f t="shared" si="349"/>
        <v>0.26289318783332827</v>
      </c>
      <c r="AJ256" s="24">
        <f t="shared" si="367"/>
        <v>0.20883970254522777</v>
      </c>
    </row>
    <row r="257" spans="2:37" ht="12" x14ac:dyDescent="0.2">
      <c r="B257" s="84" t="s">
        <v>334</v>
      </c>
      <c r="C257" s="206">
        <v>-18426</v>
      </c>
      <c r="D257" s="206">
        <v>-32958</v>
      </c>
      <c r="E257" s="206">
        <v>-109994</v>
      </c>
      <c r="F257" s="83"/>
      <c r="G257" s="83">
        <v>-40508</v>
      </c>
      <c r="H257" s="83">
        <v>-55766</v>
      </c>
      <c r="I257" s="83">
        <v>-76867</v>
      </c>
      <c r="J257" s="84"/>
      <c r="K257" s="83">
        <v>-35064</v>
      </c>
      <c r="L257" s="83">
        <v>-79846</v>
      </c>
      <c r="M257" s="83">
        <v>-133788</v>
      </c>
      <c r="N257" s="84"/>
      <c r="O257" s="83">
        <v>-5868</v>
      </c>
      <c r="P257" s="83">
        <v>-24250</v>
      </c>
      <c r="Q257" s="83">
        <v>-14311</v>
      </c>
      <c r="R257" s="83"/>
      <c r="S257" s="83">
        <v>-5868</v>
      </c>
      <c r="T257" s="83"/>
      <c r="U257" s="83">
        <v>-72092</v>
      </c>
      <c r="V257" s="83"/>
      <c r="W257" s="84"/>
      <c r="X257" s="206">
        <v>-72276</v>
      </c>
      <c r="Y257" s="206">
        <v>-93552</v>
      </c>
      <c r="Z257" s="206">
        <v>-96648</v>
      </c>
      <c r="AA257" s="206">
        <v>-169857</v>
      </c>
      <c r="AB257" s="206">
        <v>-154150</v>
      </c>
      <c r="AC257" s="206">
        <v>-580804</v>
      </c>
      <c r="AD257" s="206">
        <v>-289894</v>
      </c>
      <c r="AE257" s="206"/>
      <c r="AF257" s="206">
        <v>-297708</v>
      </c>
      <c r="AG257" s="206"/>
      <c r="AH257" s="237">
        <f t="shared" si="349"/>
        <v>0.24532390657910685</v>
      </c>
      <c r="AJ257" s="24">
        <f t="shared" si="367"/>
        <v>0.22413145204586016</v>
      </c>
    </row>
    <row r="258" spans="2:37" ht="12" x14ac:dyDescent="0.2">
      <c r="B258" s="84" t="s">
        <v>668</v>
      </c>
      <c r="C258" s="206"/>
      <c r="D258" s="206"/>
      <c r="E258" s="206"/>
      <c r="F258" s="83"/>
      <c r="G258" s="83"/>
      <c r="H258" s="83"/>
      <c r="I258" s="83"/>
      <c r="J258" s="84"/>
      <c r="K258" s="83"/>
      <c r="L258" s="83"/>
      <c r="M258" s="83"/>
      <c r="N258" s="84"/>
      <c r="O258" s="83"/>
      <c r="P258" s="83"/>
      <c r="Q258" s="83"/>
      <c r="R258" s="83"/>
      <c r="S258" s="83"/>
      <c r="T258" s="83"/>
      <c r="U258" s="83"/>
      <c r="V258" s="83"/>
      <c r="W258" s="84"/>
      <c r="X258" s="457">
        <f>105755-21001</f>
        <v>84754</v>
      </c>
      <c r="Y258" s="457">
        <f>166300-14860</f>
        <v>151440</v>
      </c>
      <c r="Z258" s="457">
        <f>27712-93118</f>
        <v>-65406</v>
      </c>
      <c r="AA258" s="206"/>
      <c r="AB258" s="206"/>
      <c r="AC258" s="206"/>
      <c r="AD258" s="206"/>
      <c r="AE258" s="206"/>
      <c r="AF258" s="206"/>
      <c r="AG258" s="206"/>
      <c r="AH258" s="237"/>
      <c r="AJ258" s="24"/>
    </row>
    <row r="259" spans="2:37" ht="12" x14ac:dyDescent="0.2">
      <c r="B259" s="2" t="s">
        <v>75</v>
      </c>
      <c r="C259" s="20">
        <v>-2405</v>
      </c>
      <c r="D259" s="20">
        <v>-4654</v>
      </c>
      <c r="E259" s="20">
        <v>-7306</v>
      </c>
      <c r="F259" s="1"/>
      <c r="G259" s="1">
        <v>-2349</v>
      </c>
      <c r="H259" s="1">
        <v>-4837</v>
      </c>
      <c r="I259" s="33">
        <v>-7200</v>
      </c>
      <c r="K259" s="1">
        <v>-3175</v>
      </c>
      <c r="L259" s="33">
        <v>-12401</v>
      </c>
      <c r="M259" s="33">
        <v>-13291</v>
      </c>
      <c r="O259" s="1">
        <v>3891</v>
      </c>
      <c r="P259" s="1">
        <v>1582</v>
      </c>
      <c r="Q259" s="1">
        <v>-696</v>
      </c>
      <c r="R259" s="1"/>
      <c r="S259" s="1">
        <v>3891</v>
      </c>
      <c r="T259" s="1"/>
      <c r="U259" s="1">
        <v>-2107</v>
      </c>
      <c r="V259" s="1"/>
      <c r="X259" s="20">
        <v>0</v>
      </c>
      <c r="Y259" s="20">
        <v>-8159</v>
      </c>
      <c r="Z259" s="20">
        <v>-7889</v>
      </c>
      <c r="AA259" s="20">
        <v>-6736</v>
      </c>
      <c r="AB259" s="20">
        <v>-10123</v>
      </c>
      <c r="AC259" s="20">
        <v>-8866</v>
      </c>
      <c r="AD259" s="20">
        <v>-14265</v>
      </c>
      <c r="AE259" s="20"/>
      <c r="AF259" s="20">
        <v>-2678</v>
      </c>
      <c r="AG259" s="20"/>
      <c r="AH259" s="237">
        <f t="shared" si="349"/>
        <v>-0.35805112031143904</v>
      </c>
      <c r="AJ259" s="24" t="str">
        <f t="shared" si="367"/>
        <v/>
      </c>
    </row>
    <row r="260" spans="2:37" ht="12" x14ac:dyDescent="0.2">
      <c r="B260" s="2" t="s">
        <v>253</v>
      </c>
      <c r="C260" s="20">
        <v>0</v>
      </c>
      <c r="D260" s="20">
        <v>0</v>
      </c>
      <c r="E260" s="20">
        <v>0</v>
      </c>
      <c r="F260" s="1"/>
      <c r="G260" s="1"/>
      <c r="H260" s="1"/>
      <c r="I260" s="33"/>
      <c r="K260" s="1"/>
      <c r="L260" s="33"/>
      <c r="M260" s="33"/>
      <c r="O260" s="1"/>
      <c r="P260" s="1"/>
      <c r="Q260" s="1">
        <v>0</v>
      </c>
      <c r="R260" s="1"/>
      <c r="S260" s="1"/>
      <c r="T260" s="1"/>
      <c r="U260" s="1"/>
      <c r="V260" s="1"/>
      <c r="X260" s="20"/>
      <c r="Y260" s="20"/>
      <c r="Z260" s="20"/>
      <c r="AA260" s="20">
        <f>15020-58135</f>
        <v>-43115</v>
      </c>
      <c r="AB260" s="44">
        <f>1923-13557</f>
        <v>-11634</v>
      </c>
      <c r="AC260" s="20"/>
      <c r="AD260" s="20"/>
      <c r="AE260" s="20"/>
      <c r="AF260" s="20"/>
      <c r="AG260" s="20"/>
      <c r="AH260" s="237">
        <f t="shared" si="349"/>
        <v>-1</v>
      </c>
      <c r="AJ260" s="24" t="str">
        <f t="shared" si="367"/>
        <v/>
      </c>
    </row>
    <row r="261" spans="2:37" ht="14.25" x14ac:dyDescent="0.35">
      <c r="B261" s="84" t="s">
        <v>76</v>
      </c>
      <c r="C261" s="180">
        <v>-3826</v>
      </c>
      <c r="D261" s="180">
        <v>-9472</v>
      </c>
      <c r="E261" s="180">
        <v>-22080</v>
      </c>
      <c r="F261" s="181"/>
      <c r="G261" s="181">
        <v>-6887</v>
      </c>
      <c r="H261" s="181">
        <v>-16340</v>
      </c>
      <c r="I261" s="181">
        <v>-26558</v>
      </c>
      <c r="J261" s="84"/>
      <c r="K261" s="181">
        <v>-9752</v>
      </c>
      <c r="L261" s="181">
        <v>-20031</v>
      </c>
      <c r="M261" s="181">
        <v>-29427</v>
      </c>
      <c r="N261" s="84"/>
      <c r="O261" s="181">
        <v>-6850</v>
      </c>
      <c r="P261" s="181">
        <v>-15047</v>
      </c>
      <c r="Q261" s="181">
        <v>-22703</v>
      </c>
      <c r="R261" s="181"/>
      <c r="S261" s="181">
        <v>-6850</v>
      </c>
      <c r="T261" s="181"/>
      <c r="U261" s="181">
        <v>-2932</v>
      </c>
      <c r="V261" s="181"/>
      <c r="W261" s="84"/>
      <c r="X261" s="180">
        <v>-19028</v>
      </c>
      <c r="Y261" s="180">
        <v>-22179</v>
      </c>
      <c r="Z261" s="180">
        <v>-20593</v>
      </c>
      <c r="AA261" s="180">
        <v>-18592</v>
      </c>
      <c r="AB261" s="180">
        <v>-27896</v>
      </c>
      <c r="AC261" s="180">
        <v>-42470</v>
      </c>
      <c r="AD261" s="180">
        <v>-37973</v>
      </c>
      <c r="AE261" s="180"/>
      <c r="AF261" s="180">
        <v>-25655</v>
      </c>
      <c r="AG261" s="180"/>
      <c r="AH261" s="237">
        <f t="shared" si="349"/>
        <v>-2.7528919940573937E-2</v>
      </c>
      <c r="AI261" s="2" t="s">
        <v>409</v>
      </c>
      <c r="AJ261" s="24">
        <f t="shared" si="367"/>
        <v>4.3613862955557137E-2</v>
      </c>
    </row>
    <row r="262" spans="2:37" s="13" customFormat="1" ht="12" x14ac:dyDescent="0.2">
      <c r="B262" s="4" t="s">
        <v>77</v>
      </c>
      <c r="C262" s="18">
        <f>SUM(C253:C261)</f>
        <v>1861</v>
      </c>
      <c r="D262" s="18">
        <f>SUM(D253:D261)</f>
        <v>4740</v>
      </c>
      <c r="E262" s="18">
        <f t="shared" ref="E262" si="380">SUM(E253:E261)</f>
        <v>6813</v>
      </c>
      <c r="F262" s="18"/>
      <c r="G262" s="18">
        <f>SUM(G253:G261)</f>
        <v>-27999</v>
      </c>
      <c r="H262" s="18">
        <f>SUM(H253:H261)</f>
        <v>-45283</v>
      </c>
      <c r="I262" s="18">
        <f>SUM(I253:I261)</f>
        <v>-70881</v>
      </c>
      <c r="K262" s="18">
        <f>SUM(K253:K261)</f>
        <v>-14036</v>
      </c>
      <c r="L262" s="18">
        <f>SUM(L253:L261)</f>
        <v>-20658</v>
      </c>
      <c r="M262" s="18">
        <f>SUM(M253:M261)</f>
        <v>-27590</v>
      </c>
      <c r="O262" s="18">
        <f>SUM(O253:O261)</f>
        <v>15360</v>
      </c>
      <c r="P262" s="18">
        <f>SUM(P253:P261)</f>
        <v>-3532</v>
      </c>
      <c r="Q262" s="18">
        <f>SUM(Q253:Q261)</f>
        <v>5716</v>
      </c>
      <c r="R262" s="18"/>
      <c r="S262" s="18">
        <f>SUM(S253:S261)</f>
        <v>15360</v>
      </c>
      <c r="T262" s="18"/>
      <c r="U262" s="18">
        <f>SUM(U253:U261)</f>
        <v>-73700</v>
      </c>
      <c r="V262" s="18"/>
      <c r="X262" s="18">
        <f>SUM(X252:X261)</f>
        <v>89109</v>
      </c>
      <c r="Y262" s="18">
        <f>SUM(Y252:Y261)</f>
        <v>150108</v>
      </c>
      <c r="Z262" s="18">
        <f>SUM(Z252:Z261)</f>
        <v>-10739</v>
      </c>
      <c r="AA262" s="18">
        <f>SUM(AA253:AA261)</f>
        <v>521791</v>
      </c>
      <c r="AB262" s="18">
        <f t="shared" ref="AB262" si="381">SUM(AB253:AB261)</f>
        <v>-66427</v>
      </c>
      <c r="AC262" s="18">
        <f>SUM(AC253:AC261)</f>
        <v>-303268</v>
      </c>
      <c r="AD262" s="18">
        <f>SUM(AD253:AD261)</f>
        <v>-162265</v>
      </c>
      <c r="AE262" s="18"/>
      <c r="AF262" s="18">
        <f>SUM(AF253:AF261)</f>
        <v>-39419</v>
      </c>
      <c r="AG262" s="18"/>
      <c r="AH262" s="237">
        <f t="shared" si="349"/>
        <v>-0.15966267378031085</v>
      </c>
      <c r="AJ262" s="24">
        <f t="shared" si="367"/>
        <v>-1.8900158049999072</v>
      </c>
      <c r="AK262" s="62"/>
    </row>
    <row r="263" spans="2:37" ht="12" x14ac:dyDescent="0.2">
      <c r="B263" s="4" t="s">
        <v>78</v>
      </c>
      <c r="C263" s="5">
        <f>C236+C247+C262</f>
        <v>-119297</v>
      </c>
      <c r="D263" s="5">
        <f>D236+D247+D262</f>
        <v>-147506</v>
      </c>
      <c r="E263" s="5">
        <f>E236+E247+E262</f>
        <v>-197894</v>
      </c>
      <c r="F263" s="5"/>
      <c r="G263" s="5">
        <f>G236+G247+G262</f>
        <v>-130303</v>
      </c>
      <c r="H263" s="5">
        <f>H236+H247+H262</f>
        <v>-120600</v>
      </c>
      <c r="I263" s="5">
        <f>I236+I247+I262</f>
        <v>-116107</v>
      </c>
      <c r="K263" s="5">
        <f>K236+K247+K262</f>
        <v>-48169</v>
      </c>
      <c r="L263" s="5">
        <f>L236+L247+L262</f>
        <v>-62842</v>
      </c>
      <c r="M263" s="5">
        <f>M236+M247+M262</f>
        <v>-50089</v>
      </c>
      <c r="O263" s="5">
        <f>O236+O247+O262</f>
        <v>-9658</v>
      </c>
      <c r="P263" s="5">
        <f>P236+P247+P262</f>
        <v>-2470</v>
      </c>
      <c r="Q263" s="5">
        <f>Q236+Q247+Q262</f>
        <v>-42688</v>
      </c>
      <c r="R263" s="5"/>
      <c r="S263" s="5">
        <f>S236+S247+S262</f>
        <v>-9658</v>
      </c>
      <c r="T263" s="5"/>
      <c r="U263" s="5">
        <f>U236+U247+U262</f>
        <v>-17814</v>
      </c>
      <c r="V263" s="5"/>
      <c r="X263" s="5"/>
      <c r="Y263" s="5"/>
      <c r="Z263" s="5"/>
      <c r="AA263" s="5">
        <f>AA236+AA247+AA262</f>
        <v>407886.06273257965</v>
      </c>
      <c r="AB263" s="5">
        <f>AB236+AB247+AB262</f>
        <v>-85302.017821295536</v>
      </c>
      <c r="AC263" s="5">
        <f>AC236+AC247+AC262</f>
        <v>-250696.026435276</v>
      </c>
      <c r="AD263" s="5">
        <f>AD236+AD247+AD262</f>
        <v>-40699.025318794666</v>
      </c>
      <c r="AE263" s="5"/>
      <c r="AF263" s="5">
        <f>AF236+AF247+AF262</f>
        <v>-18463.038992945192</v>
      </c>
      <c r="AG263" s="5"/>
      <c r="AH263" s="237">
        <f t="shared" si="349"/>
        <v>-0.3995899393673622</v>
      </c>
      <c r="AJ263" s="24" t="str">
        <f t="shared" si="367"/>
        <v/>
      </c>
    </row>
    <row r="264" spans="2:37" ht="12" x14ac:dyDescent="0.2">
      <c r="B264" s="2" t="s">
        <v>79</v>
      </c>
      <c r="C264" s="20">
        <v>509059</v>
      </c>
      <c r="D264" s="20">
        <v>509059</v>
      </c>
      <c r="E264" s="20">
        <v>509059</v>
      </c>
      <c r="F264" s="1"/>
      <c r="G264" s="1">
        <v>426215</v>
      </c>
      <c r="H264" s="1">
        <v>426215</v>
      </c>
      <c r="I264" s="1">
        <v>426215</v>
      </c>
      <c r="K264" s="1">
        <v>175252</v>
      </c>
      <c r="L264" s="37">
        <f>K264</f>
        <v>175252</v>
      </c>
      <c r="M264" s="37">
        <f>K264</f>
        <v>175252</v>
      </c>
      <c r="O264" s="1">
        <v>133529</v>
      </c>
      <c r="P264" s="1">
        <v>133529</v>
      </c>
      <c r="Q264" s="1">
        <v>133529</v>
      </c>
      <c r="R264" s="1"/>
      <c r="S264" s="1">
        <v>133529</v>
      </c>
      <c r="T264" s="1"/>
      <c r="U264" s="1">
        <v>112759</v>
      </c>
      <c r="V264" s="1"/>
      <c r="X264" s="20"/>
      <c r="Y264" s="20"/>
      <c r="Z264" s="20"/>
      <c r="AA264" s="20">
        <v>95803</v>
      </c>
      <c r="AB264" s="20">
        <v>509059</v>
      </c>
      <c r="AC264" s="20">
        <v>426215</v>
      </c>
      <c r="AD264" s="20">
        <v>175252</v>
      </c>
      <c r="AE264" s="20"/>
      <c r="AF264" s="20">
        <v>133529</v>
      </c>
      <c r="AG264" s="20"/>
      <c r="AH264" s="237">
        <f t="shared" si="349"/>
        <v>-0.35986855883284563</v>
      </c>
      <c r="AJ264" s="24" t="str">
        <f t="shared" si="367"/>
        <v/>
      </c>
    </row>
    <row r="265" spans="2:37" ht="12" x14ac:dyDescent="0.2">
      <c r="B265" s="12" t="s">
        <v>80</v>
      </c>
      <c r="C265" s="20">
        <v>784</v>
      </c>
      <c r="D265" s="20">
        <v>2976</v>
      </c>
      <c r="E265" s="20">
        <v>5629</v>
      </c>
      <c r="F265" s="1"/>
      <c r="G265" s="1">
        <v>-1066</v>
      </c>
      <c r="H265" s="1">
        <v>-740</v>
      </c>
      <c r="I265" s="1">
        <v>628</v>
      </c>
      <c r="K265" s="1">
        <v>-124</v>
      </c>
      <c r="L265" s="33">
        <v>-278</v>
      </c>
      <c r="M265" s="33">
        <v>-1791</v>
      </c>
      <c r="O265" s="1">
        <v>-1093</v>
      </c>
      <c r="P265" s="1">
        <v>-3827</v>
      </c>
      <c r="Q265" s="1">
        <v>-2938</v>
      </c>
      <c r="R265" s="1"/>
      <c r="S265" s="1">
        <v>-1093</v>
      </c>
      <c r="T265" s="1"/>
      <c r="U265" s="1">
        <v>694</v>
      </c>
      <c r="V265" s="1"/>
      <c r="X265" s="20"/>
      <c r="Y265" s="20"/>
      <c r="Z265" s="20"/>
      <c r="AA265" s="20">
        <v>5370</v>
      </c>
      <c r="AB265" s="20">
        <v>2454</v>
      </c>
      <c r="AC265" s="20">
        <v>-267</v>
      </c>
      <c r="AD265" s="20">
        <v>-1026</v>
      </c>
      <c r="AE265" s="20"/>
      <c r="AF265" s="20">
        <v>-2806</v>
      </c>
      <c r="AG265" s="20"/>
      <c r="AH265" s="237">
        <f t="shared" si="349"/>
        <v>-2.045693406019355</v>
      </c>
      <c r="AJ265" s="24" t="str">
        <f t="shared" si="367"/>
        <v/>
      </c>
    </row>
    <row r="266" spans="2:37" ht="12" x14ac:dyDescent="0.2">
      <c r="B266" s="2" t="s">
        <v>81</v>
      </c>
      <c r="C266" s="5">
        <f>C264+C263+C265</f>
        <v>390546</v>
      </c>
      <c r="D266" s="5">
        <f>D264+D263+D265</f>
        <v>364529</v>
      </c>
      <c r="E266" s="5">
        <f t="shared" ref="E266" si="382">E264+E263+E265</f>
        <v>316794</v>
      </c>
      <c r="F266" s="5"/>
      <c r="G266" s="5">
        <f>G264+G263+G265</f>
        <v>294846</v>
      </c>
      <c r="H266" s="5">
        <f>H264+H263+H265</f>
        <v>304875</v>
      </c>
      <c r="I266" s="5">
        <f>I264+I263+I265</f>
        <v>310736</v>
      </c>
      <c r="K266" s="5">
        <f>K264+K263+K265</f>
        <v>126959</v>
      </c>
      <c r="L266" s="5">
        <f>L264+L263+L265</f>
        <v>112132</v>
      </c>
      <c r="M266" s="5">
        <f>M264+M263+M265</f>
        <v>123372</v>
      </c>
      <c r="O266" s="5">
        <f>O264+O263+O265</f>
        <v>122778</v>
      </c>
      <c r="P266" s="5">
        <f>P264+P263+P265</f>
        <v>127232</v>
      </c>
      <c r="Q266" s="5">
        <f>Q264+Q263+Q265</f>
        <v>87903</v>
      </c>
      <c r="R266" s="5"/>
      <c r="S266" s="5">
        <f>S264+S263+S265</f>
        <v>122778</v>
      </c>
      <c r="T266" s="5"/>
      <c r="U266" s="5">
        <f>U264+U263+U265</f>
        <v>95639</v>
      </c>
      <c r="V266" s="5"/>
      <c r="X266" s="5"/>
      <c r="Y266" s="5"/>
      <c r="Z266" s="5"/>
      <c r="AA266" s="5">
        <f>AA264+AA263+AA265</f>
        <v>509059.06273257965</v>
      </c>
      <c r="AB266" s="5">
        <f t="shared" ref="AB266" si="383">AB264+AB263+AB265</f>
        <v>426210.98217870446</v>
      </c>
      <c r="AC266" s="5">
        <f>AC264+AC263+AC265</f>
        <v>175251.973564724</v>
      </c>
      <c r="AD266" s="5">
        <f>AD264+AD263+AD265</f>
        <v>133526.97468120535</v>
      </c>
      <c r="AE266" s="5"/>
      <c r="AF266" s="5">
        <f>AF264+AF263+AF265</f>
        <v>112259.96100705481</v>
      </c>
      <c r="AG266" s="5"/>
      <c r="AH266" s="237">
        <f t="shared" si="349"/>
        <v>-0.35898712830099599</v>
      </c>
      <c r="AJ266" s="24" t="str">
        <f t="shared" si="367"/>
        <v/>
      </c>
    </row>
    <row r="267" spans="2:37" x14ac:dyDescent="0.25">
      <c r="AH267" s="237" t="str">
        <f t="shared" si="349"/>
        <v/>
      </c>
      <c r="AJ267" s="24" t="str">
        <f t="shared" si="367"/>
        <v/>
      </c>
    </row>
    <row r="268" spans="2:37" x14ac:dyDescent="0.25">
      <c r="B268" s="2" t="s">
        <v>190</v>
      </c>
      <c r="AH268" s="237" t="str">
        <f t="shared" si="349"/>
        <v/>
      </c>
      <c r="AJ268" s="24" t="str">
        <f t="shared" si="367"/>
        <v/>
      </c>
    </row>
    <row r="269" spans="2:37" ht="12" x14ac:dyDescent="0.2">
      <c r="B269" s="9" t="s">
        <v>216</v>
      </c>
      <c r="D269" s="5"/>
      <c r="E269" s="5">
        <f>E293+E294+E295</f>
        <v>208094</v>
      </c>
      <c r="I269" s="5">
        <f>I293+I294+I295</f>
        <v>190189</v>
      </c>
      <c r="P269" s="5">
        <f>P293+P294+P295</f>
        <v>124048</v>
      </c>
      <c r="Q269" s="5">
        <f>Q293+Q294+Q295</f>
        <v>131628</v>
      </c>
      <c r="R269" s="5"/>
      <c r="S269" s="5"/>
      <c r="T269" s="5"/>
      <c r="V269" s="5"/>
      <c r="X269" s="5"/>
      <c r="Y269" s="5"/>
      <c r="Z269" s="5"/>
      <c r="AA269" s="5">
        <f>AA293+AA294+AA295</f>
        <v>195082</v>
      </c>
      <c r="AB269" s="5">
        <f t="shared" ref="AB269" si="384">AB293+AB294+AB295</f>
        <v>276848</v>
      </c>
      <c r="AC269" s="5">
        <f>AC293+AC294+AC295</f>
        <v>143345</v>
      </c>
      <c r="AD269" s="5">
        <f>AD293+AD294+AD295</f>
        <v>209760</v>
      </c>
      <c r="AE269" s="5">
        <f>AE293+AE294+AE295</f>
        <v>145309</v>
      </c>
      <c r="AF269" s="5">
        <f>AF293+AF294+AF295</f>
        <v>180786</v>
      </c>
      <c r="AG269" s="5"/>
      <c r="AH269" s="237">
        <f t="shared" si="349"/>
        <v>-0.13242345602814742</v>
      </c>
      <c r="AJ269" s="24" t="str">
        <f t="shared" si="367"/>
        <v/>
      </c>
    </row>
    <row r="270" spans="2:37" ht="12" x14ac:dyDescent="0.2">
      <c r="B270" s="9" t="s">
        <v>218</v>
      </c>
      <c r="D270" s="5"/>
      <c r="E270" s="5">
        <f>E296+E300+E301+E302+E303+E304+E307+E308</f>
        <v>181358</v>
      </c>
      <c r="I270" s="5">
        <f>I296+I300+I301+I302+I303+I304+I307+I308</f>
        <v>213610</v>
      </c>
      <c r="P270" s="5">
        <f>P296+P300+P301+P302+P303+P304+P307+P308</f>
        <v>174351</v>
      </c>
      <c r="Q270" s="5">
        <f>Q296+Q300+Q301+Q302+Q303+Q304+Q307+Q308</f>
        <v>132738</v>
      </c>
      <c r="R270" s="5"/>
      <c r="S270" s="5"/>
      <c r="T270" s="5"/>
      <c r="V270" s="5"/>
      <c r="X270" s="5"/>
      <c r="Y270" s="5"/>
      <c r="Z270" s="5"/>
      <c r="AA270" s="5">
        <f>AA296+AA300+AA301+AA302+AA303+AA304+AA307+AA308</f>
        <v>111999</v>
      </c>
      <c r="AB270" s="5">
        <f t="shared" ref="AB270" si="385">AB296+AB300+AB301+AB302+AB303+AB304+AB307+AB308</f>
        <v>278345</v>
      </c>
      <c r="AC270" s="5">
        <f>AC296+AC300+AC301+AC302+AC303+AC304+AC307+AC308</f>
        <v>287478</v>
      </c>
      <c r="AD270" s="5">
        <f>AD296+AD300+AD301+AD302+AD303+AD304+AD307+AD308</f>
        <v>301677</v>
      </c>
      <c r="AE270" s="5">
        <f>AE296+AE300+AE301+AE302+AE303+AE304+AE307+AE308</f>
        <v>236300</v>
      </c>
      <c r="AF270" s="5">
        <f>AF296+AF300+AF301+AF302+AF303+AF304+AF307+AF308</f>
        <v>273050</v>
      </c>
      <c r="AG270" s="5"/>
      <c r="AH270" s="237">
        <f t="shared" si="349"/>
        <v>-6.3816909181263481E-3</v>
      </c>
      <c r="AJ270" s="24" t="str">
        <f t="shared" si="367"/>
        <v/>
      </c>
    </row>
    <row r="271" spans="2:37" ht="14.25" x14ac:dyDescent="0.35">
      <c r="B271" s="9" t="s">
        <v>217</v>
      </c>
      <c r="D271" s="17"/>
      <c r="E271" s="17">
        <f>E297+E298+E299+E305+E306</f>
        <v>48649</v>
      </c>
      <c r="I271" s="17">
        <f>I297+I298+I299+I305+I306</f>
        <v>49098</v>
      </c>
      <c r="P271" s="17">
        <f>P297+P298+P299+P305+P306</f>
        <v>29465</v>
      </c>
      <c r="Q271" s="17">
        <f>Q297+Q298+Q299+Q305+Q306</f>
        <v>17411</v>
      </c>
      <c r="R271" s="17"/>
      <c r="S271" s="17"/>
      <c r="T271" s="17"/>
      <c r="V271" s="17"/>
      <c r="X271" s="17"/>
      <c r="Y271" s="17"/>
      <c r="Z271" s="17"/>
      <c r="AA271" s="17">
        <f>AA297+AA298+AA299+AA305+AA306</f>
        <v>69360</v>
      </c>
      <c r="AB271" s="17">
        <f t="shared" ref="AB271" si="386">AB297+AB298+AB299+AB305+AB306</f>
        <v>82686</v>
      </c>
      <c r="AC271" s="17">
        <f>AC297+AC298+AC299+AC305+AC306</f>
        <v>43604</v>
      </c>
      <c r="AD271" s="17">
        <f>AD297+AD298+AD299+AD305+AD306</f>
        <v>50788</v>
      </c>
      <c r="AE271" s="17">
        <f>AE297+AE298+AE299+AE305+AE306</f>
        <v>26988</v>
      </c>
      <c r="AF271" s="17">
        <f>AF297+AF298+AF299+AF305+AF306</f>
        <v>22461</v>
      </c>
      <c r="AG271" s="17"/>
      <c r="AH271" s="237">
        <f t="shared" si="349"/>
        <v>-0.35236193244988345</v>
      </c>
      <c r="AJ271" s="24" t="str">
        <f t="shared" si="367"/>
        <v/>
      </c>
    </row>
    <row r="272" spans="2:37" ht="12" x14ac:dyDescent="0.2">
      <c r="B272" s="13" t="s">
        <v>219</v>
      </c>
      <c r="D272" s="18"/>
      <c r="E272" s="18">
        <f>E269+E270+E271</f>
        <v>438101</v>
      </c>
      <c r="I272" s="18">
        <f>I269+I270+I271</f>
        <v>452897</v>
      </c>
      <c r="P272" s="18">
        <f>P269+P270+P271</f>
        <v>327864</v>
      </c>
      <c r="Q272" s="18">
        <f>Q269+Q270+Q271</f>
        <v>281777</v>
      </c>
      <c r="R272" s="18"/>
      <c r="S272" s="18"/>
      <c r="T272" s="18"/>
      <c r="V272" s="18"/>
      <c r="X272" s="18"/>
      <c r="Y272" s="18"/>
      <c r="Z272" s="18"/>
      <c r="AA272" s="18">
        <f>AA269+AA270+AA271</f>
        <v>376441</v>
      </c>
      <c r="AB272" s="18">
        <f t="shared" ref="AB272" si="387">AB269+AB270+AB271</f>
        <v>637879</v>
      </c>
      <c r="AC272" s="18">
        <f>AC269+AC270+AC271</f>
        <v>474427</v>
      </c>
      <c r="AD272" s="18">
        <f>AD269+AD270+AD271</f>
        <v>562225</v>
      </c>
      <c r="AE272" s="18">
        <f>AE269+AE270+AE271</f>
        <v>408597</v>
      </c>
      <c r="AF272" s="18">
        <f>AF269+AF270+AF271</f>
        <v>476297</v>
      </c>
      <c r="AG272" s="18"/>
      <c r="AH272" s="237">
        <f t="shared" si="349"/>
        <v>-9.2778820540983631E-2</v>
      </c>
      <c r="AI272" s="24">
        <f>((AD272/AA272)^(1/(2024-2021)))-1</f>
        <v>0.14306539775995764</v>
      </c>
      <c r="AJ272" s="24" t="str">
        <f t="shared" si="367"/>
        <v/>
      </c>
    </row>
    <row r="273" spans="2:36" ht="12" x14ac:dyDescent="0.2">
      <c r="B273" s="6" t="s">
        <v>227</v>
      </c>
      <c r="D273" s="24"/>
      <c r="E273" s="24">
        <f>E272/E$285</f>
        <v>0.48005807582730659</v>
      </c>
      <c r="I273" s="24">
        <f>I272/I$285</f>
        <v>0.43457363716267305</v>
      </c>
      <c r="P273" s="24">
        <f>P272/P$285</f>
        <v>0.39903801683470541</v>
      </c>
      <c r="Q273" s="24">
        <f>Q272/Q$285</f>
        <v>0.43880382715511068</v>
      </c>
      <c r="R273" s="24"/>
      <c r="S273" s="24"/>
      <c r="T273" s="24"/>
      <c r="V273" s="24"/>
      <c r="X273" s="24"/>
      <c r="Y273" s="24"/>
      <c r="Z273" s="24"/>
      <c r="AA273" s="24">
        <f t="shared" ref="AA273:AF273" si="388">AA272/AA$285</f>
        <v>0.4825844943670422</v>
      </c>
      <c r="AB273" s="24">
        <f t="shared" si="388"/>
        <v>0.48837179033697919</v>
      </c>
      <c r="AC273" s="24">
        <f t="shared" si="388"/>
        <v>0.37346223239616233</v>
      </c>
      <c r="AD273" s="24">
        <f t="shared" si="388"/>
        <v>0.37640434017351859</v>
      </c>
      <c r="AE273" s="24">
        <f t="shared" si="388"/>
        <v>0.4801233806292412</v>
      </c>
      <c r="AF273" s="24">
        <f t="shared" si="388"/>
        <v>0.48634935481466429</v>
      </c>
      <c r="AG273" s="116"/>
      <c r="AH273" s="237">
        <f t="shared" si="349"/>
        <v>-1.382303236727167E-3</v>
      </c>
      <c r="AJ273" s="24" t="str">
        <f t="shared" si="367"/>
        <v/>
      </c>
    </row>
    <row r="274" spans="2:36" ht="15.75" customHeight="1" x14ac:dyDescent="0.2">
      <c r="B274" s="9" t="s">
        <v>220</v>
      </c>
      <c r="D274" s="5"/>
      <c r="E274" s="5">
        <f>E309+E310</f>
        <v>186545</v>
      </c>
      <c r="I274" s="5">
        <f>I309+I310</f>
        <v>249694</v>
      </c>
      <c r="P274" s="5">
        <f>P309+P310</f>
        <v>214821</v>
      </c>
      <c r="Q274" s="5">
        <f>Q309+Q310</f>
        <v>301715</v>
      </c>
      <c r="R274" s="5"/>
      <c r="S274" s="5"/>
      <c r="T274" s="5"/>
      <c r="V274" s="5"/>
      <c r="X274" s="5"/>
      <c r="Y274" s="5"/>
      <c r="Z274" s="5"/>
      <c r="AA274" s="5">
        <f>AA309+AA310</f>
        <v>127204</v>
      </c>
      <c r="AB274" s="5">
        <f t="shared" ref="AB274" si="389">AB309+AB310</f>
        <v>271758</v>
      </c>
      <c r="AC274" s="5">
        <f>AC309+AC310</f>
        <v>344778</v>
      </c>
      <c r="AD274" s="5">
        <f>AD309+AD310</f>
        <v>398764</v>
      </c>
      <c r="AE274" s="5">
        <f>AE309+AE310</f>
        <v>367407</v>
      </c>
      <c r="AF274" s="5">
        <f>AF309+AF310</f>
        <v>417857</v>
      </c>
      <c r="AG274" s="5"/>
      <c r="AH274" s="237">
        <f t="shared" si="349"/>
        <v>0.15420189075643465</v>
      </c>
      <c r="AJ274" s="24" t="str">
        <f t="shared" si="367"/>
        <v/>
      </c>
    </row>
    <row r="275" spans="2:36" ht="14.25" x14ac:dyDescent="0.35">
      <c r="B275" s="9" t="s">
        <v>222</v>
      </c>
      <c r="D275" s="17"/>
      <c r="E275" s="17">
        <f>E311+E312+E313</f>
        <v>133212</v>
      </c>
      <c r="I275" s="17">
        <f>I311+I312+I313</f>
        <v>191496</v>
      </c>
      <c r="P275" s="17">
        <f>P311+P312+P313</f>
        <v>155488</v>
      </c>
      <c r="Q275" s="17">
        <f>Q311+Q312+Q313</f>
        <v>3256</v>
      </c>
      <c r="R275" s="17"/>
      <c r="S275" s="17"/>
      <c r="T275" s="17"/>
      <c r="V275" s="17"/>
      <c r="X275" s="17"/>
      <c r="Y275" s="17"/>
      <c r="Z275" s="17"/>
      <c r="AA275" s="17">
        <f>AA311+AA312+AA313</f>
        <v>117158</v>
      </c>
      <c r="AB275" s="17">
        <f t="shared" ref="AB275" si="390">AB311+AB312+AB313</f>
        <v>191429</v>
      </c>
      <c r="AC275" s="17">
        <f>AC311+AC312+AC313</f>
        <v>254522</v>
      </c>
      <c r="AD275" s="17">
        <f>AD311+AD312+AD313</f>
        <v>293054</v>
      </c>
      <c r="AE275" s="17">
        <f>AE311+AE312+AE313</f>
        <v>2086</v>
      </c>
      <c r="AF275" s="17">
        <f>AF311+AF312+AF313</f>
        <v>6870</v>
      </c>
      <c r="AG275" s="17"/>
      <c r="AH275" s="237">
        <f t="shared" si="349"/>
        <v>-0.67015011616425213</v>
      </c>
      <c r="AJ275" s="24" t="str">
        <f t="shared" si="367"/>
        <v/>
      </c>
    </row>
    <row r="276" spans="2:36" ht="12" x14ac:dyDescent="0.2">
      <c r="B276" s="13" t="s">
        <v>221</v>
      </c>
      <c r="D276" s="18"/>
      <c r="E276" s="18">
        <f>E274+E275</f>
        <v>319757</v>
      </c>
      <c r="I276" s="18">
        <f>I274+I275</f>
        <v>441190</v>
      </c>
      <c r="P276" s="18">
        <f>P274+P275</f>
        <v>370309</v>
      </c>
      <c r="Q276" s="18">
        <f>Q274+Q275</f>
        <v>304971</v>
      </c>
      <c r="R276" s="18"/>
      <c r="S276" s="18"/>
      <c r="T276" s="18"/>
      <c r="V276" s="18"/>
      <c r="X276" s="18"/>
      <c r="Y276" s="18"/>
      <c r="Z276" s="18"/>
      <c r="AA276" s="18">
        <f>AA274+AA275</f>
        <v>244362</v>
      </c>
      <c r="AB276" s="18">
        <f t="shared" ref="AB276" si="391">AB274+AB275</f>
        <v>463187</v>
      </c>
      <c r="AC276" s="18">
        <f>AC274+AC275</f>
        <v>599300</v>
      </c>
      <c r="AD276" s="18">
        <f>AD274+AD275</f>
        <v>691818</v>
      </c>
      <c r="AE276" s="18">
        <f>AE274+AE275</f>
        <v>369493</v>
      </c>
      <c r="AF276" s="18">
        <f>AF274+AF275</f>
        <v>424727</v>
      </c>
      <c r="AG276" s="18"/>
      <c r="AH276" s="237">
        <f t="shared" si="349"/>
        <v>-2.8481288779816927E-2</v>
      </c>
      <c r="AI276" s="24">
        <f>((AD276/AA276)^(1/(2024-2021)))-1</f>
        <v>0.41466213342207237</v>
      </c>
      <c r="AJ276" s="24" t="str">
        <f t="shared" si="367"/>
        <v/>
      </c>
    </row>
    <row r="277" spans="2:36" ht="12" x14ac:dyDescent="0.2">
      <c r="B277" s="6" t="s">
        <v>227</v>
      </c>
      <c r="D277" s="24"/>
      <c r="E277" s="24">
        <f>E276/E$285</f>
        <v>0.35038023230330922</v>
      </c>
      <c r="I277" s="24">
        <f>I276/I$285</f>
        <v>0.42334028041651794</v>
      </c>
      <c r="P277" s="24">
        <f>P276/P$285</f>
        <v>0.45069714569468716</v>
      </c>
      <c r="Q277" s="24">
        <f>Q276/Q$285</f>
        <v>0.47492322642132345</v>
      </c>
      <c r="R277" s="24"/>
      <c r="S277" s="24"/>
      <c r="T277" s="24"/>
      <c r="V277" s="24"/>
      <c r="X277" s="24"/>
      <c r="Y277" s="24"/>
      <c r="Z277" s="24"/>
      <c r="AA277" s="24">
        <f t="shared" ref="AA277:AF277" si="392">AA276/AA$285</f>
        <v>0.31326373113587297</v>
      </c>
      <c r="AB277" s="24">
        <f t="shared" si="392"/>
        <v>0.35462441066536815</v>
      </c>
      <c r="AC277" s="24">
        <f t="shared" si="392"/>
        <v>0.47176049397487935</v>
      </c>
      <c r="AD277" s="24">
        <f t="shared" si="392"/>
        <v>0.46316563263846905</v>
      </c>
      <c r="AE277" s="24">
        <f t="shared" si="392"/>
        <v>0.43417408419259129</v>
      </c>
      <c r="AF277" s="24">
        <f t="shared" si="392"/>
        <v>0.43369095841957417</v>
      </c>
      <c r="AG277" s="116"/>
      <c r="AH277" s="237">
        <f t="shared" si="349"/>
        <v>6.939277843981384E-2</v>
      </c>
      <c r="AJ277" s="24" t="str">
        <f t="shared" si="367"/>
        <v/>
      </c>
    </row>
    <row r="278" spans="2:36" ht="12" x14ac:dyDescent="0.2">
      <c r="B278" s="9" t="s">
        <v>207</v>
      </c>
      <c r="D278" s="5"/>
      <c r="E278" s="5">
        <f>E314</f>
        <v>77049</v>
      </c>
      <c r="I278" s="5">
        <f>I314</f>
        <v>75819</v>
      </c>
      <c r="P278" s="5">
        <f>P314</f>
        <v>55382</v>
      </c>
      <c r="Q278" s="5">
        <f>Q314</f>
        <v>11767</v>
      </c>
      <c r="R278" s="5"/>
      <c r="S278" s="5"/>
      <c r="T278" s="5"/>
      <c r="V278" s="5"/>
      <c r="X278" s="5"/>
      <c r="Y278" s="5"/>
      <c r="Z278" s="5"/>
      <c r="AA278" s="5">
        <f>AA314</f>
        <v>100921</v>
      </c>
      <c r="AB278" s="5">
        <f t="shared" ref="AB278" si="393">AB314</f>
        <v>102025</v>
      </c>
      <c r="AC278" s="5">
        <f t="shared" ref="AC278:AF279" si="394">AC314</f>
        <v>99060</v>
      </c>
      <c r="AD278" s="5">
        <f t="shared" si="394"/>
        <v>111115</v>
      </c>
      <c r="AE278" s="5">
        <f t="shared" si="394"/>
        <v>12706</v>
      </c>
      <c r="AF278" s="5">
        <f t="shared" si="394"/>
        <v>17570</v>
      </c>
      <c r="AG278" s="5"/>
      <c r="AH278" s="237">
        <f t="shared" si="349"/>
        <v>-0.44364108348468245</v>
      </c>
      <c r="AJ278" s="24" t="str">
        <f t="shared" si="367"/>
        <v/>
      </c>
    </row>
    <row r="279" spans="2:36" ht="12" x14ac:dyDescent="0.2">
      <c r="B279" s="9" t="s">
        <v>224</v>
      </c>
      <c r="D279" s="5"/>
      <c r="E279" s="5">
        <f>E315</f>
        <v>29479</v>
      </c>
      <c r="I279" s="5">
        <f>I315</f>
        <v>23167</v>
      </c>
      <c r="P279" s="5">
        <f>P315</f>
        <v>22671</v>
      </c>
      <c r="Q279" s="5">
        <f>Q315</f>
        <v>4988</v>
      </c>
      <c r="R279" s="5"/>
      <c r="S279" s="5"/>
      <c r="T279" s="5"/>
      <c r="V279" s="5"/>
      <c r="X279" s="5"/>
      <c r="Y279" s="5"/>
      <c r="Z279" s="5"/>
      <c r="AA279" s="5">
        <f>AA315</f>
        <v>33764</v>
      </c>
      <c r="AB279" s="5">
        <f t="shared" ref="AB279" si="395">AB315</f>
        <v>38271</v>
      </c>
      <c r="AC279" s="5">
        <f t="shared" si="394"/>
        <v>32045</v>
      </c>
      <c r="AD279" s="5">
        <f t="shared" si="394"/>
        <v>41605</v>
      </c>
      <c r="AE279" s="5">
        <f t="shared" si="394"/>
        <v>7389</v>
      </c>
      <c r="AF279" s="5">
        <f t="shared" si="394"/>
        <v>7761</v>
      </c>
      <c r="AG279" s="5"/>
      <c r="AH279" s="237">
        <f t="shared" si="349"/>
        <v>-0.41248906034672106</v>
      </c>
      <c r="AJ279" s="24" t="str">
        <f t="shared" si="367"/>
        <v/>
      </c>
    </row>
    <row r="280" spans="2:36" ht="14.25" x14ac:dyDescent="0.35">
      <c r="B280" s="9" t="s">
        <v>225</v>
      </c>
      <c r="D280" s="17"/>
      <c r="E280" s="17">
        <f>E316+E317</f>
        <v>44271</v>
      </c>
      <c r="I280" s="17">
        <f>I316+I317</f>
        <v>43896</v>
      </c>
      <c r="P280" s="17">
        <f>P316+P317</f>
        <v>39490</v>
      </c>
      <c r="Q280" s="17">
        <f>Q316+Q317</f>
        <v>35074</v>
      </c>
      <c r="R280" s="17"/>
      <c r="S280" s="17"/>
      <c r="T280" s="17"/>
      <c r="V280" s="17"/>
      <c r="X280" s="17"/>
      <c r="Y280" s="17"/>
      <c r="Z280" s="17"/>
      <c r="AA280" s="17">
        <f>AA316+AA317</f>
        <v>19086</v>
      </c>
      <c r="AB280" s="17">
        <f t="shared" ref="AB280" si="396">AB316+AB317</f>
        <v>58602</v>
      </c>
      <c r="AC280" s="17">
        <f>AC316+AC317</f>
        <v>60397</v>
      </c>
      <c r="AD280" s="17">
        <f>AD316+AD317</f>
        <v>76783</v>
      </c>
      <c r="AE280" s="17">
        <f>AE316+AE317</f>
        <v>48673</v>
      </c>
      <c r="AF280" s="17">
        <f>AF316+AF317</f>
        <v>48091</v>
      </c>
      <c r="AG280" s="17"/>
      <c r="AH280" s="237">
        <f t="shared" si="349"/>
        <v>-6.3767334141260013E-2</v>
      </c>
      <c r="AJ280" s="24" t="str">
        <f t="shared" ref="AJ280:AJ311" si="397">IFERROR((AF280/X280)^(1/(2025-2018))-1,"")</f>
        <v/>
      </c>
    </row>
    <row r="281" spans="2:36" ht="12" x14ac:dyDescent="0.2">
      <c r="B281" s="13" t="s">
        <v>223</v>
      </c>
      <c r="D281" s="18"/>
      <c r="E281" s="18">
        <f>E279+E280+E278</f>
        <v>150799</v>
      </c>
      <c r="I281" s="18">
        <f>I279+I280+I278</f>
        <v>142882</v>
      </c>
      <c r="P281" s="18">
        <f>P279+P280+P278</f>
        <v>117543</v>
      </c>
      <c r="Q281" s="18">
        <f>Q279+Q280+Q278</f>
        <v>51829</v>
      </c>
      <c r="R281" s="18"/>
      <c r="S281" s="18"/>
      <c r="T281" s="18"/>
      <c r="V281" s="18"/>
      <c r="X281" s="18"/>
      <c r="Y281" s="18"/>
      <c r="Z281" s="18"/>
      <c r="AA281" s="18">
        <f>AA279+AA280+AA278</f>
        <v>153771</v>
      </c>
      <c r="AB281" s="18">
        <f t="shared" ref="AB281" si="398">AB279+AB280+AB278</f>
        <v>198898</v>
      </c>
      <c r="AC281" s="18">
        <f>AC279+AC280+AC278</f>
        <v>191502</v>
      </c>
      <c r="AD281" s="18">
        <f>AD279+AD280+AD278</f>
        <v>229503</v>
      </c>
      <c r="AE281" s="18">
        <f>AE279+AE280+AE278</f>
        <v>68768</v>
      </c>
      <c r="AF281" s="18">
        <f>AF279+AF280+AF278</f>
        <v>73422</v>
      </c>
      <c r="AG281" s="18"/>
      <c r="AH281" s="237">
        <f t="shared" si="349"/>
        <v>-0.28264863104630766</v>
      </c>
      <c r="AI281" s="24">
        <f>((AD281/AA281)^(1/(2024-2021)))-1</f>
        <v>0.14280283584708919</v>
      </c>
      <c r="AJ281" s="24" t="str">
        <f t="shared" si="397"/>
        <v/>
      </c>
    </row>
    <row r="282" spans="2:36" ht="12" x14ac:dyDescent="0.2">
      <c r="B282" s="6" t="s">
        <v>227</v>
      </c>
      <c r="D282" s="24"/>
      <c r="E282" s="24">
        <f>E281/E$285</f>
        <v>0.1652410694718387</v>
      </c>
      <c r="I282" s="24">
        <f>I281/I$285</f>
        <v>0.13710126237329248</v>
      </c>
      <c r="P282" s="24">
        <f>P281/P$285</f>
        <v>0.14305970040261137</v>
      </c>
      <c r="Q282" s="24">
        <f>Q281/Q$285</f>
        <v>8.0711923108068545E-2</v>
      </c>
      <c r="R282" s="24"/>
      <c r="S282" s="24"/>
      <c r="T282" s="24"/>
      <c r="V282" s="24"/>
      <c r="X282" s="24"/>
      <c r="Y282" s="24"/>
      <c r="Z282" s="24"/>
      <c r="AA282" s="24">
        <f t="shared" ref="AA282:AF282" si="399">AA281/AA$285</f>
        <v>0.1971291657479245</v>
      </c>
      <c r="AB282" s="24">
        <f t="shared" si="399"/>
        <v>0.15227993452432906</v>
      </c>
      <c r="AC282" s="24">
        <f t="shared" si="399"/>
        <v>0.15074766914262863</v>
      </c>
      <c r="AD282" s="24">
        <f t="shared" si="399"/>
        <v>0.15365009610537247</v>
      </c>
      <c r="AE282" s="24">
        <f t="shared" si="399"/>
        <v>8.080608677770923E-2</v>
      </c>
      <c r="AF282" s="24">
        <f t="shared" si="399"/>
        <v>7.4971587747145754E-2</v>
      </c>
      <c r="AG282" s="116"/>
      <c r="AH282" s="237">
        <f t="shared" si="349"/>
        <v>-0.21038023796833283</v>
      </c>
      <c r="AJ282" s="24" t="str">
        <f t="shared" si="397"/>
        <v/>
      </c>
    </row>
    <row r="283" spans="2:36" ht="12" x14ac:dyDescent="0.2">
      <c r="B283" s="13" t="s">
        <v>226</v>
      </c>
      <c r="D283" s="18"/>
      <c r="E283" s="18">
        <f>E318</f>
        <v>3943</v>
      </c>
      <c r="I283" s="18">
        <f>I318</f>
        <v>5195</v>
      </c>
      <c r="P283" s="18">
        <f>P318</f>
        <v>5920</v>
      </c>
      <c r="Q283" s="18">
        <f>Q318</f>
        <v>3571</v>
      </c>
      <c r="R283" s="18"/>
      <c r="S283" s="18"/>
      <c r="T283" s="18"/>
      <c r="V283" s="18"/>
      <c r="X283" s="18"/>
      <c r="Y283" s="18"/>
      <c r="Z283" s="18"/>
      <c r="AA283" s="18">
        <f>AA318</f>
        <v>5478</v>
      </c>
      <c r="AB283" s="18">
        <f t="shared" ref="AB283" si="400">AB318</f>
        <v>6170</v>
      </c>
      <c r="AC283" s="18">
        <f>AC318</f>
        <v>5119</v>
      </c>
      <c r="AD283" s="18">
        <f>AD318</f>
        <v>10127</v>
      </c>
      <c r="AE283" s="18">
        <f>AE318</f>
        <v>4167</v>
      </c>
      <c r="AF283" s="18">
        <f>AF318</f>
        <v>4885</v>
      </c>
      <c r="AG283" s="18"/>
      <c r="AH283" s="237">
        <f t="shared" si="349"/>
        <v>-7.4890512991635738E-2</v>
      </c>
      <c r="AJ283" s="24" t="str">
        <f t="shared" si="397"/>
        <v/>
      </c>
    </row>
    <row r="284" spans="2:36" ht="12" x14ac:dyDescent="0.2">
      <c r="B284" s="13"/>
      <c r="D284" s="24"/>
      <c r="E284" s="24">
        <f>E283/E$285</f>
        <v>4.3206223975454745E-3</v>
      </c>
      <c r="I284" s="24">
        <f>I283/I$285</f>
        <v>4.9848200475165133E-3</v>
      </c>
      <c r="P284" s="24">
        <f>P283/P$285</f>
        <v>7.2051370679960466E-3</v>
      </c>
      <c r="Q284" s="24">
        <f>Q283/Q$285</f>
        <v>5.5610233154973618E-3</v>
      </c>
      <c r="R284" s="24"/>
      <c r="S284" s="24"/>
      <c r="T284" s="24"/>
      <c r="V284" s="24"/>
      <c r="X284" s="24"/>
      <c r="Y284" s="24"/>
      <c r="Z284" s="24"/>
      <c r="AA284" s="24">
        <f t="shared" ref="AA284:AF284" si="401">AA283/AA$285</f>
        <v>7.0226087491603124E-3</v>
      </c>
      <c r="AB284" s="24">
        <f t="shared" si="401"/>
        <v>4.7238644733235639E-3</v>
      </c>
      <c r="AC284" s="24">
        <f t="shared" si="401"/>
        <v>4.02960448632973E-3</v>
      </c>
      <c r="AD284" s="24">
        <f t="shared" si="401"/>
        <v>6.7799310826399083E-3</v>
      </c>
      <c r="AE284" s="24">
        <f t="shared" si="401"/>
        <v>4.896448400458271E-3</v>
      </c>
      <c r="AF284" s="24">
        <f t="shared" si="401"/>
        <v>4.9880990186157697E-3</v>
      </c>
      <c r="AG284" s="116"/>
      <c r="AH284" s="237">
        <f t="shared" si="349"/>
        <v>1.8308132666207788E-2</v>
      </c>
      <c r="AJ284" s="24" t="str">
        <f t="shared" si="397"/>
        <v/>
      </c>
    </row>
    <row r="285" spans="2:36" ht="12" x14ac:dyDescent="0.2">
      <c r="B285" s="13"/>
      <c r="D285" s="18"/>
      <c r="E285" s="18">
        <f>E283+E281+E276+E272</f>
        <v>912600</v>
      </c>
      <c r="I285" s="18">
        <f>I283+I281+I276+I272</f>
        <v>1042164</v>
      </c>
      <c r="P285" s="18">
        <f>P283+P281+P276+P272</f>
        <v>821636</v>
      </c>
      <c r="Q285" s="18">
        <f>Q283+Q281+Q276+Q272</f>
        <v>642148</v>
      </c>
      <c r="R285" s="18"/>
      <c r="S285" s="18"/>
      <c r="T285" s="18"/>
      <c r="V285" s="18"/>
      <c r="X285" s="18"/>
      <c r="Y285" s="18"/>
      <c r="Z285" s="18"/>
      <c r="AA285" s="18">
        <f>AA283+AA281+AA276+AA272</f>
        <v>780052</v>
      </c>
      <c r="AB285" s="18">
        <f t="shared" ref="AB285" si="402">AB283+AB281+AB276+AB272</f>
        <v>1306134</v>
      </c>
      <c r="AC285" s="18">
        <f>AC283+AC281+AC276+AC272</f>
        <v>1270348</v>
      </c>
      <c r="AD285" s="18">
        <f>AD283+AD281+AD276+AD272</f>
        <v>1493673</v>
      </c>
      <c r="AE285" s="18">
        <f>AE283+AE281+AE276+AE272</f>
        <v>851025</v>
      </c>
      <c r="AF285" s="18">
        <f>AF283+AF281+AF276+AF272</f>
        <v>979331</v>
      </c>
      <c r="AG285" s="18"/>
      <c r="AH285" s="237">
        <f t="shared" si="349"/>
        <v>-9.1523029884701179E-2</v>
      </c>
      <c r="AI285" s="24">
        <f>((AD285/AA285)^(1/(2024-2021)))-1</f>
        <v>0.24177808749810215</v>
      </c>
      <c r="AJ285" s="24" t="str">
        <f t="shared" si="397"/>
        <v/>
      </c>
    </row>
    <row r="286" spans="2:36" ht="12" x14ac:dyDescent="0.2">
      <c r="B286" s="13" t="s">
        <v>248</v>
      </c>
      <c r="D286" s="18"/>
      <c r="E286" s="18"/>
      <c r="I286" s="18"/>
      <c r="P286" s="18"/>
      <c r="Q286" s="18"/>
      <c r="R286" s="18"/>
      <c r="S286" s="18"/>
      <c r="T286" s="18"/>
      <c r="V286" s="18"/>
      <c r="X286" s="18"/>
      <c r="Y286" s="18"/>
      <c r="Z286" s="18"/>
      <c r="AA286" s="18"/>
      <c r="AB286" s="18"/>
      <c r="AC286" s="18"/>
      <c r="AD286" s="18"/>
      <c r="AE286" s="18"/>
      <c r="AF286" s="18"/>
      <c r="AG286" s="18"/>
      <c r="AH286" s="237" t="str">
        <f t="shared" si="349"/>
        <v/>
      </c>
      <c r="AJ286" s="24" t="str">
        <f t="shared" si="397"/>
        <v/>
      </c>
    </row>
    <row r="287" spans="2:36" ht="12" x14ac:dyDescent="0.2">
      <c r="B287" s="2" t="s">
        <v>249</v>
      </c>
      <c r="D287" s="18"/>
      <c r="E287" s="18"/>
      <c r="I287" s="18"/>
      <c r="P287" s="18"/>
      <c r="Q287" s="18"/>
      <c r="R287" s="18"/>
      <c r="S287" s="18"/>
      <c r="T287" s="18"/>
      <c r="V287" s="18"/>
      <c r="X287" s="35"/>
      <c r="Y287" s="35"/>
      <c r="Z287" s="35"/>
      <c r="AA287" s="35"/>
      <c r="AB287" s="35">
        <f>AB272/AA272-1</f>
        <v>0.69449927080206453</v>
      </c>
      <c r="AC287" s="35">
        <f>AC272/AB272-1</f>
        <v>-0.25624295516861351</v>
      </c>
      <c r="AD287" s="35">
        <f>AD272/AC272-1</f>
        <v>0.18506113690831261</v>
      </c>
      <c r="AE287" s="35"/>
      <c r="AF287" s="35">
        <f t="shared" ref="AF287" si="403">AF272/AE272-1</f>
        <v>0.16568893065783641</v>
      </c>
      <c r="AG287" s="112"/>
      <c r="AH287" s="237">
        <f t="shared" si="349"/>
        <v>-0.37978742564783896</v>
      </c>
      <c r="AJ287" s="24" t="str">
        <f t="shared" si="397"/>
        <v/>
      </c>
    </row>
    <row r="288" spans="2:36" ht="12" x14ac:dyDescent="0.2">
      <c r="B288" s="2" t="s">
        <v>250</v>
      </c>
      <c r="D288" s="18"/>
      <c r="E288" s="18"/>
      <c r="I288" s="18"/>
      <c r="P288" s="18"/>
      <c r="Q288" s="18"/>
      <c r="R288" s="18"/>
      <c r="S288" s="18"/>
      <c r="T288" s="18"/>
      <c r="V288" s="18"/>
      <c r="X288" s="35"/>
      <c r="Y288" s="35"/>
      <c r="Z288" s="35"/>
      <c r="AA288" s="35"/>
      <c r="AB288" s="35">
        <f>AB276/AA276-1</f>
        <v>0.89549520792921977</v>
      </c>
      <c r="AC288" s="35">
        <f>AC276/AB276-1</f>
        <v>0.29386187436175892</v>
      </c>
      <c r="AD288" s="35">
        <f>AD276/AC276-1</f>
        <v>0.1543767729017187</v>
      </c>
      <c r="AE288" s="35"/>
      <c r="AF288" s="35">
        <f t="shared" ref="AF288" si="404">AF276/AE276-1</f>
        <v>0.14948591718922954</v>
      </c>
      <c r="AG288" s="112"/>
      <c r="AH288" s="237">
        <f t="shared" si="349"/>
        <v>-0.44938800089957942</v>
      </c>
      <c r="AJ288" s="24" t="str">
        <f t="shared" si="397"/>
        <v/>
      </c>
    </row>
    <row r="289" spans="2:36" ht="12" x14ac:dyDescent="0.2">
      <c r="B289" s="2" t="s">
        <v>251</v>
      </c>
      <c r="D289" s="18"/>
      <c r="E289" s="18"/>
      <c r="I289" s="18"/>
      <c r="P289" s="18"/>
      <c r="Q289" s="18"/>
      <c r="R289" s="18"/>
      <c r="S289" s="18"/>
      <c r="T289" s="18"/>
      <c r="V289" s="18"/>
      <c r="X289" s="35"/>
      <c r="Y289" s="35"/>
      <c r="Z289" s="35"/>
      <c r="AA289" s="35"/>
      <c r="AB289" s="35">
        <f>AB281/AA281-1</f>
        <v>0.29346885953788426</v>
      </c>
      <c r="AC289" s="35">
        <f>AC281/AB281-1</f>
        <v>-3.7184888736940591E-2</v>
      </c>
      <c r="AD289" s="35">
        <f>AD281/AC281-1</f>
        <v>0.19843656985305635</v>
      </c>
      <c r="AE289" s="35"/>
      <c r="AF289" s="35">
        <f t="shared" ref="AF289" si="405">AF281/AE281-1</f>
        <v>6.7676826430898007E-2</v>
      </c>
      <c r="AG289" s="112"/>
      <c r="AH289" s="237">
        <f t="shared" si="349"/>
        <v>-0.38676633723751874</v>
      </c>
      <c r="AJ289" s="24" t="str">
        <f t="shared" si="397"/>
        <v/>
      </c>
    </row>
    <row r="290" spans="2:36" ht="9" customHeight="1" x14ac:dyDescent="0.2">
      <c r="B290" s="2" t="s">
        <v>226</v>
      </c>
      <c r="D290" s="18"/>
      <c r="E290" s="18"/>
      <c r="I290" s="18"/>
      <c r="P290" s="18"/>
      <c r="Q290" s="18"/>
      <c r="R290" s="18"/>
      <c r="S290" s="18"/>
      <c r="T290" s="18"/>
      <c r="V290" s="18"/>
      <c r="X290" s="35"/>
      <c r="Y290" s="35"/>
      <c r="Z290" s="35"/>
      <c r="AA290" s="35"/>
      <c r="AB290" s="35">
        <f>AB283/AA283-1</f>
        <v>0.12632347572106606</v>
      </c>
      <c r="AC290" s="35">
        <f>AC283/AB283-1</f>
        <v>-0.17034035656401947</v>
      </c>
      <c r="AD290" s="35">
        <f>AD283/AC283-1</f>
        <v>0.97831607735885906</v>
      </c>
      <c r="AE290" s="35"/>
      <c r="AF290" s="35">
        <f t="shared" ref="AF290" si="406">AF283/AE283-1</f>
        <v>0.17230621550275971</v>
      </c>
      <c r="AG290" s="112"/>
      <c r="AH290" s="237">
        <f t="shared" si="349"/>
        <v>0.10901892958142501</v>
      </c>
      <c r="AJ290" s="24" t="str">
        <f t="shared" si="397"/>
        <v/>
      </c>
    </row>
    <row r="291" spans="2:36" ht="12" x14ac:dyDescent="0.2">
      <c r="B291" s="13"/>
      <c r="D291" s="5"/>
      <c r="E291" s="5"/>
      <c r="I291" s="5"/>
      <c r="P291" s="5"/>
      <c r="Q291" s="5"/>
      <c r="R291" s="5"/>
      <c r="S291" s="5"/>
      <c r="T291" s="5"/>
      <c r="V291" s="5"/>
      <c r="X291" s="5"/>
      <c r="Y291" s="5"/>
      <c r="Z291" s="5"/>
      <c r="AA291" s="5"/>
      <c r="AB291" s="5"/>
      <c r="AC291" s="5"/>
      <c r="AD291" s="5"/>
      <c r="AE291" s="5"/>
      <c r="AF291" s="5"/>
      <c r="AG291" s="5"/>
      <c r="AH291" s="237" t="str">
        <f t="shared" si="349"/>
        <v/>
      </c>
      <c r="AJ291" s="24" t="str">
        <f t="shared" si="397"/>
        <v/>
      </c>
    </row>
    <row r="292" spans="2:36" ht="12" x14ac:dyDescent="0.2">
      <c r="B292" s="2" t="s">
        <v>8</v>
      </c>
      <c r="D292" s="2"/>
      <c r="E292" s="2"/>
      <c r="AH292" s="237" t="str">
        <f t="shared" si="349"/>
        <v/>
      </c>
      <c r="AJ292" s="24" t="str">
        <f t="shared" si="397"/>
        <v/>
      </c>
    </row>
    <row r="293" spans="2:36" ht="12" x14ac:dyDescent="0.2">
      <c r="B293" s="9" t="s">
        <v>191</v>
      </c>
      <c r="D293" s="1"/>
      <c r="E293" s="1">
        <v>22554</v>
      </c>
      <c r="I293" s="1">
        <v>18572</v>
      </c>
      <c r="P293" s="1">
        <v>784</v>
      </c>
      <c r="Q293" s="1">
        <v>1129</v>
      </c>
      <c r="R293" s="1"/>
      <c r="S293" s="1"/>
      <c r="T293" s="1"/>
      <c r="V293" s="1"/>
      <c r="X293" s="1"/>
      <c r="Y293" s="1"/>
      <c r="Z293" s="1"/>
      <c r="AA293" s="1">
        <v>19399</v>
      </c>
      <c r="AB293" s="1">
        <v>26723</v>
      </c>
      <c r="AC293" s="1">
        <v>1443</v>
      </c>
      <c r="AD293" s="1">
        <v>1398</v>
      </c>
      <c r="AE293" s="1">
        <v>1389</v>
      </c>
      <c r="AF293" s="1">
        <v>1365</v>
      </c>
      <c r="AG293" s="236"/>
      <c r="AH293" s="237">
        <f t="shared" si="349"/>
        <v>-0.62896420172635725</v>
      </c>
      <c r="AJ293" s="24" t="str">
        <f t="shared" si="397"/>
        <v/>
      </c>
    </row>
    <row r="294" spans="2:36" ht="12" x14ac:dyDescent="0.2">
      <c r="B294" s="9" t="s">
        <v>192</v>
      </c>
      <c r="D294" s="1"/>
      <c r="E294" s="1">
        <v>156073</v>
      </c>
      <c r="I294" s="1">
        <v>148335</v>
      </c>
      <c r="P294" s="1">
        <v>105893</v>
      </c>
      <c r="Q294" s="1">
        <v>125376</v>
      </c>
      <c r="R294" s="1"/>
      <c r="S294" s="1"/>
      <c r="T294" s="1"/>
      <c r="V294" s="1"/>
      <c r="X294" s="1"/>
      <c r="Y294" s="1"/>
      <c r="Z294" s="1"/>
      <c r="AA294" s="1">
        <v>139108</v>
      </c>
      <c r="AB294" s="1">
        <v>208559</v>
      </c>
      <c r="AC294" s="1">
        <v>119072</v>
      </c>
      <c r="AD294" s="1">
        <v>183271</v>
      </c>
      <c r="AE294" s="1">
        <v>141051</v>
      </c>
      <c r="AF294" s="1">
        <v>171186</v>
      </c>
      <c r="AG294" s="236"/>
      <c r="AH294" s="237">
        <f t="shared" si="349"/>
        <v>-6.3704140638929041E-2</v>
      </c>
      <c r="AJ294" s="24" t="str">
        <f t="shared" si="397"/>
        <v/>
      </c>
    </row>
    <row r="295" spans="2:36" ht="12" x14ac:dyDescent="0.2">
      <c r="B295" s="9" t="s">
        <v>193</v>
      </c>
      <c r="D295" s="1"/>
      <c r="E295" s="1">
        <v>29467</v>
      </c>
      <c r="I295" s="1">
        <v>23282</v>
      </c>
      <c r="P295" s="1">
        <v>17371</v>
      </c>
      <c r="Q295" s="1">
        <v>5123</v>
      </c>
      <c r="R295" s="1"/>
      <c r="S295" s="1"/>
      <c r="T295" s="1"/>
      <c r="V295" s="1"/>
      <c r="X295" s="1"/>
      <c r="Y295" s="1"/>
      <c r="Z295" s="1"/>
      <c r="AA295" s="1">
        <v>36575</v>
      </c>
      <c r="AB295" s="1">
        <v>41566</v>
      </c>
      <c r="AC295" s="1">
        <v>22830</v>
      </c>
      <c r="AD295" s="1">
        <v>25091</v>
      </c>
      <c r="AE295" s="1">
        <v>2869</v>
      </c>
      <c r="AF295" s="1">
        <v>8235</v>
      </c>
      <c r="AG295" s="236"/>
      <c r="AH295" s="237">
        <f t="shared" si="349"/>
        <v>-0.41703592799209632</v>
      </c>
      <c r="AJ295" s="24" t="str">
        <f t="shared" si="397"/>
        <v/>
      </c>
    </row>
    <row r="296" spans="2:36" ht="12" x14ac:dyDescent="0.2">
      <c r="B296" s="9" t="s">
        <v>194</v>
      </c>
      <c r="D296" s="1"/>
      <c r="E296" s="1">
        <v>20176</v>
      </c>
      <c r="I296" s="1">
        <v>11630</v>
      </c>
      <c r="P296" s="1">
        <v>56187</v>
      </c>
      <c r="Q296" s="1">
        <v>7797</v>
      </c>
      <c r="R296" s="1"/>
      <c r="S296" s="1"/>
      <c r="T296" s="1"/>
      <c r="V296" s="1"/>
      <c r="X296" s="1"/>
      <c r="Y296" s="1"/>
      <c r="Z296" s="1"/>
      <c r="AA296" s="1">
        <v>17907</v>
      </c>
      <c r="AB296" s="1">
        <v>26288</v>
      </c>
      <c r="AC296" s="1">
        <v>13547</v>
      </c>
      <c r="AD296" s="1">
        <v>102809</v>
      </c>
      <c r="AE296" s="1">
        <v>97785</v>
      </c>
      <c r="AF296" s="1">
        <v>101222</v>
      </c>
      <c r="AG296" s="236"/>
      <c r="AH296" s="237">
        <f t="shared" si="349"/>
        <v>0.5673733420582685</v>
      </c>
      <c r="AJ296" s="24" t="str">
        <f t="shared" si="397"/>
        <v/>
      </c>
    </row>
    <row r="297" spans="2:36" ht="12" x14ac:dyDescent="0.2">
      <c r="B297" s="9" t="s">
        <v>212</v>
      </c>
      <c r="D297" s="1"/>
      <c r="E297" s="1">
        <v>12029</v>
      </c>
      <c r="I297" s="1">
        <v>19645</v>
      </c>
      <c r="P297" s="1">
        <v>7172</v>
      </c>
      <c r="Q297" s="1">
        <v>6414</v>
      </c>
      <c r="R297" s="1"/>
      <c r="S297" s="1"/>
      <c r="T297" s="1"/>
      <c r="V297" s="1"/>
      <c r="X297" s="1"/>
      <c r="Y297" s="1"/>
      <c r="Z297" s="1"/>
      <c r="AA297" s="1">
        <v>23856</v>
      </c>
      <c r="AB297" s="1">
        <v>21813</v>
      </c>
      <c r="AC297" s="1">
        <v>8828</v>
      </c>
      <c r="AD297" s="1">
        <v>12714</v>
      </c>
      <c r="AE297" s="1">
        <v>8834</v>
      </c>
      <c r="AF297" s="1">
        <v>9225</v>
      </c>
      <c r="AG297" s="236"/>
      <c r="AH297" s="237">
        <f t="shared" si="349"/>
        <v>-0.24938542710109579</v>
      </c>
      <c r="AJ297" s="24" t="str">
        <f t="shared" si="397"/>
        <v/>
      </c>
    </row>
    <row r="298" spans="2:36" ht="12" x14ac:dyDescent="0.2">
      <c r="B298" s="9" t="s">
        <v>213</v>
      </c>
      <c r="D298" s="1"/>
      <c r="E298" s="1">
        <v>10184</v>
      </c>
      <c r="I298" s="1">
        <v>14314</v>
      </c>
      <c r="P298" s="1">
        <v>6337</v>
      </c>
      <c r="Q298" s="1">
        <v>59</v>
      </c>
      <c r="R298" s="1"/>
      <c r="S298" s="1"/>
      <c r="T298" s="1"/>
      <c r="V298" s="1"/>
      <c r="X298" s="1"/>
      <c r="Y298" s="1"/>
      <c r="Z298" s="1"/>
      <c r="AA298" s="1">
        <v>17608</v>
      </c>
      <c r="AB298" s="1">
        <v>24703</v>
      </c>
      <c r="AC298" s="1">
        <v>13727</v>
      </c>
      <c r="AD298" s="1">
        <v>13428</v>
      </c>
      <c r="AE298" s="1"/>
      <c r="AF298" s="1"/>
      <c r="AG298" s="236"/>
      <c r="AH298" s="237">
        <f t="shared" si="349"/>
        <v>-1</v>
      </c>
      <c r="AJ298" s="24" t="str">
        <f t="shared" si="397"/>
        <v/>
      </c>
    </row>
    <row r="299" spans="2:36" ht="12" x14ac:dyDescent="0.2">
      <c r="B299" s="9" t="s">
        <v>195</v>
      </c>
      <c r="D299" s="1"/>
      <c r="E299" s="1">
        <v>11530</v>
      </c>
      <c r="I299" s="1">
        <v>9173</v>
      </c>
      <c r="P299" s="1">
        <v>9437</v>
      </c>
      <c r="Q299" s="1">
        <v>4131</v>
      </c>
      <c r="R299" s="1"/>
      <c r="S299" s="1"/>
      <c r="T299" s="1"/>
      <c r="V299" s="1"/>
      <c r="X299" s="1"/>
      <c r="Y299" s="1"/>
      <c r="Z299" s="1"/>
      <c r="AA299" s="1">
        <v>17385</v>
      </c>
      <c r="AB299" s="1">
        <v>16502</v>
      </c>
      <c r="AC299" s="1">
        <v>13539</v>
      </c>
      <c r="AD299" s="1">
        <v>14756</v>
      </c>
      <c r="AE299" s="1">
        <v>8372</v>
      </c>
      <c r="AF299" s="1">
        <v>5272</v>
      </c>
      <c r="AG299" s="236"/>
      <c r="AH299" s="237">
        <f t="shared" ref="AH299:AH319" si="407">IFERROR(((AF299/AB299))^(1/(2025-2022))-1,"")</f>
        <v>-0.31638286541047167</v>
      </c>
      <c r="AJ299" s="24" t="str">
        <f t="shared" si="397"/>
        <v/>
      </c>
    </row>
    <row r="300" spans="2:36" ht="12" x14ac:dyDescent="0.2">
      <c r="B300" s="9" t="s">
        <v>196</v>
      </c>
      <c r="D300" s="1"/>
      <c r="E300" s="1">
        <v>17647</v>
      </c>
      <c r="I300" s="1">
        <v>22331</v>
      </c>
      <c r="P300" s="1">
        <v>17669</v>
      </c>
      <c r="Q300" s="1">
        <v>24216</v>
      </c>
      <c r="R300" s="1"/>
      <c r="S300" s="1"/>
      <c r="T300" s="1"/>
      <c r="V300" s="1"/>
      <c r="X300" s="1"/>
      <c r="Y300" s="1"/>
      <c r="Z300" s="1"/>
      <c r="AA300" s="1">
        <v>15227</v>
      </c>
      <c r="AB300" s="1">
        <v>25649</v>
      </c>
      <c r="AC300" s="1">
        <v>31101</v>
      </c>
      <c r="AD300" s="1">
        <v>29486</v>
      </c>
      <c r="AE300" s="1">
        <v>28361</v>
      </c>
      <c r="AF300" s="1">
        <v>32718</v>
      </c>
      <c r="AG300" s="236"/>
      <c r="AH300" s="237">
        <f t="shared" si="407"/>
        <v>8.4523008567904734E-2</v>
      </c>
      <c r="AJ300" s="24" t="str">
        <f t="shared" si="397"/>
        <v/>
      </c>
    </row>
    <row r="301" spans="2:36" ht="12" x14ac:dyDescent="0.2">
      <c r="B301" s="9" t="s">
        <v>214</v>
      </c>
      <c r="D301" s="1"/>
      <c r="E301" s="1">
        <v>8593</v>
      </c>
      <c r="I301" s="1">
        <v>4961</v>
      </c>
      <c r="P301" s="1">
        <v>8035</v>
      </c>
      <c r="Q301" s="1">
        <v>3380</v>
      </c>
      <c r="R301" s="1"/>
      <c r="S301" s="1"/>
      <c r="T301" s="1"/>
      <c r="V301" s="1"/>
      <c r="X301" s="1"/>
      <c r="Y301" s="1"/>
      <c r="Z301" s="1"/>
      <c r="AA301" s="1">
        <v>5973</v>
      </c>
      <c r="AB301" s="1">
        <v>11041</v>
      </c>
      <c r="AC301" s="1">
        <v>6529</v>
      </c>
      <c r="AD301" s="1">
        <v>11628</v>
      </c>
      <c r="AE301" s="1">
        <v>2834</v>
      </c>
      <c r="AF301" s="1">
        <v>4911</v>
      </c>
      <c r="AG301" s="236"/>
      <c r="AH301" s="237">
        <f t="shared" si="407"/>
        <v>-0.23665562779299065</v>
      </c>
      <c r="AJ301" s="24" t="str">
        <f t="shared" si="397"/>
        <v/>
      </c>
    </row>
    <row r="302" spans="2:36" ht="12" x14ac:dyDescent="0.2">
      <c r="B302" s="9" t="s">
        <v>215</v>
      </c>
      <c r="D302" s="1"/>
      <c r="E302" s="1">
        <v>13272</v>
      </c>
      <c r="I302" s="1">
        <v>8328</v>
      </c>
      <c r="P302" s="1">
        <v>9778</v>
      </c>
      <c r="Q302" s="1">
        <v>9176</v>
      </c>
      <c r="R302" s="1"/>
      <c r="S302" s="1"/>
      <c r="T302" s="1"/>
      <c r="V302" s="1"/>
      <c r="X302" s="1"/>
      <c r="Y302" s="1"/>
      <c r="Z302" s="1"/>
      <c r="AA302" s="1">
        <v>26277</v>
      </c>
      <c r="AB302" s="1">
        <v>21262</v>
      </c>
      <c r="AC302" s="1">
        <v>11196</v>
      </c>
      <c r="AD302" s="1">
        <v>17846</v>
      </c>
      <c r="AE302" s="1">
        <v>10506</v>
      </c>
      <c r="AF302" s="1">
        <v>12729</v>
      </c>
      <c r="AG302" s="236"/>
      <c r="AH302" s="237">
        <f t="shared" si="407"/>
        <v>-0.15718926710453285</v>
      </c>
      <c r="AJ302" s="24" t="str">
        <f t="shared" si="397"/>
        <v/>
      </c>
    </row>
    <row r="303" spans="2:36" ht="12" x14ac:dyDescent="0.2">
      <c r="B303" s="9" t="s">
        <v>197</v>
      </c>
      <c r="D303" s="1"/>
      <c r="E303" s="1">
        <v>5197</v>
      </c>
      <c r="I303" s="1">
        <v>2590</v>
      </c>
      <c r="P303" s="1">
        <v>628</v>
      </c>
      <c r="Q303" s="1">
        <v>605</v>
      </c>
      <c r="R303" s="1"/>
      <c r="S303" s="1"/>
      <c r="T303" s="1"/>
      <c r="V303" s="1"/>
      <c r="X303" s="1"/>
      <c r="Y303" s="1"/>
      <c r="Z303" s="1"/>
      <c r="AA303" s="1">
        <v>7018</v>
      </c>
      <c r="AB303" s="1">
        <v>8484</v>
      </c>
      <c r="AC303" s="1">
        <v>3674</v>
      </c>
      <c r="AD303" s="1">
        <v>3595</v>
      </c>
      <c r="AE303" s="1"/>
      <c r="AF303" s="1"/>
      <c r="AG303" s="236"/>
      <c r="AH303" s="237">
        <f t="shared" si="407"/>
        <v>-1</v>
      </c>
      <c r="AJ303" s="24" t="str">
        <f t="shared" si="397"/>
        <v/>
      </c>
    </row>
    <row r="304" spans="2:36" ht="12" x14ac:dyDescent="0.2">
      <c r="B304" s="9" t="s">
        <v>198</v>
      </c>
      <c r="D304" s="1"/>
      <c r="E304" s="1">
        <v>6722</v>
      </c>
      <c r="I304" s="1">
        <v>8089</v>
      </c>
      <c r="P304" s="1">
        <v>8828</v>
      </c>
      <c r="Q304" s="1">
        <v>2152</v>
      </c>
      <c r="R304" s="1"/>
      <c r="S304" s="1"/>
      <c r="T304" s="1"/>
      <c r="V304" s="1"/>
      <c r="X304" s="1"/>
      <c r="Y304" s="1"/>
      <c r="Z304" s="1"/>
      <c r="AA304" s="1">
        <v>7351</v>
      </c>
      <c r="AB304" s="1">
        <v>12496</v>
      </c>
      <c r="AC304" s="1">
        <v>11204</v>
      </c>
      <c r="AD304" s="1">
        <v>13501</v>
      </c>
      <c r="AE304" s="1">
        <v>1912</v>
      </c>
      <c r="AF304" s="1">
        <v>4075</v>
      </c>
      <c r="AG304" s="236"/>
      <c r="AH304" s="237">
        <f t="shared" si="407"/>
        <v>-0.31168769714037659</v>
      </c>
      <c r="AJ304" s="24" t="str">
        <f t="shared" si="397"/>
        <v/>
      </c>
    </row>
    <row r="305" spans="2:36" ht="12" x14ac:dyDescent="0.2">
      <c r="B305" s="9" t="s">
        <v>199</v>
      </c>
      <c r="D305" s="1"/>
      <c r="E305" s="1">
        <v>8710</v>
      </c>
      <c r="I305" s="1">
        <v>5559</v>
      </c>
      <c r="P305" s="1">
        <v>6519</v>
      </c>
      <c r="Q305" s="1">
        <v>6807</v>
      </c>
      <c r="R305" s="1"/>
      <c r="S305" s="1"/>
      <c r="T305" s="1"/>
      <c r="V305" s="1"/>
      <c r="X305" s="1"/>
      <c r="Y305" s="1"/>
      <c r="Z305" s="1"/>
      <c r="AA305" s="1">
        <v>5666</v>
      </c>
      <c r="AB305" s="1">
        <v>11737</v>
      </c>
      <c r="AC305" s="1">
        <v>7118</v>
      </c>
      <c r="AD305" s="1">
        <v>9890</v>
      </c>
      <c r="AE305" s="1">
        <v>9782</v>
      </c>
      <c r="AF305" s="1">
        <v>7964</v>
      </c>
      <c r="AG305" s="236"/>
      <c r="AH305" s="237">
        <f t="shared" si="407"/>
        <v>-0.1212647486241506</v>
      </c>
      <c r="AJ305" s="24" t="str">
        <f t="shared" si="397"/>
        <v/>
      </c>
    </row>
    <row r="306" spans="2:36" ht="12" x14ac:dyDescent="0.2">
      <c r="B306" s="9" t="s">
        <v>200</v>
      </c>
      <c r="D306" s="1"/>
      <c r="E306" s="1">
        <v>6196</v>
      </c>
      <c r="I306" s="1">
        <v>407</v>
      </c>
      <c r="P306" s="1">
        <v>0</v>
      </c>
      <c r="Q306" s="2">
        <v>0</v>
      </c>
      <c r="V306" s="1"/>
      <c r="X306" s="1"/>
      <c r="Y306" s="1"/>
      <c r="Z306" s="1"/>
      <c r="AA306" s="1">
        <v>4845</v>
      </c>
      <c r="AB306" s="1">
        <v>7931</v>
      </c>
      <c r="AC306" s="1">
        <v>392</v>
      </c>
      <c r="AD306" s="1">
        <v>0</v>
      </c>
      <c r="AE306" s="1"/>
      <c r="AF306" s="1"/>
      <c r="AG306" s="236"/>
      <c r="AH306" s="237">
        <f t="shared" si="407"/>
        <v>-1</v>
      </c>
      <c r="AJ306" s="24" t="str">
        <f t="shared" si="397"/>
        <v/>
      </c>
    </row>
    <row r="307" spans="2:36" ht="12" x14ac:dyDescent="0.2">
      <c r="B307" s="9" t="s">
        <v>335</v>
      </c>
      <c r="D307" s="1"/>
      <c r="E307" s="1">
        <v>67568</v>
      </c>
      <c r="I307" s="1">
        <v>94687</v>
      </c>
      <c r="P307" s="1">
        <v>26581</v>
      </c>
      <c r="Q307" s="1">
        <v>40535</v>
      </c>
      <c r="R307" s="1"/>
      <c r="S307" s="1"/>
      <c r="T307" s="1"/>
      <c r="V307" s="1"/>
      <c r="X307" s="1"/>
      <c r="Y307" s="1"/>
      <c r="Z307" s="1"/>
      <c r="AA307" s="1">
        <v>0</v>
      </c>
      <c r="AB307" s="1">
        <v>110695</v>
      </c>
      <c r="AC307" s="1">
        <v>145444</v>
      </c>
      <c r="AD307" s="1">
        <v>51238</v>
      </c>
      <c r="AE307" s="1">
        <v>51238</v>
      </c>
      <c r="AF307" s="1">
        <v>53164</v>
      </c>
      <c r="AG307" s="236"/>
      <c r="AH307" s="237">
        <f t="shared" si="407"/>
        <v>-0.21687717604597179</v>
      </c>
      <c r="AJ307" s="24" t="str">
        <f t="shared" si="397"/>
        <v/>
      </c>
    </row>
    <row r="308" spans="2:36" ht="12" x14ac:dyDescent="0.2">
      <c r="B308" s="9" t="s">
        <v>201</v>
      </c>
      <c r="D308" s="1"/>
      <c r="E308" s="1">
        <v>42183</v>
      </c>
      <c r="I308" s="1">
        <v>60994</v>
      </c>
      <c r="P308" s="1">
        <v>46645</v>
      </c>
      <c r="Q308" s="1">
        <v>44877</v>
      </c>
      <c r="R308" s="1"/>
      <c r="S308" s="1"/>
      <c r="T308" s="1"/>
      <c r="V308" s="1"/>
      <c r="X308" s="1"/>
      <c r="Y308" s="1"/>
      <c r="Z308" s="1"/>
      <c r="AA308" s="1">
        <v>32246</v>
      </c>
      <c r="AB308" s="1">
        <v>62430</v>
      </c>
      <c r="AC308" s="1">
        <v>64783</v>
      </c>
      <c r="AD308" s="1">
        <v>71574</v>
      </c>
      <c r="AE308" s="8">
        <f>24048+11051+6714+1851</f>
        <v>43664</v>
      </c>
      <c r="AF308" s="8">
        <f>32123+15629+7487+8992</f>
        <v>64231</v>
      </c>
      <c r="AG308" s="275"/>
      <c r="AH308" s="237">
        <f t="shared" si="407"/>
        <v>9.5250880057458076E-3</v>
      </c>
      <c r="AJ308" s="24" t="str">
        <f t="shared" si="397"/>
        <v/>
      </c>
    </row>
    <row r="309" spans="2:36" ht="12" x14ac:dyDescent="0.2">
      <c r="B309" s="177" t="s">
        <v>202</v>
      </c>
      <c r="C309" s="114"/>
      <c r="D309" s="178"/>
      <c r="E309" s="178">
        <v>176190</v>
      </c>
      <c r="F309" s="114"/>
      <c r="G309" s="114"/>
      <c r="H309" s="114"/>
      <c r="I309" s="178">
        <v>234254</v>
      </c>
      <c r="J309" s="114"/>
      <c r="K309" s="114"/>
      <c r="L309" s="114"/>
      <c r="M309" s="114"/>
      <c r="N309" s="114"/>
      <c r="O309" s="114"/>
      <c r="P309" s="178">
        <v>200148</v>
      </c>
      <c r="Q309" s="178">
        <v>288674</v>
      </c>
      <c r="R309" s="178"/>
      <c r="S309" s="178"/>
      <c r="T309" s="178"/>
      <c r="U309" s="114"/>
      <c r="V309" s="178"/>
      <c r="W309" s="114"/>
      <c r="X309" s="178"/>
      <c r="Y309" s="178"/>
      <c r="Z309" s="178"/>
      <c r="AA309" s="178">
        <v>113495</v>
      </c>
      <c r="AB309" s="178">
        <v>254570</v>
      </c>
      <c r="AC309" s="178">
        <v>324979</v>
      </c>
      <c r="AD309" s="178">
        <v>376622</v>
      </c>
      <c r="AE309" s="178">
        <v>348826</v>
      </c>
      <c r="AF309" s="178">
        <v>405279</v>
      </c>
      <c r="AG309" s="280"/>
      <c r="AH309" s="237">
        <f t="shared" si="407"/>
        <v>0.16765791110327921</v>
      </c>
      <c r="AJ309" s="24" t="str">
        <f t="shared" si="397"/>
        <v/>
      </c>
    </row>
    <row r="310" spans="2:36" ht="12" x14ac:dyDescent="0.2">
      <c r="B310" s="9" t="s">
        <v>203</v>
      </c>
      <c r="D310" s="1"/>
      <c r="E310" s="1">
        <v>10355</v>
      </c>
      <c r="I310" s="1">
        <v>15440</v>
      </c>
      <c r="P310" s="1">
        <v>14673</v>
      </c>
      <c r="Q310" s="1">
        <v>13041</v>
      </c>
      <c r="R310" s="1"/>
      <c r="S310" s="1"/>
      <c r="T310" s="1"/>
      <c r="V310" s="1"/>
      <c r="X310" s="1"/>
      <c r="Y310" s="1"/>
      <c r="Z310" s="1"/>
      <c r="AA310" s="1">
        <v>13709</v>
      </c>
      <c r="AB310" s="1">
        <v>17188</v>
      </c>
      <c r="AC310" s="1">
        <v>19799</v>
      </c>
      <c r="AD310" s="1">
        <v>22142</v>
      </c>
      <c r="AE310" s="1">
        <v>18581</v>
      </c>
      <c r="AF310" s="1">
        <v>12578</v>
      </c>
      <c r="AG310" s="236"/>
      <c r="AH310" s="237">
        <f t="shared" si="407"/>
        <v>-9.8853469168941444E-2</v>
      </c>
      <c r="AJ310" s="24" t="str">
        <f t="shared" si="397"/>
        <v/>
      </c>
    </row>
    <row r="311" spans="2:36" ht="12" x14ac:dyDescent="0.2">
      <c r="B311" s="9" t="s">
        <v>204</v>
      </c>
      <c r="D311" s="1"/>
      <c r="E311" s="1">
        <v>12375</v>
      </c>
      <c r="I311" s="1">
        <v>15600</v>
      </c>
      <c r="P311" s="1">
        <v>15137</v>
      </c>
      <c r="Q311" s="1">
        <v>569</v>
      </c>
      <c r="R311" s="1"/>
      <c r="S311" s="1"/>
      <c r="T311" s="1"/>
      <c r="V311" s="1"/>
      <c r="X311" s="1"/>
      <c r="Y311" s="1"/>
      <c r="Z311" s="1"/>
      <c r="AA311" s="1">
        <v>9409</v>
      </c>
      <c r="AB311" s="1">
        <v>18014</v>
      </c>
      <c r="AC311" s="1">
        <v>19738</v>
      </c>
      <c r="AD311" s="1">
        <v>19708</v>
      </c>
      <c r="AE311" s="1">
        <v>519</v>
      </c>
      <c r="AF311" s="1">
        <v>3213</v>
      </c>
      <c r="AG311" s="236"/>
      <c r="AH311" s="237">
        <f t="shared" si="407"/>
        <v>-0.43709705296524126</v>
      </c>
      <c r="AJ311" s="24" t="str">
        <f t="shared" si="397"/>
        <v/>
      </c>
    </row>
    <row r="312" spans="2:36" ht="12" x14ac:dyDescent="0.2">
      <c r="B312" s="9" t="s">
        <v>205</v>
      </c>
      <c r="D312" s="1"/>
      <c r="E312" s="1">
        <v>95000</v>
      </c>
      <c r="I312" s="1">
        <v>140699</v>
      </c>
      <c r="P312" s="1">
        <v>120759</v>
      </c>
      <c r="Q312" s="1">
        <v>2390</v>
      </c>
      <c r="R312" s="1"/>
      <c r="S312" s="1"/>
      <c r="T312" s="1"/>
      <c r="V312" s="1"/>
      <c r="X312" s="1"/>
      <c r="Y312" s="1"/>
      <c r="Z312" s="1"/>
      <c r="AA312" s="1">
        <v>87254</v>
      </c>
      <c r="AB312" s="1">
        <v>142134</v>
      </c>
      <c r="AC312" s="1">
        <v>193451</v>
      </c>
      <c r="AD312" s="1">
        <v>228801</v>
      </c>
      <c r="AE312" s="1">
        <v>1479</v>
      </c>
      <c r="AF312" s="1">
        <v>3167</v>
      </c>
      <c r="AG312" s="236"/>
      <c r="AH312" s="237">
        <f t="shared" si="407"/>
        <v>-0.71860479352769102</v>
      </c>
      <c r="AJ312" s="24" t="str">
        <f t="shared" ref="AJ312:AJ334" si="408">IFERROR((AF312/X312)^(1/(2025-2018))-1,"")</f>
        <v/>
      </c>
    </row>
    <row r="313" spans="2:36" ht="12" x14ac:dyDescent="0.2">
      <c r="B313" s="9" t="s">
        <v>206</v>
      </c>
      <c r="D313" s="1"/>
      <c r="E313" s="1">
        <v>25837</v>
      </c>
      <c r="I313" s="1">
        <v>35197</v>
      </c>
      <c r="P313" s="1">
        <v>19592</v>
      </c>
      <c r="Q313" s="1">
        <v>297</v>
      </c>
      <c r="R313" s="1"/>
      <c r="S313" s="1"/>
      <c r="T313" s="1"/>
      <c r="V313" s="1"/>
      <c r="X313" s="1"/>
      <c r="Y313" s="1"/>
      <c r="Z313" s="1"/>
      <c r="AA313" s="1">
        <v>20495</v>
      </c>
      <c r="AB313" s="1">
        <v>31281</v>
      </c>
      <c r="AC313" s="1">
        <v>41333</v>
      </c>
      <c r="AD313" s="1">
        <v>44545</v>
      </c>
      <c r="AE313" s="1">
        <v>88</v>
      </c>
      <c r="AF313" s="1">
        <v>490</v>
      </c>
      <c r="AG313" s="236"/>
      <c r="AH313" s="237">
        <f t="shared" si="407"/>
        <v>-0.74978971902949931</v>
      </c>
      <c r="AJ313" s="24" t="str">
        <f t="shared" si="408"/>
        <v/>
      </c>
    </row>
    <row r="314" spans="2:36" ht="12" x14ac:dyDescent="0.2">
      <c r="B314" s="9" t="s">
        <v>207</v>
      </c>
      <c r="D314" s="1"/>
      <c r="E314" s="1">
        <v>77049</v>
      </c>
      <c r="I314" s="1">
        <v>75819</v>
      </c>
      <c r="P314" s="1">
        <v>55382</v>
      </c>
      <c r="Q314" s="1">
        <v>11767</v>
      </c>
      <c r="R314" s="1"/>
      <c r="S314" s="1"/>
      <c r="T314" s="1"/>
      <c r="V314" s="1"/>
      <c r="X314" s="1"/>
      <c r="Y314" s="1"/>
      <c r="Z314" s="1"/>
      <c r="AA314" s="1">
        <v>100921</v>
      </c>
      <c r="AB314" s="1">
        <v>102025</v>
      </c>
      <c r="AC314" s="1">
        <v>99060</v>
      </c>
      <c r="AD314" s="1">
        <v>111115</v>
      </c>
      <c r="AE314" s="1">
        <v>12706</v>
      </c>
      <c r="AF314" s="1">
        <v>17570</v>
      </c>
      <c r="AG314" s="236"/>
      <c r="AH314" s="237">
        <f t="shared" si="407"/>
        <v>-0.44364108348468245</v>
      </c>
      <c r="AJ314" s="24" t="str">
        <f t="shared" si="408"/>
        <v/>
      </c>
    </row>
    <row r="315" spans="2:36" ht="12" x14ac:dyDescent="0.2">
      <c r="B315" s="9" t="s">
        <v>208</v>
      </c>
      <c r="D315" s="1"/>
      <c r="E315" s="1">
        <v>29479</v>
      </c>
      <c r="I315" s="1">
        <v>23167</v>
      </c>
      <c r="P315" s="1">
        <v>22671</v>
      </c>
      <c r="Q315" s="1">
        <v>4988</v>
      </c>
      <c r="R315" s="1"/>
      <c r="S315" s="1"/>
      <c r="T315" s="1"/>
      <c r="V315" s="1"/>
      <c r="X315" s="1"/>
      <c r="Y315" s="1"/>
      <c r="Z315" s="1"/>
      <c r="AA315" s="1">
        <v>33764</v>
      </c>
      <c r="AB315" s="1">
        <v>38271</v>
      </c>
      <c r="AC315" s="1">
        <v>32045</v>
      </c>
      <c r="AD315" s="1">
        <v>41605</v>
      </c>
      <c r="AE315" s="1">
        <v>7389</v>
      </c>
      <c r="AF315" s="1">
        <v>7761</v>
      </c>
      <c r="AG315" s="236"/>
      <c r="AH315" s="237">
        <f t="shared" si="407"/>
        <v>-0.41248906034672106</v>
      </c>
      <c r="AJ315" s="24" t="str">
        <f t="shared" si="408"/>
        <v/>
      </c>
    </row>
    <row r="316" spans="2:36" ht="12" x14ac:dyDescent="0.2">
      <c r="B316" s="9" t="s">
        <v>209</v>
      </c>
      <c r="D316" s="1"/>
      <c r="E316" s="1">
        <v>7919</v>
      </c>
      <c r="I316" s="1">
        <v>5302</v>
      </c>
      <c r="P316" s="1">
        <v>4202</v>
      </c>
      <c r="Q316" s="1">
        <v>3762</v>
      </c>
      <c r="R316" s="1"/>
      <c r="S316" s="1"/>
      <c r="T316" s="1"/>
      <c r="V316" s="1"/>
      <c r="X316" s="1"/>
      <c r="Y316" s="1"/>
      <c r="Z316" s="1"/>
      <c r="AA316" s="1">
        <v>2902</v>
      </c>
      <c r="AB316" s="1">
        <v>10473</v>
      </c>
      <c r="AC316" s="1">
        <v>8035</v>
      </c>
      <c r="AD316" s="1">
        <v>8695</v>
      </c>
      <c r="AE316" s="1">
        <v>7533</v>
      </c>
      <c r="AF316" s="1">
        <v>5460</v>
      </c>
      <c r="AG316" s="236"/>
      <c r="AH316" s="237">
        <f t="shared" si="407"/>
        <v>-0.19516439703997079</v>
      </c>
      <c r="AJ316" s="24" t="str">
        <f t="shared" si="408"/>
        <v/>
      </c>
    </row>
    <row r="317" spans="2:36" ht="12" x14ac:dyDescent="0.2">
      <c r="B317" s="9" t="s">
        <v>210</v>
      </c>
      <c r="D317" s="1"/>
      <c r="E317" s="1">
        <v>36352</v>
      </c>
      <c r="I317" s="1">
        <v>38594</v>
      </c>
      <c r="P317" s="1">
        <v>35288</v>
      </c>
      <c r="Q317" s="1">
        <v>31312</v>
      </c>
      <c r="R317" s="1"/>
      <c r="S317" s="1"/>
      <c r="T317" s="1"/>
      <c r="V317" s="1"/>
      <c r="X317" s="1"/>
      <c r="Y317" s="1"/>
      <c r="Z317" s="1"/>
      <c r="AA317" s="1">
        <v>16184</v>
      </c>
      <c r="AB317" s="1">
        <v>48129</v>
      </c>
      <c r="AC317" s="1">
        <v>52362</v>
      </c>
      <c r="AD317" s="1">
        <v>68088</v>
      </c>
      <c r="AE317" s="1">
        <v>41140</v>
      </c>
      <c r="AF317" s="1">
        <v>42631</v>
      </c>
      <c r="AG317" s="236"/>
      <c r="AH317" s="237">
        <f t="shared" si="407"/>
        <v>-3.9627842863651175E-2</v>
      </c>
      <c r="AJ317" s="24" t="str">
        <f t="shared" si="408"/>
        <v/>
      </c>
    </row>
    <row r="318" spans="2:36" ht="14.25" x14ac:dyDescent="0.35">
      <c r="B318" s="9" t="s">
        <v>211</v>
      </c>
      <c r="D318" s="3"/>
      <c r="E318" s="3">
        <v>3943</v>
      </c>
      <c r="I318" s="3">
        <v>5195</v>
      </c>
      <c r="P318" s="3">
        <v>5920</v>
      </c>
      <c r="Q318" s="3">
        <v>3571</v>
      </c>
      <c r="R318" s="3"/>
      <c r="S318" s="3"/>
      <c r="T318" s="3"/>
      <c r="V318" s="3"/>
      <c r="X318" s="3"/>
      <c r="Y318" s="3"/>
      <c r="Z318" s="3"/>
      <c r="AA318" s="3">
        <v>5478</v>
      </c>
      <c r="AB318" s="3">
        <v>6170</v>
      </c>
      <c r="AC318" s="3">
        <v>5119</v>
      </c>
      <c r="AD318" s="3">
        <v>10127</v>
      </c>
      <c r="AE318" s="3">
        <v>4167</v>
      </c>
      <c r="AF318" s="3">
        <v>4885</v>
      </c>
      <c r="AG318" s="269"/>
      <c r="AH318" s="237">
        <f t="shared" si="407"/>
        <v>-7.4890512991635738E-2</v>
      </c>
      <c r="AJ318" s="24" t="str">
        <f t="shared" si="408"/>
        <v/>
      </c>
    </row>
    <row r="319" spans="2:36" ht="12" x14ac:dyDescent="0.2">
      <c r="D319" s="5"/>
      <c r="E319" s="5">
        <f>SUM(E293:E318)</f>
        <v>912600</v>
      </c>
      <c r="I319" s="5">
        <f>SUM(I293:I318)</f>
        <v>1042164</v>
      </c>
      <c r="P319" s="5">
        <f>SUM(P293:P318)</f>
        <v>821636</v>
      </c>
      <c r="Q319" s="5"/>
      <c r="R319" s="5"/>
      <c r="S319" s="5"/>
      <c r="T319" s="5"/>
      <c r="V319" s="5"/>
      <c r="X319" s="5"/>
      <c r="Y319" s="5"/>
      <c r="Z319" s="5"/>
      <c r="AA319" s="5">
        <f>SUM(AA293:AA318)</f>
        <v>780052</v>
      </c>
      <c r="AB319" s="5">
        <f t="shared" ref="AB319" si="409">SUM(AB293:AB318)</f>
        <v>1306134</v>
      </c>
      <c r="AC319" s="5">
        <f>SUM(AC293:AC318)</f>
        <v>1270348</v>
      </c>
      <c r="AD319" s="5">
        <f>SUM(AD293:AD318)</f>
        <v>1493673</v>
      </c>
      <c r="AE319" s="5">
        <f>SUM(AE293:AE318)</f>
        <v>851025</v>
      </c>
      <c r="AF319" s="5">
        <f>SUM(AF293:AF318)</f>
        <v>979331</v>
      </c>
      <c r="AG319" s="5"/>
      <c r="AH319" s="237">
        <f t="shared" si="407"/>
        <v>-9.1523029884701179E-2</v>
      </c>
      <c r="AJ319" s="24" t="str">
        <f t="shared" si="408"/>
        <v/>
      </c>
    </row>
    <row r="320" spans="2:36" x14ac:dyDescent="0.25">
      <c r="B320" s="188" t="s">
        <v>412</v>
      </c>
      <c r="C320" s="187"/>
      <c r="AJ320" s="24" t="str">
        <f t="shared" si="408"/>
        <v/>
      </c>
    </row>
    <row r="321" spans="2:36" x14ac:dyDescent="0.25">
      <c r="B321" s="189" t="s">
        <v>532</v>
      </c>
      <c r="C321" s="187"/>
      <c r="X321" s="5">
        <f t="shared" ref="X321:AF321" si="410">X144</f>
        <v>22576</v>
      </c>
      <c r="Y321" s="5">
        <f t="shared" si="410"/>
        <v>-1289.82</v>
      </c>
      <c r="Z321" s="5">
        <f t="shared" si="410"/>
        <v>-33097.08</v>
      </c>
      <c r="AA321" s="5">
        <f t="shared" si="410"/>
        <v>-21376.649999999998</v>
      </c>
      <c r="AB321" s="5">
        <f t="shared" si="410"/>
        <v>14683.529999999999</v>
      </c>
      <c r="AC321" s="5">
        <f t="shared" si="410"/>
        <v>3333.2799999999997</v>
      </c>
      <c r="AD321" s="5">
        <f t="shared" si="410"/>
        <v>0</v>
      </c>
      <c r="AE321" s="5">
        <f t="shared" si="410"/>
        <v>33169.29</v>
      </c>
      <c r="AF321" s="5">
        <f t="shared" si="410"/>
        <v>57116.45</v>
      </c>
      <c r="AG321" s="5"/>
      <c r="AH321" s="5"/>
      <c r="AJ321" s="24">
        <f t="shared" si="408"/>
        <v>0.14179396793439003</v>
      </c>
    </row>
    <row r="322" spans="2:36" ht="15.75" customHeight="1" x14ac:dyDescent="0.25">
      <c r="B322" s="187" t="s">
        <v>114</v>
      </c>
      <c r="C322" s="190">
        <v>283200</v>
      </c>
      <c r="AF322" s="1">
        <v>280940</v>
      </c>
      <c r="AG322" s="236"/>
      <c r="AH322" s="1"/>
      <c r="AJ322" s="24" t="str">
        <f t="shared" si="408"/>
        <v/>
      </c>
    </row>
    <row r="323" spans="2:36" x14ac:dyDescent="0.25">
      <c r="B323" s="187" t="s">
        <v>22</v>
      </c>
      <c r="C323" s="190">
        <v>548245</v>
      </c>
      <c r="AF323" s="1">
        <v>547609</v>
      </c>
      <c r="AG323" s="236"/>
      <c r="AH323" s="1"/>
      <c r="AJ323" s="24" t="str">
        <f t="shared" si="408"/>
        <v/>
      </c>
    </row>
    <row r="324" spans="2:36" x14ac:dyDescent="0.25">
      <c r="B324" s="187" t="s">
        <v>23</v>
      </c>
      <c r="C324" s="190">
        <v>5211</v>
      </c>
      <c r="AF324" s="1">
        <v>6336</v>
      </c>
      <c r="AG324" s="236"/>
      <c r="AH324" s="1"/>
      <c r="AJ324" s="24" t="str">
        <f t="shared" si="408"/>
        <v/>
      </c>
    </row>
    <row r="325" spans="2:36" x14ac:dyDescent="0.25">
      <c r="B325" s="187" t="s">
        <v>25</v>
      </c>
      <c r="C325" s="190">
        <v>70294</v>
      </c>
      <c r="AF325" s="1">
        <v>66931</v>
      </c>
      <c r="AG325" s="236"/>
      <c r="AH325" s="1"/>
      <c r="AJ325" s="24" t="str">
        <f t="shared" si="408"/>
        <v/>
      </c>
    </row>
    <row r="326" spans="2:36" x14ac:dyDescent="0.25">
      <c r="B326" s="187" t="s">
        <v>27</v>
      </c>
      <c r="C326" s="190">
        <v>288896</v>
      </c>
      <c r="AF326" s="1">
        <v>270203</v>
      </c>
      <c r="AG326" s="236"/>
      <c r="AH326" s="1"/>
      <c r="AJ326" s="24" t="str">
        <f t="shared" si="408"/>
        <v/>
      </c>
    </row>
    <row r="327" spans="2:36" x14ac:dyDescent="0.25">
      <c r="B327" s="187" t="s">
        <v>28</v>
      </c>
      <c r="C327" s="190">
        <v>20984</v>
      </c>
      <c r="AF327" s="1">
        <v>26335</v>
      </c>
      <c r="AG327" s="236"/>
      <c r="AH327" s="1"/>
      <c r="AJ327" s="24" t="str">
        <f t="shared" si="408"/>
        <v/>
      </c>
    </row>
    <row r="328" spans="2:36" x14ac:dyDescent="0.25">
      <c r="B328" s="187" t="s">
        <v>29</v>
      </c>
      <c r="C328" s="190">
        <v>122913</v>
      </c>
      <c r="AF328" s="1">
        <v>119280</v>
      </c>
      <c r="AG328" s="236"/>
      <c r="AH328" s="1"/>
      <c r="AJ328" s="24" t="str">
        <f t="shared" si="408"/>
        <v/>
      </c>
    </row>
    <row r="329" spans="2:36" x14ac:dyDescent="0.25">
      <c r="B329" s="187" t="s">
        <v>31</v>
      </c>
      <c r="C329" s="190">
        <v>1017</v>
      </c>
      <c r="AF329" s="1">
        <v>1035</v>
      </c>
      <c r="AG329" s="236"/>
      <c r="AH329" s="1"/>
      <c r="AJ329" s="24" t="str">
        <f t="shared" si="408"/>
        <v/>
      </c>
    </row>
    <row r="330" spans="2:36" x14ac:dyDescent="0.25">
      <c r="B330" s="191" t="s">
        <v>25</v>
      </c>
      <c r="C330" s="192">
        <v>52781</v>
      </c>
      <c r="AF330" s="182">
        <v>50763</v>
      </c>
      <c r="AG330" s="236"/>
      <c r="AH330" s="236"/>
      <c r="AJ330" s="24" t="str">
        <f t="shared" si="408"/>
        <v/>
      </c>
    </row>
    <row r="331" spans="2:36" x14ac:dyDescent="0.25">
      <c r="B331" s="193" t="s">
        <v>44</v>
      </c>
      <c r="C331" s="187">
        <v>-22803</v>
      </c>
      <c r="AF331" s="2">
        <v>-20616</v>
      </c>
      <c r="AJ331" s="24" t="str">
        <f t="shared" si="408"/>
        <v/>
      </c>
    </row>
    <row r="332" spans="2:36" x14ac:dyDescent="0.25">
      <c r="B332" s="194" t="s">
        <v>46</v>
      </c>
      <c r="C332" s="187">
        <v>-11237</v>
      </c>
      <c r="AF332" s="2">
        <v>-12902</v>
      </c>
      <c r="AJ332" s="24" t="str">
        <f t="shared" si="408"/>
        <v/>
      </c>
    </row>
    <row r="333" spans="2:36" x14ac:dyDescent="0.25">
      <c r="B333" s="187" t="s">
        <v>47</v>
      </c>
      <c r="C333" s="187">
        <v>-40961</v>
      </c>
      <c r="AF333" s="2">
        <v>-37956</v>
      </c>
      <c r="AJ333" s="24" t="str">
        <f t="shared" si="408"/>
        <v/>
      </c>
    </row>
    <row r="334" spans="2:36" x14ac:dyDescent="0.25">
      <c r="B334" s="187" t="s">
        <v>44</v>
      </c>
      <c r="C334" s="187">
        <v>-4959</v>
      </c>
      <c r="AF334" s="2">
        <v>-6015</v>
      </c>
      <c r="AJ334" s="24" t="str">
        <f t="shared" si="408"/>
        <v/>
      </c>
    </row>
    <row r="335" spans="2:36" x14ac:dyDescent="0.25">
      <c r="B335" s="187" t="s">
        <v>49</v>
      </c>
      <c r="C335" s="187">
        <v>-92060</v>
      </c>
      <c r="AF335" s="2">
        <v>-119462</v>
      </c>
      <c r="AJ335" s="24" t="str">
        <f t="shared" ref="AJ335:AJ363" si="411">IFERROR((AF335/X335)^(1/(2025-2018))-1,"")</f>
        <v/>
      </c>
    </row>
    <row r="336" spans="2:36" x14ac:dyDescent="0.25">
      <c r="B336" s="195" t="s">
        <v>46</v>
      </c>
      <c r="C336" s="187">
        <v>-14331</v>
      </c>
      <c r="AF336" s="2">
        <v>-8732</v>
      </c>
      <c r="AJ336" s="24" t="str">
        <f t="shared" si="411"/>
        <v/>
      </c>
    </row>
    <row r="337" spans="2:37" x14ac:dyDescent="0.25">
      <c r="B337" s="187" t="s">
        <v>50</v>
      </c>
      <c r="C337" s="187">
        <v>0</v>
      </c>
      <c r="AF337" s="2">
        <v>-15</v>
      </c>
      <c r="AJ337" s="24" t="str">
        <f t="shared" si="411"/>
        <v/>
      </c>
    </row>
    <row r="338" spans="2:37" x14ac:dyDescent="0.25">
      <c r="B338" s="187" t="s">
        <v>106</v>
      </c>
      <c r="C338" s="187">
        <v>0</v>
      </c>
      <c r="AF338" s="2">
        <v>0</v>
      </c>
      <c r="AJ338" s="24" t="str">
        <f t="shared" si="411"/>
        <v/>
      </c>
    </row>
    <row r="339" spans="2:37" x14ac:dyDescent="0.25">
      <c r="B339" s="187" t="s">
        <v>51</v>
      </c>
      <c r="C339" s="187">
        <v>-62011</v>
      </c>
      <c r="AF339" s="2">
        <v>-65251</v>
      </c>
      <c r="AJ339" s="24" t="str">
        <f t="shared" si="411"/>
        <v/>
      </c>
    </row>
    <row r="340" spans="2:37" x14ac:dyDescent="0.25">
      <c r="B340" s="196"/>
      <c r="C340" s="197"/>
      <c r="AF340" s="19"/>
      <c r="AG340" s="270"/>
      <c r="AH340" s="19"/>
      <c r="AJ340" s="24" t="str">
        <f t="shared" si="411"/>
        <v/>
      </c>
    </row>
    <row r="341" spans="2:37" s="13" customFormat="1" x14ac:dyDescent="0.25">
      <c r="B341" s="196" t="s">
        <v>443</v>
      </c>
      <c r="C341" s="198">
        <f>SUM(C322:C339)</f>
        <v>1145179</v>
      </c>
      <c r="D341" s="183"/>
      <c r="E341" s="183"/>
      <c r="AF341" s="18">
        <f>SUM(AF322:AF339)</f>
        <v>1098483</v>
      </c>
      <c r="AG341" s="18"/>
      <c r="AH341" s="18"/>
      <c r="AJ341" s="24" t="str">
        <f t="shared" si="411"/>
        <v/>
      </c>
      <c r="AK341" s="62"/>
    </row>
    <row r="342" spans="2:37" x14ac:dyDescent="0.25">
      <c r="B342" s="187" t="s">
        <v>397</v>
      </c>
      <c r="C342" s="187"/>
      <c r="AF342" s="24">
        <f>AF321/AF341</f>
        <v>5.1995752323886667E-2</v>
      </c>
      <c r="AG342" s="116"/>
      <c r="AH342" s="24"/>
      <c r="AJ342" s="24" t="str">
        <f t="shared" si="411"/>
        <v/>
      </c>
    </row>
    <row r="343" spans="2:37" x14ac:dyDescent="0.25">
      <c r="B343" s="187"/>
      <c r="C343" s="187"/>
      <c r="AF343" s="24"/>
      <c r="AG343" s="116"/>
      <c r="AH343" s="24"/>
      <c r="AJ343" s="24" t="str">
        <f t="shared" si="411"/>
        <v/>
      </c>
    </row>
    <row r="344" spans="2:37" x14ac:dyDescent="0.25">
      <c r="B344" s="188" t="s">
        <v>444</v>
      </c>
      <c r="C344" s="187"/>
      <c r="AF344" s="24"/>
      <c r="AG344" s="116"/>
      <c r="AH344" s="24"/>
      <c r="AJ344" s="24" t="str">
        <f t="shared" si="411"/>
        <v/>
      </c>
    </row>
    <row r="345" spans="2:37" x14ac:dyDescent="0.25">
      <c r="B345" s="187" t="s">
        <v>445</v>
      </c>
      <c r="C345" s="187"/>
      <c r="X345" s="203">
        <f t="shared" ref="X345:AD345" si="412">X178</f>
        <v>284529</v>
      </c>
      <c r="Y345" s="203">
        <f t="shared" si="412"/>
        <v>257247</v>
      </c>
      <c r="Z345" s="203">
        <f t="shared" si="412"/>
        <v>210583</v>
      </c>
      <c r="AA345" s="203">
        <f t="shared" si="412"/>
        <v>904851</v>
      </c>
      <c r="AB345" s="203">
        <f t="shared" si="412"/>
        <v>957631</v>
      </c>
      <c r="AC345" s="203">
        <f t="shared" si="412"/>
        <v>934358</v>
      </c>
      <c r="AD345" s="203">
        <f t="shared" si="412"/>
        <v>929388</v>
      </c>
      <c r="AF345" s="203">
        <f>AF178</f>
        <v>997834</v>
      </c>
      <c r="AG345" s="281"/>
      <c r="AH345" s="203"/>
      <c r="AJ345" s="24">
        <f t="shared" si="411"/>
        <v>0.19632008550908164</v>
      </c>
    </row>
    <row r="346" spans="2:37" x14ac:dyDescent="0.25">
      <c r="B346" s="187" t="s">
        <v>446</v>
      </c>
      <c r="C346" s="187"/>
      <c r="X346" s="203">
        <f t="shared" ref="X346:AD346" si="413">X203</f>
        <v>540983</v>
      </c>
      <c r="Y346" s="203">
        <f t="shared" si="413"/>
        <v>763494</v>
      </c>
      <c r="Z346" s="203">
        <f t="shared" si="413"/>
        <v>735693</v>
      </c>
      <c r="AA346" s="203">
        <f t="shared" si="413"/>
        <v>590813</v>
      </c>
      <c r="AB346" s="203">
        <f t="shared" si="413"/>
        <v>705583</v>
      </c>
      <c r="AC346" s="203">
        <f t="shared" si="413"/>
        <v>451042</v>
      </c>
      <c r="AD346" s="203">
        <f t="shared" si="413"/>
        <v>344394</v>
      </c>
      <c r="AF346" s="203">
        <f>AF203</f>
        <v>240879</v>
      </c>
      <c r="AG346" s="281"/>
      <c r="AH346" s="203"/>
      <c r="AJ346" s="24">
        <f t="shared" si="411"/>
        <v>-0.10915491383579923</v>
      </c>
    </row>
    <row r="347" spans="2:37" ht="16.5" x14ac:dyDescent="0.35">
      <c r="B347" s="187" t="s">
        <v>447</v>
      </c>
      <c r="C347" s="187"/>
      <c r="X347" s="204">
        <f t="shared" ref="X347:AD347" si="414">-X169</f>
        <v>-72170</v>
      </c>
      <c r="Y347" s="204">
        <f t="shared" si="414"/>
        <v>-134107</v>
      </c>
      <c r="Z347" s="204">
        <f t="shared" si="414"/>
        <v>-95803</v>
      </c>
      <c r="AA347" s="204">
        <f t="shared" si="414"/>
        <v>-509059</v>
      </c>
      <c r="AB347" s="204">
        <f t="shared" si="414"/>
        <v>-426215</v>
      </c>
      <c r="AC347" s="204">
        <f t="shared" si="414"/>
        <v>-175252</v>
      </c>
      <c r="AD347" s="204">
        <f t="shared" si="414"/>
        <v>-133529</v>
      </c>
      <c r="AF347" s="204">
        <f>-AF169</f>
        <v>-112759</v>
      </c>
      <c r="AG347" s="282"/>
      <c r="AH347" s="204"/>
      <c r="AJ347" s="24">
        <f t="shared" si="411"/>
        <v>6.5822612643300582E-2</v>
      </c>
    </row>
    <row r="348" spans="2:37" x14ac:dyDescent="0.25">
      <c r="B348" s="187" t="s">
        <v>411</v>
      </c>
      <c r="C348" s="187"/>
      <c r="X348" s="205">
        <f>+X345+X346+X347</f>
        <v>753342</v>
      </c>
      <c r="Y348" s="205">
        <f t="shared" ref="Y348" si="415">+Y345+Y346+Y347</f>
        <v>886634</v>
      </c>
      <c r="Z348" s="205">
        <f>+Z345+Z346+Z347</f>
        <v>850473</v>
      </c>
      <c r="AA348" s="205">
        <f>+AA345+AA346+AA347</f>
        <v>986605</v>
      </c>
      <c r="AB348" s="205">
        <f>+AB345+AB346+AB347</f>
        <v>1236999</v>
      </c>
      <c r="AC348" s="205">
        <f>+AC345+AC346+AC347</f>
        <v>1210148</v>
      </c>
      <c r="AD348" s="205">
        <f>+AD345+AD346+AD347</f>
        <v>1140253</v>
      </c>
      <c r="AF348" s="205">
        <f>+AF345+AF346+AF347</f>
        <v>1125954</v>
      </c>
      <c r="AG348" s="283"/>
      <c r="AH348" s="205"/>
      <c r="AJ348" s="24">
        <f t="shared" si="411"/>
        <v>5.9089441016338284E-2</v>
      </c>
    </row>
    <row r="349" spans="2:37" x14ac:dyDescent="0.25">
      <c r="B349" s="84" t="s">
        <v>448</v>
      </c>
      <c r="C349" s="84"/>
      <c r="D349" s="207"/>
      <c r="E349" s="207"/>
      <c r="F349" s="84"/>
      <c r="G349" s="84"/>
      <c r="H349" s="84"/>
      <c r="I349" s="84"/>
      <c r="J349" s="84"/>
      <c r="K349" s="84"/>
      <c r="L349" s="84"/>
      <c r="M349" s="84"/>
      <c r="N349" s="84"/>
      <c r="O349" s="84"/>
      <c r="P349" s="84"/>
      <c r="Q349" s="84"/>
      <c r="R349" s="84"/>
      <c r="S349" s="84"/>
      <c r="T349" s="84"/>
      <c r="U349" s="84"/>
      <c r="V349" s="84"/>
      <c r="W349" s="84"/>
      <c r="X349" s="202">
        <f>X321/X348</f>
        <v>2.9967796830655931E-2</v>
      </c>
      <c r="Y349" s="202">
        <f>Y321/AVERAGE(Y348,Z348)</f>
        <v>-1.4850207845573127E-3</v>
      </c>
      <c r="Z349" s="202">
        <f>Z321/AVERAGE(Z348,AA348)</f>
        <v>-3.6032307827974647E-2</v>
      </c>
      <c r="AA349" s="202">
        <f>AA321/AVERAGE(AA348,W348)</f>
        <v>-2.1666877828512929E-2</v>
      </c>
      <c r="AB349" s="202">
        <f>AB321/AVERAGE(AB348,AA348)</f>
        <v>1.3206964909219446E-2</v>
      </c>
      <c r="AC349" s="202">
        <f>AC321/AVERAGE(AC348,AB348)</f>
        <v>2.724217221115037E-3</v>
      </c>
      <c r="AD349" s="202">
        <f>AD321/AVERAGE(AD348,AC348)</f>
        <v>0</v>
      </c>
      <c r="AE349" s="84"/>
      <c r="AF349" s="202">
        <f>AF321/AVERAGE(AF348,AD348)</f>
        <v>5.040708990837995E-2</v>
      </c>
      <c r="AG349" s="240"/>
      <c r="AH349" s="202"/>
      <c r="AI349" s="84"/>
      <c r="AJ349" s="202">
        <f t="shared" si="411"/>
        <v>7.711581213044183E-2</v>
      </c>
    </row>
    <row r="350" spans="2:37" x14ac:dyDescent="0.25">
      <c r="B350" s="84" t="s">
        <v>491</v>
      </c>
      <c r="C350" s="84"/>
      <c r="D350" s="207"/>
      <c r="E350" s="207"/>
      <c r="F350" s="84"/>
      <c r="G350" s="84"/>
      <c r="H350" s="84"/>
      <c r="I350" s="84"/>
      <c r="J350" s="84"/>
      <c r="K350" s="84"/>
      <c r="L350" s="84"/>
      <c r="M350" s="84"/>
      <c r="N350" s="84"/>
      <c r="O350" s="84"/>
      <c r="P350" s="84"/>
      <c r="Q350" s="84"/>
      <c r="R350" s="84"/>
      <c r="S350" s="84"/>
      <c r="T350" s="84"/>
      <c r="U350" s="84"/>
      <c r="V350" s="84"/>
      <c r="W350" s="84"/>
      <c r="X350" s="349">
        <f t="shared" ref="X350:AD350" si="416">X86/X348</f>
        <v>1.0168529034621725</v>
      </c>
      <c r="Y350" s="349">
        <f t="shared" si="416"/>
        <v>0.8834107422002766</v>
      </c>
      <c r="Z350" s="349">
        <f t="shared" si="416"/>
        <v>0.72216872258143405</v>
      </c>
      <c r="AA350" s="349">
        <f t="shared" si="416"/>
        <v>0.80077842703006774</v>
      </c>
      <c r="AB350" s="349">
        <f t="shared" si="416"/>
        <v>1.0558892933624038</v>
      </c>
      <c r="AC350" s="349">
        <f t="shared" si="416"/>
        <v>1.0497459814832566</v>
      </c>
      <c r="AD350" s="349">
        <f t="shared" si="416"/>
        <v>1.3099487569863881</v>
      </c>
      <c r="AE350" s="84"/>
      <c r="AF350" s="349">
        <f>AF86/AF348</f>
        <v>0.86977887196102155</v>
      </c>
      <c r="AG350" s="240"/>
      <c r="AH350" s="202"/>
      <c r="AI350" s="84"/>
      <c r="AJ350" s="202">
        <f t="shared" si="411"/>
        <v>-2.2071178495905786E-2</v>
      </c>
    </row>
    <row r="351" spans="2:37" x14ac:dyDescent="0.25">
      <c r="B351" s="40" t="s">
        <v>436</v>
      </c>
      <c r="AJ351" s="24" t="str">
        <f t="shared" si="411"/>
        <v/>
      </c>
    </row>
    <row r="352" spans="2:37" x14ac:dyDescent="0.25">
      <c r="B352" s="2" t="s">
        <v>373</v>
      </c>
      <c r="X352" s="5">
        <f t="shared" ref="X352" si="417">X321</f>
        <v>22576</v>
      </c>
      <c r="Y352" s="5">
        <f t="shared" ref="Y352:AD352" si="418">Y321</f>
        <v>-1289.82</v>
      </c>
      <c r="Z352" s="5">
        <f t="shared" si="418"/>
        <v>-33097.08</v>
      </c>
      <c r="AA352" s="5">
        <f t="shared" si="418"/>
        <v>-21376.649999999998</v>
      </c>
      <c r="AB352" s="5">
        <f t="shared" si="418"/>
        <v>14683.529999999999</v>
      </c>
      <c r="AC352" s="5">
        <f t="shared" si="418"/>
        <v>3333.2799999999997</v>
      </c>
      <c r="AD352" s="5">
        <f t="shared" si="418"/>
        <v>0</v>
      </c>
      <c r="AF352" s="5">
        <f>AF321</f>
        <v>57116.45</v>
      </c>
      <c r="AG352" s="5"/>
      <c r="AH352" s="5"/>
      <c r="AJ352" s="24">
        <f t="shared" si="411"/>
        <v>0.14179396793439003</v>
      </c>
    </row>
    <row r="353" spans="2:36" x14ac:dyDescent="0.25">
      <c r="B353" s="2" t="s">
        <v>449</v>
      </c>
      <c r="X353" s="5">
        <f t="shared" ref="X353:AD353" si="419">+-X108</f>
        <v>38284</v>
      </c>
      <c r="Y353" s="5">
        <f t="shared" si="419"/>
        <v>90405</v>
      </c>
      <c r="Z353" s="5">
        <f t="shared" si="419"/>
        <v>73167</v>
      </c>
      <c r="AA353" s="5">
        <f t="shared" si="419"/>
        <v>71808</v>
      </c>
      <c r="AB353" s="5">
        <f t="shared" si="419"/>
        <v>109233</v>
      </c>
      <c r="AC353" s="5">
        <f t="shared" si="419"/>
        <v>92886</v>
      </c>
      <c r="AD353" s="5">
        <f t="shared" si="419"/>
        <v>94701</v>
      </c>
      <c r="AF353" s="5">
        <f>+-AF108</f>
        <v>91777</v>
      </c>
      <c r="AG353" s="5"/>
      <c r="AH353" s="5"/>
      <c r="AJ353" s="24">
        <f t="shared" si="411"/>
        <v>0.13303994590072277</v>
      </c>
    </row>
    <row r="354" spans="2:36" x14ac:dyDescent="0.25">
      <c r="B354" s="2" t="s">
        <v>450</v>
      </c>
      <c r="X354" s="5">
        <f t="shared" ref="X354:AD354" si="420">X240</f>
        <v>-103292</v>
      </c>
      <c r="Y354" s="5">
        <f t="shared" si="420"/>
        <v>-213597</v>
      </c>
      <c r="Z354" s="5">
        <f t="shared" si="420"/>
        <v>-133305</v>
      </c>
      <c r="AA354" s="5">
        <f t="shared" si="420"/>
        <v>-121370</v>
      </c>
      <c r="AB354" s="5">
        <f t="shared" si="420"/>
        <v>-85956</v>
      </c>
      <c r="AC354" s="5">
        <f t="shared" si="420"/>
        <v>-69415</v>
      </c>
      <c r="AD354" s="5">
        <f t="shared" si="420"/>
        <v>-87046</v>
      </c>
      <c r="AF354" s="5">
        <f>AF240</f>
        <v>-74773</v>
      </c>
      <c r="AG354" s="5"/>
      <c r="AH354" s="5"/>
      <c r="AJ354" s="24">
        <f t="shared" si="411"/>
        <v>-4.5108523038815185E-2</v>
      </c>
    </row>
    <row r="355" spans="2:36" ht="16.5" x14ac:dyDescent="0.35">
      <c r="B355" s="2" t="s">
        <v>451</v>
      </c>
      <c r="X355" s="17">
        <f t="shared" ref="X355:AD355" si="421">+X229+X230+X231</f>
        <v>-27472</v>
      </c>
      <c r="Y355" s="17">
        <f t="shared" si="421"/>
        <v>12124</v>
      </c>
      <c r="Z355" s="17">
        <f t="shared" si="421"/>
        <v>-18140</v>
      </c>
      <c r="AA355" s="17">
        <f t="shared" si="421"/>
        <v>-69151</v>
      </c>
      <c r="AB355" s="17">
        <f t="shared" si="421"/>
        <v>45796</v>
      </c>
      <c r="AC355" s="17">
        <f t="shared" si="421"/>
        <v>24131</v>
      </c>
      <c r="AD355" s="17">
        <f t="shared" si="421"/>
        <v>-39074</v>
      </c>
      <c r="AF355" s="17">
        <f>+AF229+AF230+AF231</f>
        <v>-8151</v>
      </c>
      <c r="AG355" s="17"/>
      <c r="AH355" s="17"/>
      <c r="AJ355" s="24">
        <f t="shared" si="411"/>
        <v>-0.15934610262256477</v>
      </c>
    </row>
    <row r="356" spans="2:36" x14ac:dyDescent="0.25">
      <c r="B356" s="84" t="s">
        <v>452</v>
      </c>
      <c r="C356" s="84"/>
      <c r="D356" s="207"/>
      <c r="E356" s="207"/>
      <c r="F356" s="84"/>
      <c r="G356" s="84"/>
      <c r="H356" s="84"/>
      <c r="I356" s="84"/>
      <c r="J356" s="84"/>
      <c r="K356" s="84"/>
      <c r="L356" s="84"/>
      <c r="M356" s="84"/>
      <c r="N356" s="84"/>
      <c r="O356" s="84"/>
      <c r="P356" s="84"/>
      <c r="Q356" s="84"/>
      <c r="R356" s="84"/>
      <c r="S356" s="84"/>
      <c r="T356" s="84"/>
      <c r="U356" s="84"/>
      <c r="V356" s="84"/>
      <c r="W356" s="84"/>
      <c r="X356" s="208">
        <f t="shared" ref="X356" si="422">+X352+X353+X354+X355</f>
        <v>-69904</v>
      </c>
      <c r="Y356" s="208">
        <f t="shared" ref="Y356:AD356" si="423">+Y352+Y353+Y354+Y355</f>
        <v>-112357.82</v>
      </c>
      <c r="Z356" s="208">
        <f t="shared" si="423"/>
        <v>-111375.08</v>
      </c>
      <c r="AA356" s="208">
        <f t="shared" si="423"/>
        <v>-140089.65</v>
      </c>
      <c r="AB356" s="208">
        <f t="shared" si="423"/>
        <v>83756.53</v>
      </c>
      <c r="AC356" s="208">
        <f t="shared" si="423"/>
        <v>50935.28</v>
      </c>
      <c r="AD356" s="208">
        <f t="shared" si="423"/>
        <v>-31419</v>
      </c>
      <c r="AE356" s="84"/>
      <c r="AF356" s="208">
        <f>+AF352+AF353+AF354+AF355</f>
        <v>65969.450000000012</v>
      </c>
      <c r="AG356" s="208"/>
      <c r="AH356" s="208"/>
      <c r="AJ356" s="24">
        <f t="shared" si="411"/>
        <v>-1.9917582770357956</v>
      </c>
    </row>
    <row r="357" spans="2:36" x14ac:dyDescent="0.25">
      <c r="B357" s="12" t="s">
        <v>371</v>
      </c>
      <c r="X357" s="5"/>
      <c r="Y357" s="5"/>
      <c r="Z357" s="5"/>
      <c r="AA357" s="5">
        <f>+AA353+AA354+AA355</f>
        <v>-118713</v>
      </c>
      <c r="AB357" s="5">
        <f>+AB353+AB354+AB355</f>
        <v>69073</v>
      </c>
      <c r="AC357" s="5">
        <f>+AC353+AC354+AC355</f>
        <v>47602</v>
      </c>
      <c r="AD357" s="5">
        <f>+AD353+AD354+AD355</f>
        <v>-31419</v>
      </c>
      <c r="AF357" s="5">
        <f>+AF353+AF354+AF355</f>
        <v>8853</v>
      </c>
      <c r="AG357" s="5"/>
      <c r="AH357" s="5"/>
      <c r="AJ357" s="24" t="str">
        <f t="shared" si="411"/>
        <v/>
      </c>
    </row>
    <row r="358" spans="2:36" x14ac:dyDescent="0.25">
      <c r="B358" s="6" t="s">
        <v>480</v>
      </c>
      <c r="X358" s="24"/>
      <c r="Y358" s="24"/>
      <c r="Z358" s="24"/>
      <c r="AA358" s="24">
        <f>AA357/AA352</f>
        <v>5.5533958782129105</v>
      </c>
      <c r="AB358" s="24">
        <f>AB357/AB352</f>
        <v>4.7041140652145641</v>
      </c>
      <c r="AC358" s="24">
        <f>AC357/AC352</f>
        <v>14.280828493255893</v>
      </c>
      <c r="AD358" s="24" t="e">
        <f>AD357/AD352</f>
        <v>#DIV/0!</v>
      </c>
      <c r="AF358" s="24">
        <f>AF357/AF352</f>
        <v>0.15499912897247642</v>
      </c>
      <c r="AG358" s="116"/>
      <c r="AH358" s="24"/>
      <c r="AJ358" s="24" t="str">
        <f t="shared" si="411"/>
        <v/>
      </c>
    </row>
    <row r="359" spans="2:36" x14ac:dyDescent="0.25">
      <c r="B359" s="6" t="s">
        <v>481</v>
      </c>
      <c r="X359" s="24"/>
      <c r="Y359" s="24"/>
      <c r="Z359" s="24"/>
      <c r="AA359" s="24">
        <f>AA356/AA352</f>
        <v>6.5533958782129105</v>
      </c>
      <c r="AB359" s="24">
        <f>AB356/AB352</f>
        <v>5.7041140652145641</v>
      </c>
      <c r="AC359" s="24">
        <f>AC356/AC352</f>
        <v>15.280828493255893</v>
      </c>
      <c r="AD359" s="24" t="e">
        <f>AD356/AD352</f>
        <v>#DIV/0!</v>
      </c>
      <c r="AF359" s="24">
        <f>AF356/AF352</f>
        <v>1.1549991289724766</v>
      </c>
      <c r="AG359" s="116"/>
      <c r="AH359" s="24"/>
      <c r="AJ359" s="24" t="str">
        <f t="shared" si="411"/>
        <v/>
      </c>
    </row>
    <row r="360" spans="2:36" x14ac:dyDescent="0.25">
      <c r="B360" s="2" t="s">
        <v>437</v>
      </c>
      <c r="AF360" s="5">
        <f>AF248</f>
        <v>92752.884655953909</v>
      </c>
      <c r="AG360" s="5"/>
      <c r="AH360" s="5"/>
      <c r="AJ360" s="24" t="str">
        <f t="shared" si="411"/>
        <v/>
      </c>
    </row>
    <row r="361" spans="2:36" x14ac:dyDescent="0.25">
      <c r="B361" s="2" t="s">
        <v>438</v>
      </c>
      <c r="AF361" s="5">
        <f>-AF261</f>
        <v>25655</v>
      </c>
      <c r="AG361" s="5"/>
      <c r="AH361" s="5"/>
      <c r="AJ361" s="24" t="str">
        <f t="shared" si="411"/>
        <v/>
      </c>
    </row>
    <row r="362" spans="2:36" x14ac:dyDescent="0.25">
      <c r="B362" s="2" t="s">
        <v>439</v>
      </c>
      <c r="AF362" s="200">
        <f>+AF129</f>
        <v>0.3168639646869984</v>
      </c>
      <c r="AG362" s="200"/>
      <c r="AH362" s="200"/>
      <c r="AJ362" s="24" t="str">
        <f t="shared" si="411"/>
        <v/>
      </c>
    </row>
    <row r="363" spans="2:36" x14ac:dyDescent="0.25">
      <c r="B363" s="13" t="s">
        <v>440</v>
      </c>
      <c r="AF363" s="5">
        <f>AF360+AF361*(1-AF362)</f>
        <v>110278.73964190896</v>
      </c>
      <c r="AG363" s="5"/>
      <c r="AH363" s="5"/>
      <c r="AJ363" s="24" t="str">
        <f t="shared" si="411"/>
        <v/>
      </c>
    </row>
    <row r="364" spans="2:36" x14ac:dyDescent="0.25">
      <c r="AD364" s="350" t="s">
        <v>621</v>
      </c>
      <c r="AE364" s="351"/>
      <c r="AF364" s="351"/>
    </row>
    <row r="365" spans="2:36" x14ac:dyDescent="0.25">
      <c r="AD365" s="352" t="s">
        <v>271</v>
      </c>
      <c r="AE365" s="351"/>
      <c r="AF365" s="353">
        <f>AF86/1000</f>
        <v>979.33100000000002</v>
      </c>
    </row>
    <row r="366" spans="2:36" x14ac:dyDescent="0.25">
      <c r="AD366" s="352" t="s">
        <v>373</v>
      </c>
      <c r="AE366" s="351"/>
      <c r="AF366" s="353">
        <f>AF321/1000</f>
        <v>57.11645</v>
      </c>
    </row>
    <row r="367" spans="2:36" x14ac:dyDescent="0.25">
      <c r="AD367" s="354" t="s">
        <v>606</v>
      </c>
      <c r="AE367" s="351"/>
      <c r="AF367" s="353">
        <f>-AF240/1000</f>
        <v>74.772999999999996</v>
      </c>
    </row>
    <row r="368" spans="2:36" x14ac:dyDescent="0.25">
      <c r="AD368" s="354" t="s">
        <v>607</v>
      </c>
      <c r="AE368" s="351"/>
      <c r="AF368" s="355">
        <f>AF108/1000</f>
        <v>-91.777000000000001</v>
      </c>
    </row>
    <row r="369" spans="30:33" x14ac:dyDescent="0.25">
      <c r="AD369" s="352" t="s">
        <v>608</v>
      </c>
      <c r="AE369" s="351"/>
      <c r="AF369" s="353">
        <f>+AF367+AF368</f>
        <v>-17.004000000000005</v>
      </c>
    </row>
    <row r="370" spans="30:33" x14ac:dyDescent="0.25">
      <c r="AD370" s="352" t="s">
        <v>609</v>
      </c>
      <c r="AE370" s="351"/>
      <c r="AF370" s="353">
        <f>AF233/1000</f>
        <v>-11.833</v>
      </c>
    </row>
    <row r="371" spans="30:33" x14ac:dyDescent="0.25">
      <c r="AD371" s="352" t="s">
        <v>371</v>
      </c>
      <c r="AE371" s="351"/>
      <c r="AF371" s="353">
        <f>AF369+AF370</f>
        <v>-28.837000000000003</v>
      </c>
    </row>
    <row r="372" spans="30:33" x14ac:dyDescent="0.25">
      <c r="AD372" s="356" t="s">
        <v>610</v>
      </c>
      <c r="AE372" s="351"/>
      <c r="AF372" s="357">
        <f>AF371/AF366</f>
        <v>-0.50488081804804052</v>
      </c>
    </row>
    <row r="373" spans="30:33" x14ac:dyDescent="0.25">
      <c r="AD373" s="362" t="s">
        <v>370</v>
      </c>
      <c r="AE373" s="350"/>
      <c r="AF373" s="363">
        <f>+AF366-AF371</f>
        <v>85.953450000000004</v>
      </c>
      <c r="AG373" s="13"/>
    </row>
    <row r="374" spans="30:33" x14ac:dyDescent="0.25">
      <c r="AD374" s="358" t="s">
        <v>611</v>
      </c>
      <c r="AE374" s="351"/>
      <c r="AF374" s="359">
        <f>AF348/1000</f>
        <v>1125.954</v>
      </c>
    </row>
    <row r="375" spans="30:33" x14ac:dyDescent="0.25">
      <c r="AD375" s="360" t="s">
        <v>397</v>
      </c>
      <c r="AE375" s="351"/>
      <c r="AF375" s="357">
        <f>AF366/AF374</f>
        <v>5.0727161145126716E-2</v>
      </c>
    </row>
    <row r="376" spans="30:33" x14ac:dyDescent="0.25">
      <c r="AD376" s="360" t="s">
        <v>612</v>
      </c>
      <c r="AE376" s="351"/>
      <c r="AF376" s="361">
        <f>AF365/AF374</f>
        <v>0.86977887196102155</v>
      </c>
    </row>
    <row r="377" spans="30:33" x14ac:dyDescent="0.25">
      <c r="AD377" s="360" t="s">
        <v>613</v>
      </c>
      <c r="AE377" s="351"/>
      <c r="AF377" s="351"/>
    </row>
  </sheetData>
  <mergeCells count="2">
    <mergeCell ref="AH1:AJ1"/>
    <mergeCell ref="O1:Q1"/>
  </mergeCells>
  <pageMargins left="0.7" right="0.7" top="0.75" bottom="0.75" header="0.3" footer="0.3"/>
  <pageSetup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EAAC-E9F2-432F-A222-9B52169678A1}">
  <dimension ref="B2:AI214"/>
  <sheetViews>
    <sheetView showGridLines="0" zoomScale="160" zoomScaleNormal="160" zoomScaleSheetLayoutView="100" workbookViewId="0">
      <selection activeCell="B8" sqref="B8"/>
    </sheetView>
  </sheetViews>
  <sheetFormatPr defaultRowHeight="15" x14ac:dyDescent="0.25"/>
  <cols>
    <col min="1" max="1" width="1.5703125" style="25" customWidth="1"/>
    <col min="2" max="2" width="21.5703125" style="25" customWidth="1"/>
    <col min="3" max="3" width="1.85546875" style="25" customWidth="1"/>
    <col min="4" max="4" width="12.140625" style="25" customWidth="1"/>
    <col min="5" max="5" width="1.85546875" style="25" customWidth="1"/>
    <col min="6" max="6" width="12.140625" style="25" customWidth="1"/>
    <col min="7" max="7" width="1.85546875" style="25" customWidth="1"/>
    <col min="8" max="8" width="9.5703125" style="25" bestFit="1" customWidth="1"/>
    <col min="9" max="9" width="2.140625" style="25" customWidth="1"/>
    <col min="10" max="10" width="12.140625" style="25" customWidth="1"/>
    <col min="11" max="11" width="1.85546875" style="25" customWidth="1"/>
    <col min="12" max="12" width="11.140625" style="25" hidden="1" customWidth="1"/>
    <col min="13" max="13" width="0" style="25" hidden="1" customWidth="1"/>
    <col min="14" max="15" width="9.140625" style="25"/>
    <col min="16" max="16" width="19" style="25" bestFit="1" customWidth="1"/>
    <col min="17" max="17" width="27.85546875" style="25" bestFit="1" customWidth="1"/>
    <col min="18" max="16384" width="9.140625" style="25"/>
  </cols>
  <sheetData>
    <row r="2" spans="2:35" ht="32.25" customHeight="1" x14ac:dyDescent="0.25">
      <c r="B2" s="242" t="s">
        <v>488</v>
      </c>
      <c r="C2" s="243"/>
      <c r="D2" s="244" t="s">
        <v>392</v>
      </c>
      <c r="E2" s="245"/>
      <c r="F2" s="244" t="s">
        <v>393</v>
      </c>
      <c r="G2" s="243"/>
      <c r="H2" s="246" t="s">
        <v>408</v>
      </c>
      <c r="I2" s="245"/>
      <c r="J2" s="244" t="s">
        <v>398</v>
      </c>
      <c r="L2" s="173" t="s">
        <v>405</v>
      </c>
      <c r="M2" s="173" t="s">
        <v>407</v>
      </c>
      <c r="N2" s="244" t="s">
        <v>666</v>
      </c>
      <c r="P2" s="51" t="s">
        <v>415</v>
      </c>
      <c r="Q2" s="51" t="s">
        <v>416</v>
      </c>
    </row>
    <row r="3" spans="2:35" x14ac:dyDescent="0.25">
      <c r="B3" s="243" t="s">
        <v>271</v>
      </c>
      <c r="C3" s="243"/>
      <c r="D3" s="247">
        <f>Model!AF86/1000</f>
        <v>979.33100000000002</v>
      </c>
      <c r="E3" s="245"/>
      <c r="F3" s="247">
        <f>[1]Model!$P$82</f>
        <v>984.40499999999997</v>
      </c>
      <c r="G3" s="243"/>
      <c r="H3" s="248">
        <f>[2]Model!$W$144</f>
        <v>486.8</v>
      </c>
      <c r="I3" s="245"/>
      <c r="J3" s="249">
        <f>[3]Model!$C$95</f>
        <v>824.65800000000002</v>
      </c>
      <c r="L3" s="176">
        <f>[4]Model!$G$16/1000</f>
        <v>6062.5129999999999</v>
      </c>
      <c r="M3" s="176"/>
      <c r="P3" s="25" t="s">
        <v>417</v>
      </c>
      <c r="Q3" s="185" t="s">
        <v>418</v>
      </c>
      <c r="S3" s="50" t="s">
        <v>692</v>
      </c>
    </row>
    <row r="4" spans="2:35" x14ac:dyDescent="0.25">
      <c r="B4" s="243" t="s">
        <v>311</v>
      </c>
      <c r="C4" s="243"/>
      <c r="D4" s="250">
        <f>Model!AF100</f>
        <v>0.16398133011208671</v>
      </c>
      <c r="E4" s="251"/>
      <c r="F4" s="252">
        <f>[1]Model!$P$96</f>
        <v>8.2044483723670639E-2</v>
      </c>
      <c r="G4" s="243"/>
      <c r="H4" s="253">
        <f>[2]Model!$V$159</f>
        <v>0.15561305094447625</v>
      </c>
      <c r="I4" s="251"/>
      <c r="J4" s="252">
        <f>[3]Model!$C$108</f>
        <v>0.13183040727186301</v>
      </c>
      <c r="L4" s="172">
        <f>[4]Model!$G$27</f>
        <v>0.12554579264407351</v>
      </c>
      <c r="M4" s="172"/>
      <c r="Q4" s="186" t="s">
        <v>419</v>
      </c>
      <c r="S4" s="464" t="s">
        <v>683</v>
      </c>
      <c r="T4" s="367"/>
      <c r="U4" s="367"/>
      <c r="V4" s="367"/>
      <c r="W4" s="367"/>
      <c r="X4" s="367"/>
      <c r="Y4" s="367"/>
      <c r="Z4" s="517" t="s">
        <v>684</v>
      </c>
      <c r="AA4" s="367"/>
      <c r="AB4" s="367"/>
      <c r="AC4" s="367"/>
      <c r="AD4" s="367"/>
      <c r="AE4" s="367"/>
      <c r="AF4" s="25" t="s">
        <v>693</v>
      </c>
      <c r="AH4" s="25" t="s">
        <v>695</v>
      </c>
    </row>
    <row r="5" spans="2:35" x14ac:dyDescent="0.25">
      <c r="B5" s="243" t="s">
        <v>682</v>
      </c>
      <c r="C5" s="243"/>
      <c r="D5" s="252">
        <f>Model!AF111</f>
        <v>7.0267355980766458E-2</v>
      </c>
      <c r="E5" s="251"/>
      <c r="F5" s="252">
        <f>[1]Model!$P$93</f>
        <v>4.2995515057318877E-2</v>
      </c>
      <c r="G5" s="243"/>
      <c r="H5" s="252">
        <f>[2]Model!$V$157</f>
        <v>5.1205495134516318E-2</v>
      </c>
      <c r="I5" s="251"/>
      <c r="J5" s="252">
        <f>[3]Model!$C$106</f>
        <v>9.1017124674713665E-2</v>
      </c>
      <c r="P5" s="25" t="s">
        <v>428</v>
      </c>
      <c r="Q5" s="186" t="s">
        <v>420</v>
      </c>
      <c r="R5" s="25" t="s">
        <v>435</v>
      </c>
      <c r="S5" s="367" t="s">
        <v>685</v>
      </c>
      <c r="T5" s="367" t="s">
        <v>686</v>
      </c>
      <c r="U5" s="367" t="s">
        <v>687</v>
      </c>
      <c r="V5" s="367" t="s">
        <v>688</v>
      </c>
      <c r="W5" s="367" t="s">
        <v>689</v>
      </c>
      <c r="X5" s="516" t="s">
        <v>690</v>
      </c>
      <c r="Y5" s="367" t="s">
        <v>691</v>
      </c>
      <c r="Z5" s="367" t="s">
        <v>686</v>
      </c>
      <c r="AA5" s="367" t="s">
        <v>687</v>
      </c>
      <c r="AB5" s="367" t="s">
        <v>688</v>
      </c>
      <c r="AC5" s="367" t="s">
        <v>689</v>
      </c>
      <c r="AD5" s="516" t="s">
        <v>690</v>
      </c>
      <c r="AE5" s="367" t="s">
        <v>691</v>
      </c>
      <c r="AF5" s="96" t="s">
        <v>694</v>
      </c>
      <c r="AG5" s="96" t="s">
        <v>684</v>
      </c>
      <c r="AH5" s="96" t="s">
        <v>694</v>
      </c>
      <c r="AI5" s="96" t="s">
        <v>684</v>
      </c>
    </row>
    <row r="6" spans="2:35" x14ac:dyDescent="0.25">
      <c r="B6" s="243" t="s">
        <v>413</v>
      </c>
      <c r="C6" s="243"/>
      <c r="D6" s="254">
        <f>+Model!AF356/1000</f>
        <v>65.969450000000009</v>
      </c>
      <c r="E6" s="251"/>
      <c r="F6" s="254">
        <f>[1]Model!$P$220</f>
        <v>13.534249999999979</v>
      </c>
      <c r="G6" s="243"/>
      <c r="H6" s="513">
        <f>[2]Model!$V$276</f>
        <v>32.643000000000001</v>
      </c>
      <c r="I6" s="251"/>
      <c r="J6" s="514">
        <f>[3]Model!$C$190</f>
        <v>-58.396000000000001</v>
      </c>
      <c r="L6" s="184">
        <f>[4]Model!$G$131/1000</f>
        <v>234.297</v>
      </c>
      <c r="M6" s="184"/>
      <c r="Q6" s="186"/>
      <c r="S6" s="518">
        <v>44562</v>
      </c>
      <c r="T6" s="367">
        <v>34</v>
      </c>
      <c r="U6" s="367">
        <v>36.15</v>
      </c>
      <c r="V6" s="367">
        <v>33.5</v>
      </c>
      <c r="W6" s="367">
        <v>34.9</v>
      </c>
      <c r="X6" s="516">
        <v>34.9</v>
      </c>
      <c r="Y6" s="515">
        <v>205085</v>
      </c>
      <c r="Z6" s="367">
        <v>47.44</v>
      </c>
      <c r="AA6" s="367">
        <v>49.4</v>
      </c>
      <c r="AB6" s="367">
        <v>46.9</v>
      </c>
      <c r="AC6" s="367">
        <v>46.99</v>
      </c>
      <c r="AD6" s="516">
        <v>46.99</v>
      </c>
      <c r="AE6" s="515">
        <v>113200</v>
      </c>
      <c r="AF6" s="392">
        <f>X6/$X$6</f>
        <v>1</v>
      </c>
      <c r="AG6" s="392">
        <f>AD6/$AD$6</f>
        <v>1</v>
      </c>
    </row>
    <row r="7" spans="2:35" x14ac:dyDescent="0.25">
      <c r="B7" s="243" t="s">
        <v>343</v>
      </c>
      <c r="C7" s="243"/>
      <c r="D7" s="254">
        <f>Main!C11/1000</f>
        <v>152.34299999999999</v>
      </c>
      <c r="E7" s="251"/>
      <c r="F7" s="254">
        <f>[1]Main!$C$10</f>
        <v>145.43100000000001</v>
      </c>
      <c r="G7" s="243"/>
      <c r="H7" s="254">
        <f>[2]Main!$C$13</f>
        <v>346.83299999999997</v>
      </c>
      <c r="I7" s="251"/>
      <c r="J7" s="255">
        <f>[3]Main!$C$10</f>
        <v>303.59100000000001</v>
      </c>
      <c r="L7" s="29">
        <f>[4]Model!$G$93</f>
        <v>0.83027625949879857</v>
      </c>
      <c r="M7" s="29"/>
      <c r="P7" s="25" t="s">
        <v>429</v>
      </c>
      <c r="Q7" s="186" t="s">
        <v>421</v>
      </c>
      <c r="S7" s="518">
        <v>44569</v>
      </c>
      <c r="T7" s="367">
        <v>35</v>
      </c>
      <c r="U7" s="367">
        <v>35.9</v>
      </c>
      <c r="V7" s="367">
        <v>33.549999999999997</v>
      </c>
      <c r="W7" s="367">
        <v>35.15</v>
      </c>
      <c r="X7" s="516">
        <v>35.15</v>
      </c>
      <c r="Y7" s="515">
        <v>122046</v>
      </c>
      <c r="Z7" s="367">
        <v>46.49</v>
      </c>
      <c r="AA7" s="367">
        <v>46.63</v>
      </c>
      <c r="AB7" s="367">
        <v>44.84</v>
      </c>
      <c r="AC7" s="367">
        <v>45.55</v>
      </c>
      <c r="AD7" s="516">
        <v>45.55</v>
      </c>
      <c r="AE7" s="515">
        <v>99700</v>
      </c>
      <c r="AF7" s="392">
        <f t="shared" ref="AF7:AF70" si="0">X7/$X$6</f>
        <v>1.0071633237822351</v>
      </c>
      <c r="AG7" s="392">
        <f t="shared" ref="AG7:AG70" si="1">AD7/$AD$6</f>
        <v>0.96935518195360704</v>
      </c>
    </row>
    <row r="8" spans="2:35" x14ac:dyDescent="0.25">
      <c r="B8" s="243" t="s">
        <v>483</v>
      </c>
      <c r="C8" s="243"/>
      <c r="D8" s="256">
        <f>Model!AF206</f>
        <v>0.94863380492178939</v>
      </c>
      <c r="E8" s="243"/>
      <c r="F8" s="257">
        <f>[1]Model!$P$171</f>
        <v>1.8006686064508146</v>
      </c>
      <c r="G8" s="243"/>
      <c r="H8" s="258">
        <f>[2]Model!V221</f>
        <v>7.034764035801464</v>
      </c>
      <c r="I8" s="243"/>
      <c r="J8" s="258">
        <f>[3]Model!$C$154</f>
        <v>2.7641079887779969</v>
      </c>
      <c r="L8" s="176">
        <f>[4]Sheet1!$C$7/1000</f>
        <v>8163.3487920000007</v>
      </c>
      <c r="M8" s="176"/>
      <c r="N8" s="258">
        <f>[5]Sheet2!$C$76</f>
        <v>1.5115979381443301</v>
      </c>
      <c r="P8" s="25" t="s">
        <v>430</v>
      </c>
      <c r="Q8" s="185" t="s">
        <v>422</v>
      </c>
      <c r="S8" s="518">
        <v>44576</v>
      </c>
      <c r="T8" s="367">
        <v>35.049999999999997</v>
      </c>
      <c r="U8" s="367">
        <v>36.5</v>
      </c>
      <c r="V8" s="367">
        <v>33.65</v>
      </c>
      <c r="W8" s="367">
        <v>34.1</v>
      </c>
      <c r="X8" s="516">
        <v>34.1</v>
      </c>
      <c r="Y8" s="515">
        <v>96143</v>
      </c>
      <c r="Z8" s="367">
        <v>44.92</v>
      </c>
      <c r="AA8" s="367">
        <v>45.1</v>
      </c>
      <c r="AB8" s="367">
        <v>42.51</v>
      </c>
      <c r="AC8" s="367">
        <v>43.25</v>
      </c>
      <c r="AD8" s="516">
        <v>43.25</v>
      </c>
      <c r="AE8" s="515">
        <v>100000</v>
      </c>
      <c r="AF8" s="392">
        <f t="shared" si="0"/>
        <v>0.97707736389684818</v>
      </c>
      <c r="AG8" s="392">
        <f t="shared" si="1"/>
        <v>0.92040859757395188</v>
      </c>
    </row>
    <row r="9" spans="2:35" ht="15.75" thickBot="1" x14ac:dyDescent="0.3">
      <c r="B9" s="243" t="s">
        <v>272</v>
      </c>
      <c r="C9" s="243"/>
      <c r="D9" s="254">
        <f ca="1">Main!C6/1000</f>
        <v>1442.692611794</v>
      </c>
      <c r="E9" s="251"/>
      <c r="F9" s="254">
        <f>[1]Main!$D$7</f>
        <v>739.05060000000003</v>
      </c>
      <c r="G9" s="243"/>
      <c r="H9" s="259">
        <f>[2]Main!$C$7</f>
        <v>509.65249999999997</v>
      </c>
      <c r="I9" s="251"/>
      <c r="J9" s="255">
        <f ca="1">[3]Main!$C$6</f>
        <v>2482.178042</v>
      </c>
      <c r="P9" s="25" t="s">
        <v>431</v>
      </c>
      <c r="Q9" s="186" t="s">
        <v>423</v>
      </c>
      <c r="S9" s="518">
        <v>44583</v>
      </c>
      <c r="T9" s="367">
        <v>34</v>
      </c>
      <c r="U9" s="367">
        <v>35.049999999999997</v>
      </c>
      <c r="V9" s="367">
        <v>31.2</v>
      </c>
      <c r="W9" s="367">
        <v>33.9</v>
      </c>
      <c r="X9" s="516">
        <v>33.9</v>
      </c>
      <c r="Y9" s="515">
        <v>153638</v>
      </c>
      <c r="Z9" s="367">
        <v>42.25</v>
      </c>
      <c r="AA9" s="367">
        <v>45.21</v>
      </c>
      <c r="AB9" s="367">
        <v>40.82</v>
      </c>
      <c r="AC9" s="367">
        <v>42.39</v>
      </c>
      <c r="AD9" s="516">
        <v>42.39</v>
      </c>
      <c r="AE9" s="515">
        <v>136000</v>
      </c>
      <c r="AF9" s="392">
        <f t="shared" si="0"/>
        <v>0.97134670487106012</v>
      </c>
      <c r="AG9" s="392">
        <f t="shared" si="1"/>
        <v>0.90210683124068947</v>
      </c>
    </row>
    <row r="10" spans="2:35" ht="15.75" thickBot="1" x14ac:dyDescent="0.3">
      <c r="B10" s="260" t="s">
        <v>482</v>
      </c>
      <c r="C10" s="261"/>
      <c r="D10" s="266">
        <f ca="1">Main!C14</f>
        <v>9.8862371267579441</v>
      </c>
      <c r="E10" s="263"/>
      <c r="F10" s="262">
        <f>[1]Main!$D$13</f>
        <v>10.945961740853095</v>
      </c>
      <c r="G10" s="261"/>
      <c r="H10" s="264">
        <f>[2]Main!$D$18</f>
        <v>11.354475657156788</v>
      </c>
      <c r="I10" s="263"/>
      <c r="J10" s="265">
        <f ca="1">[3]Main!$C$14</f>
        <v>22.831973895046676</v>
      </c>
      <c r="L10" s="97">
        <f>[4]Sheet1!$C$15</f>
        <v>13.254410643220609</v>
      </c>
      <c r="M10" s="97"/>
      <c r="Q10" s="185" t="s">
        <v>424</v>
      </c>
      <c r="S10" s="518">
        <v>44590</v>
      </c>
      <c r="T10" s="367">
        <v>34.1</v>
      </c>
      <c r="U10" s="367">
        <v>35.5</v>
      </c>
      <c r="V10" s="367">
        <v>33.4</v>
      </c>
      <c r="W10" s="367">
        <v>35.15</v>
      </c>
      <c r="X10" s="516">
        <v>35.15</v>
      </c>
      <c r="Y10" s="515">
        <v>84309</v>
      </c>
      <c r="Z10" s="367">
        <v>42.63</v>
      </c>
      <c r="AA10" s="367">
        <v>44.09</v>
      </c>
      <c r="AB10" s="367">
        <v>41.81</v>
      </c>
      <c r="AC10" s="367">
        <v>43.56</v>
      </c>
      <c r="AD10" s="516">
        <v>43.56</v>
      </c>
      <c r="AE10" s="515">
        <v>217100</v>
      </c>
      <c r="AF10" s="392">
        <f t="shared" si="0"/>
        <v>1.0071633237822351</v>
      </c>
      <c r="AG10" s="392">
        <f t="shared" si="1"/>
        <v>0.92700574590338369</v>
      </c>
    </row>
    <row r="11" spans="2:35" x14ac:dyDescent="0.25">
      <c r="P11" s="25" t="s">
        <v>432</v>
      </c>
      <c r="Q11" s="186" t="s">
        <v>425</v>
      </c>
      <c r="S11" s="518">
        <v>44597</v>
      </c>
      <c r="T11" s="367">
        <v>35.35</v>
      </c>
      <c r="U11" s="367">
        <v>36.75</v>
      </c>
      <c r="V11" s="367">
        <v>33.1</v>
      </c>
      <c r="W11" s="367">
        <v>34.799999999999997</v>
      </c>
      <c r="X11" s="516">
        <v>34.799999999999997</v>
      </c>
      <c r="Y11" s="515">
        <v>107167</v>
      </c>
      <c r="Z11" s="367">
        <v>43.24</v>
      </c>
      <c r="AA11" s="367">
        <v>45.01</v>
      </c>
      <c r="AB11" s="367">
        <v>42.74</v>
      </c>
      <c r="AC11" s="367">
        <v>43.96</v>
      </c>
      <c r="AD11" s="516">
        <v>43.96</v>
      </c>
      <c r="AE11" s="515">
        <v>203500</v>
      </c>
      <c r="AF11" s="392">
        <f t="shared" si="0"/>
        <v>0.99713467048710602</v>
      </c>
      <c r="AG11" s="392">
        <f t="shared" si="1"/>
        <v>0.93551819536071501</v>
      </c>
    </row>
    <row r="12" spans="2:35" x14ac:dyDescent="0.25">
      <c r="S12" s="518">
        <v>44604</v>
      </c>
      <c r="T12" s="367">
        <v>34.299999999999997</v>
      </c>
      <c r="U12" s="367">
        <v>34.450000000000003</v>
      </c>
      <c r="V12" s="367">
        <v>31.5</v>
      </c>
      <c r="W12" s="367">
        <v>32</v>
      </c>
      <c r="X12" s="516">
        <v>32</v>
      </c>
      <c r="Y12" s="515">
        <v>166091</v>
      </c>
      <c r="Z12" s="367">
        <v>44.12</v>
      </c>
      <c r="AA12" s="367">
        <v>46.96</v>
      </c>
      <c r="AB12" s="367">
        <v>44.12</v>
      </c>
      <c r="AC12" s="367">
        <v>46.07</v>
      </c>
      <c r="AD12" s="516">
        <v>46.07</v>
      </c>
      <c r="AE12" s="515">
        <v>209400</v>
      </c>
      <c r="AF12" s="392">
        <f t="shared" si="0"/>
        <v>0.91690544412607455</v>
      </c>
      <c r="AG12" s="392">
        <f t="shared" si="1"/>
        <v>0.98042136624813792</v>
      </c>
    </row>
    <row r="13" spans="2:35" x14ac:dyDescent="0.25">
      <c r="B13" s="25" t="s">
        <v>414</v>
      </c>
      <c r="D13" s="199">
        <v>6346</v>
      </c>
      <c r="E13" s="28"/>
      <c r="F13" s="199">
        <v>3907</v>
      </c>
      <c r="H13" s="199">
        <v>3362</v>
      </c>
      <c r="J13" s="199">
        <v>2000</v>
      </c>
      <c r="P13" s="25" t="s">
        <v>433</v>
      </c>
      <c r="Q13" s="186" t="s">
        <v>426</v>
      </c>
      <c r="S13" s="518">
        <v>44611</v>
      </c>
      <c r="T13" s="367">
        <v>32.15</v>
      </c>
      <c r="U13" s="367">
        <v>33.75</v>
      </c>
      <c r="V13" s="367">
        <v>24.55</v>
      </c>
      <c r="W13" s="367">
        <v>25.15</v>
      </c>
      <c r="X13" s="516">
        <v>25.15</v>
      </c>
      <c r="Y13" s="515">
        <v>303046</v>
      </c>
      <c r="Z13" s="367">
        <v>45.65</v>
      </c>
      <c r="AA13" s="367">
        <v>49.21</v>
      </c>
      <c r="AB13" s="367">
        <v>43.09</v>
      </c>
      <c r="AC13" s="367">
        <v>49.07</v>
      </c>
      <c r="AD13" s="516">
        <v>49.07</v>
      </c>
      <c r="AE13" s="515">
        <v>123900</v>
      </c>
      <c r="AF13" s="392">
        <f t="shared" si="0"/>
        <v>0.72063037249283668</v>
      </c>
      <c r="AG13" s="392">
        <f t="shared" si="1"/>
        <v>1.0442647371781231</v>
      </c>
    </row>
    <row r="14" spans="2:35" x14ac:dyDescent="0.25">
      <c r="P14" s="25" t="s">
        <v>434</v>
      </c>
      <c r="Q14" s="186" t="s">
        <v>427</v>
      </c>
      <c r="S14" s="518">
        <v>44618</v>
      </c>
      <c r="T14" s="367">
        <v>25.5</v>
      </c>
      <c r="U14" s="367">
        <v>26.1</v>
      </c>
      <c r="V14" s="367">
        <v>18.54</v>
      </c>
      <c r="W14" s="367">
        <v>18.54</v>
      </c>
      <c r="X14" s="516">
        <v>18.54</v>
      </c>
      <c r="Y14" s="515">
        <v>1211845</v>
      </c>
      <c r="Z14" s="367">
        <v>49.13</v>
      </c>
      <c r="AA14" s="367">
        <v>51.58</v>
      </c>
      <c r="AB14" s="367">
        <v>49.13</v>
      </c>
      <c r="AC14" s="367">
        <v>50.2</v>
      </c>
      <c r="AD14" s="516">
        <v>50.2</v>
      </c>
      <c r="AE14" s="515">
        <v>203900</v>
      </c>
      <c r="AF14" s="392">
        <f t="shared" si="0"/>
        <v>0.53123209169054442</v>
      </c>
      <c r="AG14" s="392">
        <f t="shared" si="1"/>
        <v>1.068312406895084</v>
      </c>
    </row>
    <row r="15" spans="2:35" x14ac:dyDescent="0.25">
      <c r="B15" s="25" t="s">
        <v>394</v>
      </c>
      <c r="J15" s="25">
        <v>1.8</v>
      </c>
      <c r="S15" s="518">
        <v>44625</v>
      </c>
      <c r="T15" s="367">
        <v>17.82</v>
      </c>
      <c r="U15" s="367">
        <v>18</v>
      </c>
      <c r="V15" s="367">
        <v>15.28</v>
      </c>
      <c r="W15" s="367">
        <v>15.9</v>
      </c>
      <c r="X15" s="516">
        <v>15.9</v>
      </c>
      <c r="Y15" s="515">
        <v>609677</v>
      </c>
      <c r="Z15" s="367">
        <v>50.57</v>
      </c>
      <c r="AA15" s="367">
        <v>52.94</v>
      </c>
      <c r="AB15" s="367">
        <v>50.22</v>
      </c>
      <c r="AC15" s="367">
        <v>50.65</v>
      </c>
      <c r="AD15" s="516">
        <v>50.65</v>
      </c>
      <c r="AE15" s="515">
        <v>168500</v>
      </c>
      <c r="AF15" s="392">
        <f t="shared" si="0"/>
        <v>0.4555873925501433</v>
      </c>
      <c r="AG15" s="392">
        <f t="shared" si="1"/>
        <v>1.0778889125345819</v>
      </c>
    </row>
    <row r="16" spans="2:35" x14ac:dyDescent="0.25">
      <c r="B16" s="25" t="s">
        <v>395</v>
      </c>
      <c r="S16" s="518">
        <v>44632</v>
      </c>
      <c r="T16" s="367">
        <v>15.94</v>
      </c>
      <c r="U16" s="367">
        <v>17.36</v>
      </c>
      <c r="V16" s="367">
        <v>14.84</v>
      </c>
      <c r="W16" s="367">
        <v>16.8</v>
      </c>
      <c r="X16" s="516">
        <v>16.8</v>
      </c>
      <c r="Y16" s="515">
        <v>583264</v>
      </c>
      <c r="Z16" s="367">
        <v>51.09</v>
      </c>
      <c r="AA16" s="367">
        <v>52.29</v>
      </c>
      <c r="AB16" s="367">
        <v>50.08</v>
      </c>
      <c r="AC16" s="367">
        <v>50.82</v>
      </c>
      <c r="AD16" s="516">
        <v>50.82</v>
      </c>
      <c r="AE16" s="515">
        <v>330500</v>
      </c>
      <c r="AF16" s="392">
        <f t="shared" si="0"/>
        <v>0.48137535816618915</v>
      </c>
      <c r="AG16" s="392">
        <f t="shared" si="1"/>
        <v>1.0815067035539476</v>
      </c>
    </row>
    <row r="17" spans="19:33" x14ac:dyDescent="0.25">
      <c r="S17" s="518">
        <v>44639</v>
      </c>
      <c r="T17" s="367">
        <v>17.2</v>
      </c>
      <c r="U17" s="367">
        <v>17.82</v>
      </c>
      <c r="V17" s="367">
        <v>16</v>
      </c>
      <c r="W17" s="367">
        <v>16.440000000000001</v>
      </c>
      <c r="X17" s="516">
        <v>16.440000000000001</v>
      </c>
      <c r="Y17" s="515">
        <v>262995</v>
      </c>
      <c r="Z17" s="367">
        <v>51.5</v>
      </c>
      <c r="AA17" s="367">
        <v>54.61</v>
      </c>
      <c r="AB17" s="367">
        <v>51.3</v>
      </c>
      <c r="AC17" s="367">
        <v>53.52</v>
      </c>
      <c r="AD17" s="516">
        <v>53.52</v>
      </c>
      <c r="AE17" s="515">
        <v>139800</v>
      </c>
      <c r="AF17" s="392">
        <f t="shared" si="0"/>
        <v>0.47106017191977084</v>
      </c>
      <c r="AG17" s="392">
        <f t="shared" si="1"/>
        <v>1.1389657373909343</v>
      </c>
    </row>
    <row r="18" spans="19:33" x14ac:dyDescent="0.25">
      <c r="S18" s="518">
        <v>44646</v>
      </c>
      <c r="T18" s="367">
        <v>16.34</v>
      </c>
      <c r="U18" s="367">
        <v>16.920000000000002</v>
      </c>
      <c r="V18" s="367">
        <v>15.1</v>
      </c>
      <c r="W18" s="367">
        <v>15.22</v>
      </c>
      <c r="X18" s="516">
        <v>15.22</v>
      </c>
      <c r="Y18" s="515">
        <v>525974</v>
      </c>
      <c r="Z18" s="367">
        <v>53.52</v>
      </c>
      <c r="AA18" s="367">
        <v>53.66</v>
      </c>
      <c r="AB18" s="367">
        <v>52.08</v>
      </c>
      <c r="AC18" s="367">
        <v>53.31</v>
      </c>
      <c r="AD18" s="516">
        <v>53.31</v>
      </c>
      <c r="AE18" s="515">
        <v>145600</v>
      </c>
      <c r="AF18" s="392">
        <f t="shared" si="0"/>
        <v>0.43610315186246423</v>
      </c>
      <c r="AG18" s="392">
        <f t="shared" si="1"/>
        <v>1.1344967014258354</v>
      </c>
    </row>
    <row r="19" spans="19:33" x14ac:dyDescent="0.25">
      <c r="S19" s="518">
        <v>44653</v>
      </c>
      <c r="T19" s="367">
        <v>15.52</v>
      </c>
      <c r="U19" s="367">
        <v>18.62</v>
      </c>
      <c r="V19" s="367">
        <v>15.48</v>
      </c>
      <c r="W19" s="367">
        <v>17.559999999999999</v>
      </c>
      <c r="X19" s="516">
        <v>17.559999999999999</v>
      </c>
      <c r="Y19" s="515">
        <v>646027</v>
      </c>
      <c r="Z19" s="367">
        <v>53.54</v>
      </c>
      <c r="AA19" s="367">
        <v>54.02</v>
      </c>
      <c r="AB19" s="367">
        <v>51.38</v>
      </c>
      <c r="AC19" s="367">
        <v>52.08</v>
      </c>
      <c r="AD19" s="516">
        <v>52.08</v>
      </c>
      <c r="AE19" s="515">
        <v>150900</v>
      </c>
      <c r="AF19" s="392">
        <f t="shared" si="0"/>
        <v>0.50315186246418342</v>
      </c>
      <c r="AG19" s="392">
        <f t="shared" si="1"/>
        <v>1.1083209193445414</v>
      </c>
    </row>
    <row r="20" spans="19:33" x14ac:dyDescent="0.25">
      <c r="S20" s="518">
        <v>44660</v>
      </c>
      <c r="T20" s="367">
        <v>17.66</v>
      </c>
      <c r="U20" s="367">
        <v>18.78</v>
      </c>
      <c r="V20" s="367">
        <v>17.239999999999998</v>
      </c>
      <c r="W20" s="367">
        <v>18.260000000000002</v>
      </c>
      <c r="X20" s="516">
        <v>18.260000000000002</v>
      </c>
      <c r="Y20" s="515">
        <v>302366</v>
      </c>
      <c r="Z20" s="367">
        <v>52.09</v>
      </c>
      <c r="AA20" s="367">
        <v>55.93</v>
      </c>
      <c r="AB20" s="367">
        <v>51.83</v>
      </c>
      <c r="AC20" s="367">
        <v>55.42</v>
      </c>
      <c r="AD20" s="516">
        <v>55.42</v>
      </c>
      <c r="AE20" s="515">
        <v>129700</v>
      </c>
      <c r="AF20" s="392">
        <f t="shared" si="0"/>
        <v>0.52320916905444137</v>
      </c>
      <c r="AG20" s="392">
        <f t="shared" si="1"/>
        <v>1.1793998723132582</v>
      </c>
    </row>
    <row r="21" spans="19:33" x14ac:dyDescent="0.25">
      <c r="S21" s="518">
        <v>44667</v>
      </c>
      <c r="T21" s="367">
        <v>18.260000000000002</v>
      </c>
      <c r="U21" s="367">
        <v>18.64</v>
      </c>
      <c r="V21" s="367">
        <v>17.239999999999998</v>
      </c>
      <c r="W21" s="367">
        <v>17.84</v>
      </c>
      <c r="X21" s="516">
        <v>17.84</v>
      </c>
      <c r="Y21" s="515">
        <v>522545</v>
      </c>
      <c r="Z21" s="367">
        <v>55.45</v>
      </c>
      <c r="AA21" s="367">
        <v>58.18</v>
      </c>
      <c r="AB21" s="367">
        <v>55.3</v>
      </c>
      <c r="AC21" s="367">
        <v>55.53</v>
      </c>
      <c r="AD21" s="516">
        <v>55.53</v>
      </c>
      <c r="AE21" s="515">
        <v>181300</v>
      </c>
      <c r="AF21" s="392">
        <f t="shared" si="0"/>
        <v>0.51117478510028658</v>
      </c>
      <c r="AG21" s="392">
        <f t="shared" si="1"/>
        <v>1.1817407959140243</v>
      </c>
    </row>
    <row r="22" spans="19:33" x14ac:dyDescent="0.25">
      <c r="S22" s="518">
        <v>44674</v>
      </c>
      <c r="T22" s="367">
        <v>17.5</v>
      </c>
      <c r="U22" s="367">
        <v>17.7</v>
      </c>
      <c r="V22" s="367">
        <v>14.2</v>
      </c>
      <c r="W22" s="367">
        <v>14.92</v>
      </c>
      <c r="X22" s="516">
        <v>14.92</v>
      </c>
      <c r="Y22" s="515">
        <v>658409</v>
      </c>
      <c r="Z22" s="367">
        <v>55.45</v>
      </c>
      <c r="AA22" s="367">
        <v>55.45</v>
      </c>
      <c r="AB22" s="367">
        <v>50.81</v>
      </c>
      <c r="AC22" s="367">
        <v>51.07</v>
      </c>
      <c r="AD22" s="516">
        <v>51.07</v>
      </c>
      <c r="AE22" s="515">
        <v>223100</v>
      </c>
      <c r="AF22" s="392">
        <f t="shared" si="0"/>
        <v>0.42750716332378225</v>
      </c>
      <c r="AG22" s="392">
        <f t="shared" si="1"/>
        <v>1.0868269844647798</v>
      </c>
    </row>
    <row r="23" spans="19:33" x14ac:dyDescent="0.25">
      <c r="S23" s="518">
        <v>44681</v>
      </c>
      <c r="T23" s="367">
        <v>15</v>
      </c>
      <c r="U23" s="367">
        <v>16.3</v>
      </c>
      <c r="V23" s="367">
        <v>14.06</v>
      </c>
      <c r="W23" s="367">
        <v>15.6</v>
      </c>
      <c r="X23" s="516">
        <v>15.6</v>
      </c>
      <c r="Y23" s="515">
        <v>390389</v>
      </c>
      <c r="Z23" s="367">
        <v>51.3</v>
      </c>
      <c r="AA23" s="367">
        <v>55.31</v>
      </c>
      <c r="AB23" s="367">
        <v>49.14</v>
      </c>
      <c r="AC23" s="367">
        <v>50.15</v>
      </c>
      <c r="AD23" s="516">
        <v>50.15</v>
      </c>
      <c r="AE23" s="515">
        <v>265100</v>
      </c>
      <c r="AF23" s="392">
        <f t="shared" si="0"/>
        <v>0.44699140401146131</v>
      </c>
      <c r="AG23" s="392">
        <f t="shared" si="1"/>
        <v>1.0672483507129176</v>
      </c>
    </row>
    <row r="24" spans="19:33" x14ac:dyDescent="0.25">
      <c r="S24" s="518">
        <v>44688</v>
      </c>
      <c r="T24" s="367">
        <v>15.74</v>
      </c>
      <c r="U24" s="367">
        <v>16.16</v>
      </c>
      <c r="V24" s="367">
        <v>14.7</v>
      </c>
      <c r="W24" s="367">
        <v>15.58</v>
      </c>
      <c r="X24" s="516">
        <v>15.58</v>
      </c>
      <c r="Y24" s="515">
        <v>475268</v>
      </c>
      <c r="Z24" s="367">
        <v>49.34</v>
      </c>
      <c r="AA24" s="367">
        <v>49.34</v>
      </c>
      <c r="AB24" s="367">
        <v>45.03</v>
      </c>
      <c r="AC24" s="367">
        <v>46.11</v>
      </c>
      <c r="AD24" s="516">
        <v>46.11</v>
      </c>
      <c r="AE24" s="515">
        <v>229200</v>
      </c>
      <c r="AF24" s="392">
        <f t="shared" si="0"/>
        <v>0.44641833810888254</v>
      </c>
      <c r="AG24" s="392">
        <f t="shared" si="1"/>
        <v>0.98127261119387099</v>
      </c>
    </row>
    <row r="25" spans="19:33" x14ac:dyDescent="0.25">
      <c r="S25" s="518">
        <v>44695</v>
      </c>
      <c r="T25" s="367">
        <v>15.46</v>
      </c>
      <c r="U25" s="367">
        <v>16.78</v>
      </c>
      <c r="V25" s="367">
        <v>15.34</v>
      </c>
      <c r="W25" s="367">
        <v>15.5</v>
      </c>
      <c r="X25" s="516">
        <v>15.5</v>
      </c>
      <c r="Y25" s="515">
        <v>144205</v>
      </c>
      <c r="Z25" s="367">
        <v>46</v>
      </c>
      <c r="AA25" s="367">
        <v>46.31</v>
      </c>
      <c r="AB25" s="367">
        <v>40</v>
      </c>
      <c r="AC25" s="367">
        <v>40.880000000000003</v>
      </c>
      <c r="AD25" s="516">
        <v>40.880000000000003</v>
      </c>
      <c r="AE25" s="515">
        <v>241200</v>
      </c>
      <c r="AF25" s="392">
        <f t="shared" si="0"/>
        <v>0.44412607449856734</v>
      </c>
      <c r="AG25" s="392">
        <f t="shared" si="1"/>
        <v>0.8699723345392637</v>
      </c>
    </row>
    <row r="26" spans="19:33" x14ac:dyDescent="0.25">
      <c r="S26" s="518">
        <v>44702</v>
      </c>
      <c r="T26" s="367">
        <v>15.62</v>
      </c>
      <c r="U26" s="367">
        <v>15.9</v>
      </c>
      <c r="V26" s="367">
        <v>13.66</v>
      </c>
      <c r="W26" s="367">
        <v>14.94</v>
      </c>
      <c r="X26" s="516">
        <v>14.94</v>
      </c>
      <c r="Y26" s="515">
        <v>181348</v>
      </c>
      <c r="Z26" s="367">
        <v>41.66</v>
      </c>
      <c r="AA26" s="367">
        <v>44.56</v>
      </c>
      <c r="AB26" s="367">
        <v>40.69</v>
      </c>
      <c r="AC26" s="367">
        <v>44.14</v>
      </c>
      <c r="AD26" s="516">
        <v>44.14</v>
      </c>
      <c r="AE26" s="515">
        <v>144200</v>
      </c>
      <c r="AF26" s="392">
        <f t="shared" si="0"/>
        <v>0.42808022922636102</v>
      </c>
      <c r="AG26" s="392">
        <f t="shared" si="1"/>
        <v>0.93934879761651413</v>
      </c>
    </row>
    <row r="27" spans="19:33" x14ac:dyDescent="0.25">
      <c r="S27" s="518">
        <v>44709</v>
      </c>
      <c r="T27" s="367">
        <v>14.84</v>
      </c>
      <c r="U27" s="367">
        <v>17.86</v>
      </c>
      <c r="V27" s="367">
        <v>14.84</v>
      </c>
      <c r="W27" s="367">
        <v>16.84</v>
      </c>
      <c r="X27" s="516">
        <v>16.84</v>
      </c>
      <c r="Y27" s="515">
        <v>308488</v>
      </c>
      <c r="Z27" s="367">
        <v>44.11</v>
      </c>
      <c r="AA27" s="367">
        <v>46.72</v>
      </c>
      <c r="AB27" s="367">
        <v>43.78</v>
      </c>
      <c r="AC27" s="367">
        <v>45.82</v>
      </c>
      <c r="AD27" s="516">
        <v>45.82</v>
      </c>
      <c r="AE27" s="515">
        <v>207800</v>
      </c>
      <c r="AF27" s="392">
        <f t="shared" si="0"/>
        <v>0.4825214899713467</v>
      </c>
      <c r="AG27" s="392">
        <f t="shared" si="1"/>
        <v>0.97510108533730577</v>
      </c>
    </row>
    <row r="28" spans="19:33" x14ac:dyDescent="0.25">
      <c r="S28" s="518">
        <v>44716</v>
      </c>
      <c r="T28" s="367">
        <v>16.84</v>
      </c>
      <c r="U28" s="367">
        <v>17.88</v>
      </c>
      <c r="V28" s="367">
        <v>16.079999999999998</v>
      </c>
      <c r="W28" s="367">
        <v>16.3</v>
      </c>
      <c r="X28" s="516">
        <v>16.3</v>
      </c>
      <c r="Y28" s="515">
        <v>106233</v>
      </c>
      <c r="Z28" s="367">
        <v>45.95</v>
      </c>
      <c r="AA28" s="367">
        <v>47.43</v>
      </c>
      <c r="AB28" s="367">
        <v>44.64</v>
      </c>
      <c r="AC28" s="367">
        <v>46.87</v>
      </c>
      <c r="AD28" s="516">
        <v>46.87</v>
      </c>
      <c r="AE28" s="515">
        <v>212200</v>
      </c>
      <c r="AF28" s="392">
        <f t="shared" si="0"/>
        <v>0.46704871060171926</v>
      </c>
      <c r="AG28" s="392">
        <f t="shared" si="1"/>
        <v>0.99744626516280055</v>
      </c>
    </row>
    <row r="29" spans="19:33" x14ac:dyDescent="0.25">
      <c r="S29" s="518">
        <v>44723</v>
      </c>
      <c r="T29" s="367">
        <v>16</v>
      </c>
      <c r="U29" s="367">
        <v>16.8</v>
      </c>
      <c r="V29" s="367">
        <v>15.58</v>
      </c>
      <c r="W29" s="367">
        <v>16.8</v>
      </c>
      <c r="X29" s="516">
        <v>16.8</v>
      </c>
      <c r="Y29" s="515">
        <v>292637</v>
      </c>
      <c r="Z29" s="367">
        <v>45.85</v>
      </c>
      <c r="AA29" s="367">
        <v>46.46</v>
      </c>
      <c r="AB29" s="367">
        <v>41.65</v>
      </c>
      <c r="AC29" s="367">
        <v>43.51</v>
      </c>
      <c r="AD29" s="516">
        <v>43.51</v>
      </c>
      <c r="AE29" s="515">
        <v>470800</v>
      </c>
      <c r="AF29" s="392">
        <f t="shared" si="0"/>
        <v>0.48137535816618915</v>
      </c>
      <c r="AG29" s="392">
        <f t="shared" si="1"/>
        <v>0.92594168972121715</v>
      </c>
    </row>
    <row r="30" spans="19:33" x14ac:dyDescent="0.25">
      <c r="S30" s="518">
        <v>44730</v>
      </c>
      <c r="T30" s="367">
        <v>16.88</v>
      </c>
      <c r="U30" s="367">
        <v>16.88</v>
      </c>
      <c r="V30" s="367">
        <v>15.48</v>
      </c>
      <c r="W30" s="367">
        <v>15.58</v>
      </c>
      <c r="X30" s="516">
        <v>15.58</v>
      </c>
      <c r="Y30" s="515">
        <v>148679</v>
      </c>
      <c r="Z30" s="367">
        <v>43.46</v>
      </c>
      <c r="AA30" s="367">
        <v>45.09</v>
      </c>
      <c r="AB30" s="367">
        <v>41.28</v>
      </c>
      <c r="AC30" s="367">
        <v>43.7</v>
      </c>
      <c r="AD30" s="516">
        <v>43.7</v>
      </c>
      <c r="AE30" s="515">
        <v>601200</v>
      </c>
      <c r="AF30" s="392">
        <f t="shared" si="0"/>
        <v>0.44641833810888254</v>
      </c>
      <c r="AG30" s="392">
        <f t="shared" si="1"/>
        <v>0.92998510321344974</v>
      </c>
    </row>
    <row r="31" spans="19:33" x14ac:dyDescent="0.25">
      <c r="S31" s="518">
        <v>44737</v>
      </c>
      <c r="T31" s="367">
        <v>15.74</v>
      </c>
      <c r="U31" s="367">
        <v>16.420000000000002</v>
      </c>
      <c r="V31" s="367">
        <v>14.38</v>
      </c>
      <c r="W31" s="367">
        <v>15.52</v>
      </c>
      <c r="X31" s="516">
        <v>15.52</v>
      </c>
      <c r="Y31" s="515">
        <v>228732</v>
      </c>
      <c r="Z31" s="367">
        <v>44.19</v>
      </c>
      <c r="AA31" s="367">
        <v>45.16</v>
      </c>
      <c r="AB31" s="367">
        <v>40.32</v>
      </c>
      <c r="AC31" s="367">
        <v>43.86</v>
      </c>
      <c r="AD31" s="516">
        <v>43.86</v>
      </c>
      <c r="AE31" s="515">
        <v>281200</v>
      </c>
      <c r="AF31" s="392">
        <f t="shared" si="0"/>
        <v>0.44469914040114616</v>
      </c>
      <c r="AG31" s="392">
        <f t="shared" si="1"/>
        <v>0.93339008299638215</v>
      </c>
    </row>
    <row r="32" spans="19:33" x14ac:dyDescent="0.25">
      <c r="S32" s="518">
        <v>44744</v>
      </c>
      <c r="T32" s="367">
        <v>15.8</v>
      </c>
      <c r="U32" s="367">
        <v>17.22</v>
      </c>
      <c r="V32" s="367">
        <v>14.5</v>
      </c>
      <c r="W32" s="367">
        <v>16.940000000000001</v>
      </c>
      <c r="X32" s="516">
        <v>16.940000000000001</v>
      </c>
      <c r="Y32" s="515">
        <v>161638</v>
      </c>
      <c r="Z32" s="367">
        <v>43.1</v>
      </c>
      <c r="AA32" s="367">
        <v>43.54</v>
      </c>
      <c r="AB32" s="367">
        <v>41.49</v>
      </c>
      <c r="AC32" s="367">
        <v>42.72</v>
      </c>
      <c r="AD32" s="516">
        <v>42.72</v>
      </c>
      <c r="AE32" s="515">
        <v>146500</v>
      </c>
      <c r="AF32" s="392">
        <f t="shared" si="0"/>
        <v>0.48538681948424073</v>
      </c>
      <c r="AG32" s="392">
        <f t="shared" si="1"/>
        <v>0.90912960204298776</v>
      </c>
    </row>
    <row r="33" spans="19:33" x14ac:dyDescent="0.25">
      <c r="S33" s="518">
        <v>44751</v>
      </c>
      <c r="T33" s="367">
        <v>17</v>
      </c>
      <c r="U33" s="367">
        <v>17.600000000000001</v>
      </c>
      <c r="V33" s="367">
        <v>15.2</v>
      </c>
      <c r="W33" s="367">
        <v>15.68</v>
      </c>
      <c r="X33" s="516">
        <v>15.68</v>
      </c>
      <c r="Y33" s="515">
        <v>113465</v>
      </c>
      <c r="Z33" s="367">
        <v>42.5</v>
      </c>
      <c r="AA33" s="367">
        <v>43.2</v>
      </c>
      <c r="AB33" s="367">
        <v>40.69</v>
      </c>
      <c r="AC33" s="367">
        <v>42.55</v>
      </c>
      <c r="AD33" s="516">
        <v>42.55</v>
      </c>
      <c r="AE33" s="515">
        <v>128000</v>
      </c>
      <c r="AF33" s="392">
        <f t="shared" si="0"/>
        <v>0.44928366762177652</v>
      </c>
      <c r="AG33" s="392">
        <f t="shared" si="1"/>
        <v>0.90551181102362199</v>
      </c>
    </row>
    <row r="34" spans="19:33" x14ac:dyDescent="0.25">
      <c r="S34" s="518">
        <v>44758</v>
      </c>
      <c r="T34" s="367">
        <v>15.9</v>
      </c>
      <c r="U34" s="367">
        <v>17.579999999999998</v>
      </c>
      <c r="V34" s="367">
        <v>15.88</v>
      </c>
      <c r="W34" s="367">
        <v>16.940000000000001</v>
      </c>
      <c r="X34" s="516">
        <v>16.940000000000001</v>
      </c>
      <c r="Y34" s="515">
        <v>133572</v>
      </c>
      <c r="Z34" s="367">
        <v>43.24</v>
      </c>
      <c r="AA34" s="367">
        <v>45.25</v>
      </c>
      <c r="AB34" s="367">
        <v>42.46</v>
      </c>
      <c r="AC34" s="367">
        <v>43.37</v>
      </c>
      <c r="AD34" s="516">
        <v>43.37</v>
      </c>
      <c r="AE34" s="515">
        <v>170100</v>
      </c>
      <c r="AF34" s="392">
        <f t="shared" si="0"/>
        <v>0.48538681948424073</v>
      </c>
      <c r="AG34" s="392">
        <f t="shared" si="1"/>
        <v>0.92296233241115122</v>
      </c>
    </row>
    <row r="35" spans="19:33" x14ac:dyDescent="0.25">
      <c r="S35" s="518">
        <v>44765</v>
      </c>
      <c r="T35" s="367">
        <v>17.100000000000001</v>
      </c>
      <c r="U35" s="367">
        <v>19.260000000000002</v>
      </c>
      <c r="V35" s="367">
        <v>16.600000000000001</v>
      </c>
      <c r="W35" s="367">
        <v>18.920000000000002</v>
      </c>
      <c r="X35" s="516">
        <v>18.920000000000002</v>
      </c>
      <c r="Y35" s="515">
        <v>221174</v>
      </c>
      <c r="Z35" s="367">
        <v>43.39</v>
      </c>
      <c r="AA35" s="367">
        <v>47.7</v>
      </c>
      <c r="AB35" s="367">
        <v>43.39</v>
      </c>
      <c r="AC35" s="367">
        <v>47.34</v>
      </c>
      <c r="AD35" s="516">
        <v>47.34</v>
      </c>
      <c r="AE35" s="515">
        <v>181300</v>
      </c>
      <c r="AF35" s="392">
        <f t="shared" si="0"/>
        <v>0.54212034383954166</v>
      </c>
      <c r="AG35" s="392">
        <f t="shared" si="1"/>
        <v>1.007448393275165</v>
      </c>
    </row>
    <row r="36" spans="19:33" x14ac:dyDescent="0.25">
      <c r="S36" s="518">
        <v>44772</v>
      </c>
      <c r="T36" s="367">
        <v>18.920000000000002</v>
      </c>
      <c r="U36" s="367">
        <v>19.260000000000002</v>
      </c>
      <c r="V36" s="367">
        <v>18.3</v>
      </c>
      <c r="W36" s="367">
        <v>18.579999999999998</v>
      </c>
      <c r="X36" s="516">
        <v>18.579999999999998</v>
      </c>
      <c r="Y36" s="515">
        <v>130308</v>
      </c>
      <c r="Z36" s="367">
        <v>47.2</v>
      </c>
      <c r="AA36" s="367">
        <v>49.05</v>
      </c>
      <c r="AB36" s="367">
        <v>45.2</v>
      </c>
      <c r="AC36" s="367">
        <v>45.62</v>
      </c>
      <c r="AD36" s="516">
        <v>45.62</v>
      </c>
      <c r="AE36" s="515">
        <v>199100</v>
      </c>
      <c r="AF36" s="392">
        <f t="shared" si="0"/>
        <v>0.53237822349570196</v>
      </c>
      <c r="AG36" s="392">
        <f t="shared" si="1"/>
        <v>0.97084486060864006</v>
      </c>
    </row>
    <row r="37" spans="19:33" x14ac:dyDescent="0.25">
      <c r="S37" s="518">
        <v>44779</v>
      </c>
      <c r="T37" s="367">
        <v>18.8</v>
      </c>
      <c r="U37" s="367">
        <v>19.02</v>
      </c>
      <c r="V37" s="367">
        <v>16.68</v>
      </c>
      <c r="W37" s="367">
        <v>16.8</v>
      </c>
      <c r="X37" s="516">
        <v>16.8</v>
      </c>
      <c r="Y37" s="515">
        <v>205540</v>
      </c>
      <c r="Z37" s="367">
        <v>45.66</v>
      </c>
      <c r="AA37" s="367">
        <v>49.86</v>
      </c>
      <c r="AB37" s="367">
        <v>45.66</v>
      </c>
      <c r="AC37" s="367">
        <v>49.65</v>
      </c>
      <c r="AD37" s="516">
        <v>49.65</v>
      </c>
      <c r="AE37" s="515">
        <v>189900</v>
      </c>
      <c r="AF37" s="392">
        <f t="shared" si="0"/>
        <v>0.48137535816618915</v>
      </c>
      <c r="AG37" s="392">
        <f t="shared" si="1"/>
        <v>1.0566077888912533</v>
      </c>
    </row>
    <row r="38" spans="19:33" x14ac:dyDescent="0.25">
      <c r="S38" s="518">
        <v>44786</v>
      </c>
      <c r="T38" s="367">
        <v>16.940000000000001</v>
      </c>
      <c r="U38" s="367">
        <v>17.12</v>
      </c>
      <c r="V38" s="367">
        <v>15.16</v>
      </c>
      <c r="W38" s="367">
        <v>15.5</v>
      </c>
      <c r="X38" s="516">
        <v>15.5</v>
      </c>
      <c r="Y38" s="515">
        <v>199224</v>
      </c>
      <c r="Z38" s="367">
        <v>49.3</v>
      </c>
      <c r="AA38" s="367">
        <v>50.42</v>
      </c>
      <c r="AB38" s="367">
        <v>46.46</v>
      </c>
      <c r="AC38" s="367">
        <v>47.19</v>
      </c>
      <c r="AD38" s="516">
        <v>47.19</v>
      </c>
      <c r="AE38" s="515">
        <v>233000</v>
      </c>
      <c r="AF38" s="392">
        <f t="shared" si="0"/>
        <v>0.44412607449856734</v>
      </c>
      <c r="AG38" s="392">
        <f t="shared" si="1"/>
        <v>1.0042562247286655</v>
      </c>
    </row>
    <row r="39" spans="19:33" x14ac:dyDescent="0.25">
      <c r="S39" s="518">
        <v>44793</v>
      </c>
      <c r="T39" s="367">
        <v>15.3</v>
      </c>
      <c r="U39" s="367">
        <v>15.54</v>
      </c>
      <c r="V39" s="367">
        <v>14.2</v>
      </c>
      <c r="W39" s="367">
        <v>14.62</v>
      </c>
      <c r="X39" s="516">
        <v>14.62</v>
      </c>
      <c r="Y39" s="515">
        <v>191797</v>
      </c>
      <c r="Z39" s="367">
        <v>46.54</v>
      </c>
      <c r="AA39" s="367">
        <v>47.49</v>
      </c>
      <c r="AB39" s="367">
        <v>45.44</v>
      </c>
      <c r="AC39" s="367">
        <v>45.61</v>
      </c>
      <c r="AD39" s="516">
        <v>45.61</v>
      </c>
      <c r="AE39" s="515">
        <v>183600</v>
      </c>
      <c r="AF39" s="392">
        <f t="shared" si="0"/>
        <v>0.41891117478510026</v>
      </c>
      <c r="AG39" s="392">
        <f t="shared" si="1"/>
        <v>0.97063204937220682</v>
      </c>
    </row>
    <row r="40" spans="19:33" x14ac:dyDescent="0.25">
      <c r="S40" s="518">
        <v>44800</v>
      </c>
      <c r="T40" s="367">
        <v>14.48</v>
      </c>
      <c r="U40" s="367">
        <v>15.42</v>
      </c>
      <c r="V40" s="367">
        <v>14.14</v>
      </c>
      <c r="W40" s="367">
        <v>14.6</v>
      </c>
      <c r="X40" s="516">
        <v>14.6</v>
      </c>
      <c r="Y40" s="515">
        <v>175776</v>
      </c>
      <c r="Z40" s="367">
        <v>45.13</v>
      </c>
      <c r="AA40" s="367">
        <v>45.67</v>
      </c>
      <c r="AB40" s="367">
        <v>43.05</v>
      </c>
      <c r="AC40" s="367">
        <v>43.33</v>
      </c>
      <c r="AD40" s="516">
        <v>43.33</v>
      </c>
      <c r="AE40" s="515">
        <v>195200</v>
      </c>
      <c r="AF40" s="392">
        <f t="shared" si="0"/>
        <v>0.41833810888252149</v>
      </c>
      <c r="AG40" s="392">
        <f t="shared" si="1"/>
        <v>0.92211108746541814</v>
      </c>
    </row>
    <row r="41" spans="19:33" x14ac:dyDescent="0.25">
      <c r="S41" s="518">
        <v>44807</v>
      </c>
      <c r="T41" s="367">
        <v>14.38</v>
      </c>
      <c r="U41" s="367">
        <v>14.58</v>
      </c>
      <c r="V41" s="367">
        <v>13.54</v>
      </c>
      <c r="W41" s="367">
        <v>14.36</v>
      </c>
      <c r="X41" s="516">
        <v>14.36</v>
      </c>
      <c r="Y41" s="515">
        <v>190749</v>
      </c>
      <c r="Z41" s="367">
        <v>43.5</v>
      </c>
      <c r="AA41" s="367">
        <v>44.85</v>
      </c>
      <c r="AB41" s="367">
        <v>42.22</v>
      </c>
      <c r="AC41" s="367">
        <v>44.6</v>
      </c>
      <c r="AD41" s="516">
        <v>44.6</v>
      </c>
      <c r="AE41" s="515">
        <v>141400</v>
      </c>
      <c r="AF41" s="392">
        <f t="shared" si="0"/>
        <v>0.41146131805157593</v>
      </c>
      <c r="AG41" s="392">
        <f t="shared" si="1"/>
        <v>0.94913811449244523</v>
      </c>
    </row>
    <row r="42" spans="19:33" x14ac:dyDescent="0.25">
      <c r="S42" s="518">
        <v>44814</v>
      </c>
      <c r="T42" s="367">
        <v>14.76</v>
      </c>
      <c r="U42" s="367">
        <v>15.64</v>
      </c>
      <c r="V42" s="367">
        <v>12.08</v>
      </c>
      <c r="W42" s="367">
        <v>12.84</v>
      </c>
      <c r="X42" s="516">
        <v>12.84</v>
      </c>
      <c r="Y42" s="515">
        <v>298221</v>
      </c>
      <c r="Z42" s="367">
        <v>44.86</v>
      </c>
      <c r="AA42" s="367">
        <v>45.7</v>
      </c>
      <c r="AB42" s="367">
        <v>41.63</v>
      </c>
      <c r="AC42" s="367">
        <v>41.96</v>
      </c>
      <c r="AD42" s="516">
        <v>41.96</v>
      </c>
      <c r="AE42" s="515">
        <v>211500</v>
      </c>
      <c r="AF42" s="392">
        <f t="shared" si="0"/>
        <v>0.36790830945558739</v>
      </c>
      <c r="AG42" s="392">
        <f t="shared" si="1"/>
        <v>0.89295594807405831</v>
      </c>
    </row>
    <row r="43" spans="19:33" x14ac:dyDescent="0.25">
      <c r="S43" s="518">
        <v>44821</v>
      </c>
      <c r="T43" s="367">
        <v>12.92</v>
      </c>
      <c r="U43" s="367">
        <v>12.92</v>
      </c>
      <c r="V43" s="367">
        <v>11.02</v>
      </c>
      <c r="W43" s="367">
        <v>11.16</v>
      </c>
      <c r="X43" s="516">
        <v>11.16</v>
      </c>
      <c r="Y43" s="515">
        <v>312643</v>
      </c>
      <c r="Z43" s="367">
        <v>41.91</v>
      </c>
      <c r="AA43" s="367">
        <v>43.07</v>
      </c>
      <c r="AB43" s="367">
        <v>38.89</v>
      </c>
      <c r="AC43" s="367">
        <v>39.869999999999997</v>
      </c>
      <c r="AD43" s="516">
        <v>39.869999999999997</v>
      </c>
      <c r="AE43" s="515">
        <v>148900</v>
      </c>
      <c r="AF43" s="392">
        <f t="shared" si="0"/>
        <v>0.3197707736389685</v>
      </c>
      <c r="AG43" s="392">
        <f t="shared" si="1"/>
        <v>0.84847839965950189</v>
      </c>
    </row>
    <row r="44" spans="19:33" x14ac:dyDescent="0.25">
      <c r="S44" s="518">
        <v>44828</v>
      </c>
      <c r="T44" s="367">
        <v>11.04</v>
      </c>
      <c r="U44" s="367">
        <v>11.46</v>
      </c>
      <c r="V44" s="367">
        <v>10.06</v>
      </c>
      <c r="W44" s="367">
        <v>10.34</v>
      </c>
      <c r="X44" s="516">
        <v>10.34</v>
      </c>
      <c r="Y44" s="515">
        <v>303268</v>
      </c>
      <c r="Z44" s="367">
        <v>39.979999999999997</v>
      </c>
      <c r="AA44" s="367">
        <v>41.17</v>
      </c>
      <c r="AB44" s="367">
        <v>38.97</v>
      </c>
      <c r="AC44" s="367">
        <v>39.659999999999997</v>
      </c>
      <c r="AD44" s="516">
        <v>39.659999999999997</v>
      </c>
      <c r="AE44" s="515">
        <v>201400</v>
      </c>
      <c r="AF44" s="392">
        <f t="shared" si="0"/>
        <v>0.29627507163323785</v>
      </c>
      <c r="AG44" s="392">
        <f t="shared" si="1"/>
        <v>0.84400936369440294</v>
      </c>
    </row>
    <row r="45" spans="19:33" x14ac:dyDescent="0.25">
      <c r="S45" s="518">
        <v>44835</v>
      </c>
      <c r="T45" s="367">
        <v>10.42</v>
      </c>
      <c r="U45" s="367">
        <v>11.12</v>
      </c>
      <c r="V45" s="367">
        <v>9.8699999999999992</v>
      </c>
      <c r="W45" s="367">
        <v>10.62</v>
      </c>
      <c r="X45" s="516">
        <v>10.62</v>
      </c>
      <c r="Y45" s="515">
        <v>186677</v>
      </c>
      <c r="Z45" s="367">
        <v>40.18</v>
      </c>
      <c r="AA45" s="367">
        <v>43.53</v>
      </c>
      <c r="AB45" s="367">
        <v>40.11</v>
      </c>
      <c r="AC45" s="367">
        <v>41.6</v>
      </c>
      <c r="AD45" s="516">
        <v>41.6</v>
      </c>
      <c r="AE45" s="515">
        <v>146500</v>
      </c>
      <c r="AF45" s="392">
        <f t="shared" si="0"/>
        <v>0.30429799426934095</v>
      </c>
      <c r="AG45" s="392">
        <f t="shared" si="1"/>
        <v>0.88529474356246007</v>
      </c>
    </row>
    <row r="46" spans="19:33" x14ac:dyDescent="0.25">
      <c r="S46" s="518">
        <v>44842</v>
      </c>
      <c r="T46" s="367">
        <v>10.72</v>
      </c>
      <c r="U46" s="367">
        <v>11</v>
      </c>
      <c r="V46" s="367">
        <v>9.9600000000000009</v>
      </c>
      <c r="W46" s="367">
        <v>10.6</v>
      </c>
      <c r="X46" s="516">
        <v>10.6</v>
      </c>
      <c r="Y46" s="515">
        <v>477382</v>
      </c>
      <c r="Z46" s="367">
        <v>41.77</v>
      </c>
      <c r="AA46" s="367">
        <v>42.17</v>
      </c>
      <c r="AB46" s="367">
        <v>39.549999999999997</v>
      </c>
      <c r="AC46" s="367">
        <v>41.1</v>
      </c>
      <c r="AD46" s="516">
        <v>41.1</v>
      </c>
      <c r="AE46" s="515">
        <v>155900</v>
      </c>
      <c r="AF46" s="392">
        <f t="shared" si="0"/>
        <v>0.30372492836676218</v>
      </c>
      <c r="AG46" s="392">
        <f t="shared" si="1"/>
        <v>0.8746541817407959</v>
      </c>
    </row>
    <row r="47" spans="19:33" x14ac:dyDescent="0.25">
      <c r="S47" s="518">
        <v>44849</v>
      </c>
      <c r="T47" s="367">
        <v>10.7</v>
      </c>
      <c r="U47" s="367">
        <v>12.12</v>
      </c>
      <c r="V47" s="367">
        <v>10.62</v>
      </c>
      <c r="W47" s="367">
        <v>11.24</v>
      </c>
      <c r="X47" s="516">
        <v>11.24</v>
      </c>
      <c r="Y47" s="515">
        <v>524782</v>
      </c>
      <c r="Z47" s="367">
        <v>42.06</v>
      </c>
      <c r="AA47" s="367">
        <v>45.3</v>
      </c>
      <c r="AB47" s="367">
        <v>41.45</v>
      </c>
      <c r="AC47" s="367">
        <v>45.2</v>
      </c>
      <c r="AD47" s="516">
        <v>45.2</v>
      </c>
      <c r="AE47" s="515">
        <v>166000</v>
      </c>
      <c r="AF47" s="392">
        <f t="shared" si="0"/>
        <v>0.3220630372492837</v>
      </c>
      <c r="AG47" s="392">
        <f t="shared" si="1"/>
        <v>0.96190678867844226</v>
      </c>
    </row>
    <row r="48" spans="19:33" x14ac:dyDescent="0.25">
      <c r="S48" s="518">
        <v>44856</v>
      </c>
      <c r="T48" s="367">
        <v>11.3</v>
      </c>
      <c r="U48" s="367">
        <v>12.02</v>
      </c>
      <c r="V48" s="367">
        <v>11.04</v>
      </c>
      <c r="W48" s="367">
        <v>11.8</v>
      </c>
      <c r="X48" s="516">
        <v>11.8</v>
      </c>
      <c r="Y48" s="515">
        <v>548689</v>
      </c>
      <c r="Z48" s="367">
        <v>45.43</v>
      </c>
      <c r="AA48" s="367">
        <v>48.45</v>
      </c>
      <c r="AB48" s="367">
        <v>45.43</v>
      </c>
      <c r="AC48" s="367">
        <v>47.76</v>
      </c>
      <c r="AD48" s="516">
        <v>47.76</v>
      </c>
      <c r="AE48" s="515">
        <v>173200</v>
      </c>
      <c r="AF48" s="392">
        <f t="shared" si="0"/>
        <v>0.33810888252149002</v>
      </c>
      <c r="AG48" s="392">
        <f t="shared" si="1"/>
        <v>1.0163864652053627</v>
      </c>
    </row>
    <row r="49" spans="19:35" x14ac:dyDescent="0.25">
      <c r="S49" s="518">
        <v>44863</v>
      </c>
      <c r="T49" s="367">
        <v>11.9</v>
      </c>
      <c r="U49" s="367">
        <v>11.96</v>
      </c>
      <c r="V49" s="367">
        <v>10.72</v>
      </c>
      <c r="W49" s="367">
        <v>11.22</v>
      </c>
      <c r="X49" s="516">
        <v>11.22</v>
      </c>
      <c r="Y49" s="515">
        <v>362415</v>
      </c>
      <c r="Z49" s="367">
        <v>47.3</v>
      </c>
      <c r="AA49" s="367">
        <v>48.64</v>
      </c>
      <c r="AB49" s="367">
        <v>45.62</v>
      </c>
      <c r="AC49" s="367">
        <v>46.81</v>
      </c>
      <c r="AD49" s="516">
        <v>46.81</v>
      </c>
      <c r="AE49" s="515">
        <v>205200</v>
      </c>
      <c r="AF49" s="392">
        <f t="shared" si="0"/>
        <v>0.32148997134670493</v>
      </c>
      <c r="AG49" s="392">
        <f t="shared" si="1"/>
        <v>0.99616939774420088</v>
      </c>
    </row>
    <row r="50" spans="19:35" x14ac:dyDescent="0.25">
      <c r="S50" s="518">
        <v>44870</v>
      </c>
      <c r="T50" s="367">
        <v>11.3</v>
      </c>
      <c r="U50" s="367">
        <v>13.12</v>
      </c>
      <c r="V50" s="367">
        <v>11.3</v>
      </c>
      <c r="W50" s="367">
        <v>13</v>
      </c>
      <c r="X50" s="516">
        <v>13</v>
      </c>
      <c r="Y50" s="515">
        <v>756170</v>
      </c>
      <c r="Z50" s="367">
        <v>48.8</v>
      </c>
      <c r="AA50" s="367">
        <v>53.26</v>
      </c>
      <c r="AB50" s="367">
        <v>45.83</v>
      </c>
      <c r="AC50" s="367">
        <v>51.14</v>
      </c>
      <c r="AD50" s="516">
        <v>51.14</v>
      </c>
      <c r="AE50" s="515">
        <v>292800</v>
      </c>
      <c r="AF50" s="392">
        <f t="shared" si="0"/>
        <v>0.3724928366762178</v>
      </c>
      <c r="AG50" s="392">
        <f t="shared" si="1"/>
        <v>1.0883166631198127</v>
      </c>
    </row>
    <row r="51" spans="19:35" x14ac:dyDescent="0.25">
      <c r="S51" s="518">
        <v>44877</v>
      </c>
      <c r="T51" s="367">
        <v>13.18</v>
      </c>
      <c r="U51" s="367">
        <v>13.18</v>
      </c>
      <c r="V51" s="367">
        <v>11.9</v>
      </c>
      <c r="W51" s="367">
        <v>12.36</v>
      </c>
      <c r="X51" s="516">
        <v>12.36</v>
      </c>
      <c r="Y51" s="515">
        <v>472017</v>
      </c>
      <c r="Z51" s="367">
        <v>51.03</v>
      </c>
      <c r="AA51" s="367">
        <v>51.73</v>
      </c>
      <c r="AB51" s="367">
        <v>49.71</v>
      </c>
      <c r="AC51" s="367">
        <v>50.94</v>
      </c>
      <c r="AD51" s="516">
        <v>50.94</v>
      </c>
      <c r="AE51" s="515">
        <v>159700</v>
      </c>
      <c r="AF51" s="392">
        <f t="shared" si="0"/>
        <v>0.35415472779369628</v>
      </c>
      <c r="AG51" s="392">
        <f t="shared" si="1"/>
        <v>1.084060438391147</v>
      </c>
    </row>
    <row r="52" spans="19:35" x14ac:dyDescent="0.25">
      <c r="S52" s="518">
        <v>44884</v>
      </c>
      <c r="T52" s="367">
        <v>12.32</v>
      </c>
      <c r="U52" s="367">
        <v>12.84</v>
      </c>
      <c r="V52" s="367">
        <v>11.9</v>
      </c>
      <c r="W52" s="367">
        <v>12.8</v>
      </c>
      <c r="X52" s="516">
        <v>12.8</v>
      </c>
      <c r="Y52" s="515">
        <v>179840</v>
      </c>
      <c r="Z52" s="367">
        <v>50.93</v>
      </c>
      <c r="AA52" s="367">
        <v>52.6</v>
      </c>
      <c r="AB52" s="367">
        <v>50.93</v>
      </c>
      <c r="AC52" s="367">
        <v>51.12</v>
      </c>
      <c r="AD52" s="516">
        <v>51.12</v>
      </c>
      <c r="AE52" s="515">
        <v>83500</v>
      </c>
      <c r="AF52" s="392">
        <f t="shared" si="0"/>
        <v>0.36676217765042984</v>
      </c>
      <c r="AG52" s="392">
        <f t="shared" si="1"/>
        <v>1.087891040646946</v>
      </c>
    </row>
    <row r="53" spans="19:35" x14ac:dyDescent="0.25">
      <c r="S53" s="518">
        <v>44891</v>
      </c>
      <c r="T53" s="367">
        <v>12.66</v>
      </c>
      <c r="U53" s="367">
        <v>13.96</v>
      </c>
      <c r="V53" s="367">
        <v>12.38</v>
      </c>
      <c r="W53" s="367">
        <v>13.6</v>
      </c>
      <c r="X53" s="516">
        <v>13.6</v>
      </c>
      <c r="Y53" s="515">
        <v>165910</v>
      </c>
      <c r="Z53" s="367">
        <v>50.7</v>
      </c>
      <c r="AA53" s="367">
        <v>52.23</v>
      </c>
      <c r="AB53" s="367">
        <v>48.41</v>
      </c>
      <c r="AC53" s="367">
        <v>51.75</v>
      </c>
      <c r="AD53" s="516">
        <v>51.75</v>
      </c>
      <c r="AE53" s="515">
        <v>146500</v>
      </c>
      <c r="AF53" s="392">
        <f t="shared" si="0"/>
        <v>0.38968481375358166</v>
      </c>
      <c r="AG53" s="392">
        <f t="shared" si="1"/>
        <v>1.1012981485422431</v>
      </c>
    </row>
    <row r="54" spans="19:35" x14ac:dyDescent="0.25">
      <c r="S54" s="518">
        <v>44898</v>
      </c>
      <c r="T54" s="367">
        <v>13.74</v>
      </c>
      <c r="U54" s="367">
        <v>14.68</v>
      </c>
      <c r="V54" s="367">
        <v>13.2</v>
      </c>
      <c r="W54" s="367">
        <v>14.36</v>
      </c>
      <c r="X54" s="516">
        <v>14.36</v>
      </c>
      <c r="Y54" s="515">
        <v>170675</v>
      </c>
      <c r="Z54" s="367">
        <v>51.14</v>
      </c>
      <c r="AA54" s="367">
        <v>51.14</v>
      </c>
      <c r="AB54" s="367">
        <v>46.37</v>
      </c>
      <c r="AC54" s="367">
        <v>48.68</v>
      </c>
      <c r="AD54" s="516">
        <v>48.68</v>
      </c>
      <c r="AE54" s="515">
        <v>348600</v>
      </c>
      <c r="AF54" s="392">
        <f t="shared" si="0"/>
        <v>0.41146131805157593</v>
      </c>
      <c r="AG54" s="392">
        <f t="shared" si="1"/>
        <v>1.0359650989572249</v>
      </c>
    </row>
    <row r="55" spans="19:35" x14ac:dyDescent="0.25">
      <c r="S55" s="518">
        <v>44905</v>
      </c>
      <c r="T55" s="367">
        <v>14.5</v>
      </c>
      <c r="U55" s="367">
        <v>15.82</v>
      </c>
      <c r="V55" s="367">
        <v>14.34</v>
      </c>
      <c r="W55" s="367">
        <v>14.58</v>
      </c>
      <c r="X55" s="516">
        <v>14.58</v>
      </c>
      <c r="Y55" s="515">
        <v>231516</v>
      </c>
      <c r="Z55" s="367">
        <v>48.69</v>
      </c>
      <c r="AA55" s="367">
        <v>51.5</v>
      </c>
      <c r="AB55" s="367">
        <v>47.2</v>
      </c>
      <c r="AC55" s="367">
        <v>48.75</v>
      </c>
      <c r="AD55" s="516">
        <v>48.75</v>
      </c>
      <c r="AE55" s="515">
        <v>292500</v>
      </c>
      <c r="AF55" s="392">
        <f t="shared" si="0"/>
        <v>0.41776504297994271</v>
      </c>
      <c r="AG55" s="392">
        <f t="shared" si="1"/>
        <v>1.0374547776122578</v>
      </c>
    </row>
    <row r="56" spans="19:35" x14ac:dyDescent="0.25">
      <c r="S56" s="518">
        <v>44912</v>
      </c>
      <c r="T56" s="367">
        <v>14.44</v>
      </c>
      <c r="U56" s="367">
        <v>15.3</v>
      </c>
      <c r="V56" s="367">
        <v>14.2</v>
      </c>
      <c r="W56" s="367">
        <v>14.7</v>
      </c>
      <c r="X56" s="516">
        <v>14.7</v>
      </c>
      <c r="Y56" s="515">
        <v>89269</v>
      </c>
      <c r="Z56" s="367">
        <v>48.3</v>
      </c>
      <c r="AA56" s="367">
        <v>49.8</v>
      </c>
      <c r="AB56" s="367">
        <v>47.09</v>
      </c>
      <c r="AC56" s="367">
        <v>48.62</v>
      </c>
      <c r="AD56" s="516">
        <v>48.62</v>
      </c>
      <c r="AE56" s="515">
        <v>140700</v>
      </c>
      <c r="AF56" s="392">
        <f t="shared" si="0"/>
        <v>0.42120343839541546</v>
      </c>
      <c r="AG56" s="392">
        <f t="shared" si="1"/>
        <v>1.0346882315386252</v>
      </c>
    </row>
    <row r="57" spans="19:35" x14ac:dyDescent="0.25">
      <c r="S57" s="518">
        <v>44919</v>
      </c>
      <c r="T57" s="367">
        <v>14.7</v>
      </c>
      <c r="U57" s="367">
        <v>15.8</v>
      </c>
      <c r="V57" s="367">
        <v>14.26</v>
      </c>
      <c r="W57" s="367">
        <v>14.34</v>
      </c>
      <c r="X57" s="516">
        <v>14.34</v>
      </c>
      <c r="Y57" s="515">
        <v>58840</v>
      </c>
      <c r="Z57" s="367">
        <v>48.74</v>
      </c>
      <c r="AA57" s="367">
        <v>50.48</v>
      </c>
      <c r="AB57" s="367">
        <v>48.63</v>
      </c>
      <c r="AC57" s="367">
        <v>49.96</v>
      </c>
      <c r="AD57" s="516">
        <v>49.96</v>
      </c>
      <c r="AE57" s="515">
        <v>88800</v>
      </c>
      <c r="AF57" s="392">
        <f t="shared" si="0"/>
        <v>0.41088825214899716</v>
      </c>
      <c r="AG57" s="392">
        <f t="shared" si="1"/>
        <v>1.0632049372206853</v>
      </c>
    </row>
    <row r="58" spans="19:35" x14ac:dyDescent="0.25">
      <c r="S58" s="518">
        <v>44926</v>
      </c>
      <c r="T58" s="367">
        <v>14.34</v>
      </c>
      <c r="U58" s="367">
        <v>16.38</v>
      </c>
      <c r="V58" s="367">
        <v>14.34</v>
      </c>
      <c r="W58" s="367">
        <v>16.260000000000002</v>
      </c>
      <c r="X58" s="516">
        <v>16.260000000000002</v>
      </c>
      <c r="Y58" s="515">
        <v>103167</v>
      </c>
      <c r="Z58" s="367">
        <v>50.02</v>
      </c>
      <c r="AA58" s="367">
        <v>52.6</v>
      </c>
      <c r="AB58" s="367">
        <v>48.68</v>
      </c>
      <c r="AC58" s="367">
        <v>52.27</v>
      </c>
      <c r="AD58" s="516">
        <v>52.27</v>
      </c>
      <c r="AE58" s="515">
        <v>164100</v>
      </c>
      <c r="AF58" s="392">
        <f t="shared" si="0"/>
        <v>0.46590257879656166</v>
      </c>
      <c r="AG58" s="392">
        <f t="shared" si="1"/>
        <v>1.1123643328367738</v>
      </c>
    </row>
    <row r="59" spans="19:35" x14ac:dyDescent="0.25">
      <c r="S59" s="518">
        <v>44933</v>
      </c>
      <c r="T59" s="367">
        <v>16.52</v>
      </c>
      <c r="U59" s="367">
        <v>17.420000000000002</v>
      </c>
      <c r="V59" s="367">
        <v>15.8</v>
      </c>
      <c r="W59" s="367">
        <v>17.14</v>
      </c>
      <c r="X59" s="516">
        <v>17.14</v>
      </c>
      <c r="Y59" s="515">
        <v>318404</v>
      </c>
      <c r="Z59" s="367">
        <v>53.07</v>
      </c>
      <c r="AA59" s="367">
        <v>57.46</v>
      </c>
      <c r="AB59" s="367">
        <v>51.97</v>
      </c>
      <c r="AC59" s="367">
        <v>57.4</v>
      </c>
      <c r="AD59" s="516">
        <v>57.4</v>
      </c>
      <c r="AE59" s="515">
        <v>225200</v>
      </c>
      <c r="AF59" s="392">
        <f t="shared" si="0"/>
        <v>0.49111747851002868</v>
      </c>
      <c r="AG59" s="392">
        <f t="shared" si="1"/>
        <v>1.2215364971270481</v>
      </c>
      <c r="AH59" s="392">
        <f>X59/$X$59</f>
        <v>1</v>
      </c>
      <c r="AI59" s="392">
        <f>AD59/$AD$59</f>
        <v>1</v>
      </c>
    </row>
    <row r="60" spans="19:35" x14ac:dyDescent="0.25">
      <c r="S60" s="518">
        <v>44940</v>
      </c>
      <c r="T60" s="367">
        <v>17.14</v>
      </c>
      <c r="U60" s="367">
        <v>18.16</v>
      </c>
      <c r="V60" s="367">
        <v>16.52</v>
      </c>
      <c r="W60" s="367">
        <v>17.3</v>
      </c>
      <c r="X60" s="516">
        <v>17.3</v>
      </c>
      <c r="Y60" s="515">
        <v>282279</v>
      </c>
      <c r="Z60" s="367">
        <v>57.82</v>
      </c>
      <c r="AA60" s="367">
        <v>57.82</v>
      </c>
      <c r="AB60" s="367">
        <v>53.5</v>
      </c>
      <c r="AC60" s="367">
        <v>54.12</v>
      </c>
      <c r="AD60" s="516">
        <v>54.12</v>
      </c>
      <c r="AE60" s="515">
        <v>230300</v>
      </c>
      <c r="AF60" s="392">
        <f t="shared" si="0"/>
        <v>0.49570200573065909</v>
      </c>
      <c r="AG60" s="392">
        <f t="shared" si="1"/>
        <v>1.1517344115769312</v>
      </c>
      <c r="AH60" s="392">
        <f t="shared" ref="AH60:AH123" si="2">X60/$X$59</f>
        <v>1.0093348891481915</v>
      </c>
      <c r="AI60" s="392">
        <f t="shared" ref="AI60:AI123" si="3">AD60/$AD$59</f>
        <v>0.94285714285714284</v>
      </c>
    </row>
    <row r="61" spans="19:35" x14ac:dyDescent="0.25">
      <c r="S61" s="518">
        <v>44947</v>
      </c>
      <c r="T61" s="367">
        <v>17.38</v>
      </c>
      <c r="U61" s="367">
        <v>18.34</v>
      </c>
      <c r="V61" s="367">
        <v>17.04</v>
      </c>
      <c r="W61" s="367">
        <v>17.84</v>
      </c>
      <c r="X61" s="516">
        <v>17.84</v>
      </c>
      <c r="Y61" s="515">
        <v>240520</v>
      </c>
      <c r="Z61" s="367">
        <v>54.35</v>
      </c>
      <c r="AA61" s="367">
        <v>56.81</v>
      </c>
      <c r="AB61" s="367">
        <v>53.51</v>
      </c>
      <c r="AC61" s="367">
        <v>56.19</v>
      </c>
      <c r="AD61" s="516">
        <v>56.19</v>
      </c>
      <c r="AE61" s="515">
        <v>218800</v>
      </c>
      <c r="AF61" s="392">
        <f t="shared" si="0"/>
        <v>0.51117478510028658</v>
      </c>
      <c r="AG61" s="392">
        <f t="shared" si="1"/>
        <v>1.1957863375186208</v>
      </c>
      <c r="AH61" s="392">
        <f t="shared" si="2"/>
        <v>1.0408401400233371</v>
      </c>
      <c r="AI61" s="392">
        <f t="shared" si="3"/>
        <v>0.97891986062717773</v>
      </c>
    </row>
    <row r="62" spans="19:35" x14ac:dyDescent="0.25">
      <c r="S62" s="518">
        <v>44954</v>
      </c>
      <c r="T62" s="367">
        <v>17.32</v>
      </c>
      <c r="U62" s="367">
        <v>17.54</v>
      </c>
      <c r="V62" s="367">
        <v>15.84</v>
      </c>
      <c r="W62" s="367">
        <v>16.84</v>
      </c>
      <c r="X62" s="516">
        <v>16.84</v>
      </c>
      <c r="Y62" s="515">
        <v>219882</v>
      </c>
      <c r="Z62" s="367">
        <v>56.24</v>
      </c>
      <c r="AA62" s="367">
        <v>57.9</v>
      </c>
      <c r="AB62" s="367">
        <v>55.38</v>
      </c>
      <c r="AC62" s="367">
        <v>56.34</v>
      </c>
      <c r="AD62" s="516">
        <v>56.34</v>
      </c>
      <c r="AE62" s="515">
        <v>225000</v>
      </c>
      <c r="AF62" s="392">
        <f t="shared" si="0"/>
        <v>0.4825214899713467</v>
      </c>
      <c r="AG62" s="392">
        <f t="shared" si="1"/>
        <v>1.1989785060651204</v>
      </c>
      <c r="AH62" s="392">
        <f t="shared" si="2"/>
        <v>0.9824970828471411</v>
      </c>
      <c r="AI62" s="392">
        <f t="shared" si="3"/>
        <v>0.98153310104529623</v>
      </c>
    </row>
    <row r="63" spans="19:35" x14ac:dyDescent="0.25">
      <c r="S63" s="518">
        <v>44961</v>
      </c>
      <c r="T63" s="367">
        <v>16.78</v>
      </c>
      <c r="U63" s="367">
        <v>16.78</v>
      </c>
      <c r="V63" s="367">
        <v>15.4</v>
      </c>
      <c r="W63" s="367">
        <v>15.56</v>
      </c>
      <c r="X63" s="516">
        <v>15.56</v>
      </c>
      <c r="Y63" s="515">
        <v>162939</v>
      </c>
      <c r="Z63" s="367">
        <v>56.23</v>
      </c>
      <c r="AA63" s="367">
        <v>57.27</v>
      </c>
      <c r="AB63" s="367">
        <v>55.28</v>
      </c>
      <c r="AC63" s="367">
        <v>56.14</v>
      </c>
      <c r="AD63" s="516">
        <v>56.14</v>
      </c>
      <c r="AE63" s="515">
        <v>213300</v>
      </c>
      <c r="AF63" s="392">
        <f t="shared" si="0"/>
        <v>0.44584527220630377</v>
      </c>
      <c r="AG63" s="392">
        <f t="shared" si="1"/>
        <v>1.1947222813364544</v>
      </c>
      <c r="AH63" s="392">
        <f t="shared" si="2"/>
        <v>0.90781796966161021</v>
      </c>
      <c r="AI63" s="392">
        <f t="shared" si="3"/>
        <v>0.97804878048780486</v>
      </c>
    </row>
    <row r="64" spans="19:35" x14ac:dyDescent="0.25">
      <c r="S64" s="518">
        <v>44968</v>
      </c>
      <c r="T64" s="367">
        <v>15.48</v>
      </c>
      <c r="U64" s="367">
        <v>17.34</v>
      </c>
      <c r="V64" s="367">
        <v>15.42</v>
      </c>
      <c r="W64" s="367">
        <v>16.260000000000002</v>
      </c>
      <c r="X64" s="516">
        <v>16.260000000000002</v>
      </c>
      <c r="Y64" s="515">
        <v>123504</v>
      </c>
      <c r="Z64" s="367">
        <v>56.48</v>
      </c>
      <c r="AA64" s="367">
        <v>58.28</v>
      </c>
      <c r="AB64" s="367">
        <v>53.25</v>
      </c>
      <c r="AC64" s="367">
        <v>53.6</v>
      </c>
      <c r="AD64" s="516">
        <v>53.6</v>
      </c>
      <c r="AE64" s="515">
        <v>346700</v>
      </c>
      <c r="AF64" s="392">
        <f t="shared" si="0"/>
        <v>0.46590257879656166</v>
      </c>
      <c r="AG64" s="392">
        <f t="shared" si="1"/>
        <v>1.1406682272824005</v>
      </c>
      <c r="AH64" s="392">
        <f t="shared" si="2"/>
        <v>0.94865810968494757</v>
      </c>
      <c r="AI64" s="392">
        <f t="shared" si="3"/>
        <v>0.93379790940766561</v>
      </c>
    </row>
    <row r="65" spans="19:35" x14ac:dyDescent="0.25">
      <c r="S65" s="518">
        <v>44975</v>
      </c>
      <c r="T65" s="367">
        <v>16.2</v>
      </c>
      <c r="U65" s="367">
        <v>17.399999999999999</v>
      </c>
      <c r="V65" s="367">
        <v>16.12</v>
      </c>
      <c r="W65" s="367">
        <v>17</v>
      </c>
      <c r="X65" s="516">
        <v>17</v>
      </c>
      <c r="Y65" s="515">
        <v>190839</v>
      </c>
      <c r="Z65" s="367">
        <v>53.41</v>
      </c>
      <c r="AA65" s="367">
        <v>55.67</v>
      </c>
      <c r="AB65" s="367">
        <v>52.75</v>
      </c>
      <c r="AC65" s="367">
        <v>55.49</v>
      </c>
      <c r="AD65" s="516">
        <v>55.49</v>
      </c>
      <c r="AE65" s="515">
        <v>199200</v>
      </c>
      <c r="AF65" s="392">
        <f t="shared" si="0"/>
        <v>0.4871060171919771</v>
      </c>
      <c r="AG65" s="392">
        <f t="shared" si="1"/>
        <v>1.1808895509682911</v>
      </c>
      <c r="AH65" s="392">
        <f t="shared" si="2"/>
        <v>0.99183197199533257</v>
      </c>
      <c r="AI65" s="392">
        <f t="shared" si="3"/>
        <v>0.96672473867595821</v>
      </c>
    </row>
    <row r="66" spans="19:35" x14ac:dyDescent="0.25">
      <c r="S66" s="518">
        <v>44982</v>
      </c>
      <c r="T66" s="367">
        <v>17.04</v>
      </c>
      <c r="U66" s="367">
        <v>17.920000000000002</v>
      </c>
      <c r="V66" s="367">
        <v>16.940000000000001</v>
      </c>
      <c r="W66" s="367">
        <v>17.38</v>
      </c>
      <c r="X66" s="516">
        <v>17.38</v>
      </c>
      <c r="Y66" s="515">
        <v>106931</v>
      </c>
      <c r="Z66" s="367">
        <v>55.71</v>
      </c>
      <c r="AA66" s="367">
        <v>56.5</v>
      </c>
      <c r="AB66" s="367">
        <v>53.58</v>
      </c>
      <c r="AC66" s="367">
        <v>55.83</v>
      </c>
      <c r="AD66" s="516">
        <v>55.83</v>
      </c>
      <c r="AE66" s="515">
        <v>245800</v>
      </c>
      <c r="AF66" s="392">
        <f t="shared" si="0"/>
        <v>0.49799426934097418</v>
      </c>
      <c r="AG66" s="392">
        <f t="shared" si="1"/>
        <v>1.1881251330070226</v>
      </c>
      <c r="AH66" s="392">
        <f t="shared" si="2"/>
        <v>1.014002333722287</v>
      </c>
      <c r="AI66" s="392">
        <f t="shared" si="3"/>
        <v>0.97264808362369337</v>
      </c>
    </row>
    <row r="67" spans="19:35" x14ac:dyDescent="0.25">
      <c r="S67" s="518">
        <v>44989</v>
      </c>
      <c r="T67" s="367">
        <v>17.34</v>
      </c>
      <c r="U67" s="367">
        <v>17.739999999999998</v>
      </c>
      <c r="V67" s="367">
        <v>16.239999999999998</v>
      </c>
      <c r="W67" s="367">
        <v>16.600000000000001</v>
      </c>
      <c r="X67" s="516">
        <v>16.600000000000001</v>
      </c>
      <c r="Y67" s="515">
        <v>160162</v>
      </c>
      <c r="Z67" s="367">
        <v>55.83</v>
      </c>
      <c r="AA67" s="367">
        <v>56.37</v>
      </c>
      <c r="AB67" s="367">
        <v>52.4</v>
      </c>
      <c r="AC67" s="367">
        <v>53.32</v>
      </c>
      <c r="AD67" s="516">
        <v>53.32</v>
      </c>
      <c r="AE67" s="515">
        <v>285200</v>
      </c>
      <c r="AF67" s="392">
        <f t="shared" si="0"/>
        <v>0.47564469914040119</v>
      </c>
      <c r="AG67" s="392">
        <f t="shared" si="1"/>
        <v>1.1347095126622686</v>
      </c>
      <c r="AH67" s="392">
        <f t="shared" si="2"/>
        <v>0.96849474912485423</v>
      </c>
      <c r="AI67" s="392">
        <f t="shared" si="3"/>
        <v>0.92891986062717768</v>
      </c>
    </row>
    <row r="68" spans="19:35" x14ac:dyDescent="0.25">
      <c r="S68" s="518">
        <v>44996</v>
      </c>
      <c r="T68" s="367">
        <v>16.7</v>
      </c>
      <c r="U68" s="367">
        <v>16.739999999999998</v>
      </c>
      <c r="V68" s="367">
        <v>13.92</v>
      </c>
      <c r="W68" s="367">
        <v>14.46</v>
      </c>
      <c r="X68" s="516">
        <v>14.46</v>
      </c>
      <c r="Y68" s="515">
        <v>316415</v>
      </c>
      <c r="Z68" s="367">
        <v>52.39</v>
      </c>
      <c r="AA68" s="367">
        <v>54.21</v>
      </c>
      <c r="AB68" s="367">
        <v>49.93</v>
      </c>
      <c r="AC68" s="367">
        <v>50.15</v>
      </c>
      <c r="AD68" s="516">
        <v>50.15</v>
      </c>
      <c r="AE68" s="515">
        <v>413300</v>
      </c>
      <c r="AF68" s="392">
        <f t="shared" si="0"/>
        <v>0.41432664756446996</v>
      </c>
      <c r="AG68" s="392">
        <f t="shared" si="1"/>
        <v>1.0672483507129176</v>
      </c>
      <c r="AH68" s="392">
        <f t="shared" si="2"/>
        <v>0.84364060676779462</v>
      </c>
      <c r="AI68" s="392">
        <f t="shared" si="3"/>
        <v>0.87369337979094075</v>
      </c>
    </row>
    <row r="69" spans="19:35" x14ac:dyDescent="0.25">
      <c r="S69" s="518">
        <v>45003</v>
      </c>
      <c r="T69" s="367">
        <v>14.28</v>
      </c>
      <c r="U69" s="367">
        <v>14.76</v>
      </c>
      <c r="V69" s="367">
        <v>13.26</v>
      </c>
      <c r="W69" s="367">
        <v>13.74</v>
      </c>
      <c r="X69" s="516">
        <v>13.74</v>
      </c>
      <c r="Y69" s="515">
        <v>263543</v>
      </c>
      <c r="Z69" s="367">
        <v>50.49</v>
      </c>
      <c r="AA69" s="367">
        <v>53.91</v>
      </c>
      <c r="AB69" s="367">
        <v>50.27</v>
      </c>
      <c r="AC69" s="367">
        <v>52.64</v>
      </c>
      <c r="AD69" s="516">
        <v>52.64</v>
      </c>
      <c r="AE69" s="515">
        <v>268600</v>
      </c>
      <c r="AF69" s="392">
        <f t="shared" si="0"/>
        <v>0.39369627507163324</v>
      </c>
      <c r="AG69" s="392">
        <f t="shared" si="1"/>
        <v>1.1202383485848053</v>
      </c>
      <c r="AH69" s="392">
        <f t="shared" si="2"/>
        <v>0.80163360560093344</v>
      </c>
      <c r="AI69" s="392">
        <f t="shared" si="3"/>
        <v>0.91707317073170735</v>
      </c>
    </row>
    <row r="70" spans="19:35" x14ac:dyDescent="0.25">
      <c r="S70" s="518">
        <v>45010</v>
      </c>
      <c r="T70" s="367">
        <v>13.74</v>
      </c>
      <c r="U70" s="367">
        <v>14.94</v>
      </c>
      <c r="V70" s="367">
        <v>13.38</v>
      </c>
      <c r="W70" s="367">
        <v>14.94</v>
      </c>
      <c r="X70" s="516">
        <v>14.94</v>
      </c>
      <c r="Y70" s="515">
        <v>465449</v>
      </c>
      <c r="Z70" s="367">
        <v>53.13</v>
      </c>
      <c r="AA70" s="367">
        <v>54.88</v>
      </c>
      <c r="AB70" s="367">
        <v>52.77</v>
      </c>
      <c r="AC70" s="367">
        <v>54.71</v>
      </c>
      <c r="AD70" s="516">
        <v>54.71</v>
      </c>
      <c r="AE70" s="515">
        <v>232000</v>
      </c>
      <c r="AF70" s="392">
        <f t="shared" si="0"/>
        <v>0.42808022922636102</v>
      </c>
      <c r="AG70" s="392">
        <f t="shared" si="1"/>
        <v>1.1642902745264949</v>
      </c>
      <c r="AH70" s="392">
        <f t="shared" si="2"/>
        <v>0.8716452742123687</v>
      </c>
      <c r="AI70" s="392">
        <f t="shared" si="3"/>
        <v>0.95313588850174225</v>
      </c>
    </row>
    <row r="71" spans="19:35" x14ac:dyDescent="0.25">
      <c r="S71" s="518">
        <v>45017</v>
      </c>
      <c r="T71" s="367">
        <v>15.06</v>
      </c>
      <c r="U71" s="367">
        <v>16.68</v>
      </c>
      <c r="V71" s="367">
        <v>14.68</v>
      </c>
      <c r="W71" s="367">
        <v>16.46</v>
      </c>
      <c r="X71" s="516">
        <v>16.46</v>
      </c>
      <c r="Y71" s="515">
        <v>229236</v>
      </c>
      <c r="Z71" s="367">
        <v>54.7</v>
      </c>
      <c r="AA71" s="367">
        <v>55.05</v>
      </c>
      <c r="AB71" s="367">
        <v>52.06</v>
      </c>
      <c r="AC71" s="367">
        <v>52.2</v>
      </c>
      <c r="AD71" s="516">
        <v>52.2</v>
      </c>
      <c r="AE71" s="515">
        <v>156200</v>
      </c>
      <c r="AF71" s="392">
        <f t="shared" ref="AF71:AF134" si="4">X71/$X$6</f>
        <v>0.47163323782234962</v>
      </c>
      <c r="AG71" s="392">
        <f t="shared" ref="AG71:AG134" si="5">AD71/$AD$6</f>
        <v>1.1108746541817409</v>
      </c>
      <c r="AH71" s="392">
        <f t="shared" si="2"/>
        <v>0.96032672112018669</v>
      </c>
      <c r="AI71" s="392">
        <f t="shared" si="3"/>
        <v>0.90940766550522656</v>
      </c>
    </row>
    <row r="72" spans="19:35" x14ac:dyDescent="0.25">
      <c r="S72" s="518">
        <v>45024</v>
      </c>
      <c r="T72" s="367">
        <v>16.46</v>
      </c>
      <c r="U72" s="367">
        <v>17.78</v>
      </c>
      <c r="V72" s="367">
        <v>16.46</v>
      </c>
      <c r="W72" s="367">
        <v>16.739999999999998</v>
      </c>
      <c r="X72" s="516">
        <v>16.739999999999998</v>
      </c>
      <c r="Y72" s="515">
        <v>238684</v>
      </c>
      <c r="Z72" s="367">
        <v>52.08</v>
      </c>
      <c r="AA72" s="367">
        <v>53.96</v>
      </c>
      <c r="AB72" s="367">
        <v>51.75</v>
      </c>
      <c r="AC72" s="367">
        <v>52.05</v>
      </c>
      <c r="AD72" s="516">
        <v>52.05</v>
      </c>
      <c r="AE72" s="515">
        <v>189300</v>
      </c>
      <c r="AF72" s="392">
        <f t="shared" si="4"/>
        <v>0.47965616045845272</v>
      </c>
      <c r="AG72" s="392">
        <f t="shared" si="5"/>
        <v>1.1076824856352414</v>
      </c>
      <c r="AH72" s="392">
        <f t="shared" si="2"/>
        <v>0.97666277712952143</v>
      </c>
      <c r="AI72" s="392">
        <f t="shared" si="3"/>
        <v>0.90679442508710795</v>
      </c>
    </row>
    <row r="73" spans="19:35" x14ac:dyDescent="0.25">
      <c r="S73" s="518">
        <v>45031</v>
      </c>
      <c r="T73" s="367">
        <v>16.86</v>
      </c>
      <c r="U73" s="367">
        <v>17.84</v>
      </c>
      <c r="V73" s="367">
        <v>16.64</v>
      </c>
      <c r="W73" s="367">
        <v>17.22</v>
      </c>
      <c r="X73" s="516">
        <v>17.22</v>
      </c>
      <c r="Y73" s="515">
        <v>249272</v>
      </c>
      <c r="Z73" s="367">
        <v>52.06</v>
      </c>
      <c r="AA73" s="367">
        <v>53.19</v>
      </c>
      <c r="AB73" s="367">
        <v>50.7</v>
      </c>
      <c r="AC73" s="367">
        <v>51.83</v>
      </c>
      <c r="AD73" s="516">
        <v>51.83</v>
      </c>
      <c r="AE73" s="515">
        <v>270200</v>
      </c>
      <c r="AF73" s="392">
        <f t="shared" si="4"/>
        <v>0.49340974212034383</v>
      </c>
      <c r="AG73" s="392">
        <f t="shared" si="5"/>
        <v>1.1030006384337092</v>
      </c>
      <c r="AH73" s="392">
        <f t="shared" si="2"/>
        <v>1.0046674445740955</v>
      </c>
      <c r="AI73" s="392">
        <f t="shared" si="3"/>
        <v>0.9029616724738676</v>
      </c>
    </row>
    <row r="74" spans="19:35" x14ac:dyDescent="0.25">
      <c r="S74" s="518">
        <v>45038</v>
      </c>
      <c r="T74" s="367">
        <v>17.2</v>
      </c>
      <c r="U74" s="367">
        <v>17.22</v>
      </c>
      <c r="V74" s="367">
        <v>15.94</v>
      </c>
      <c r="W74" s="367">
        <v>16.16</v>
      </c>
      <c r="X74" s="516">
        <v>16.16</v>
      </c>
      <c r="Y74" s="515">
        <v>93419</v>
      </c>
      <c r="Z74" s="367">
        <v>51.77</v>
      </c>
      <c r="AA74" s="367">
        <v>52.18</v>
      </c>
      <c r="AB74" s="367">
        <v>49.69</v>
      </c>
      <c r="AC74" s="367">
        <v>50</v>
      </c>
      <c r="AD74" s="516">
        <v>50</v>
      </c>
      <c r="AE74" s="515">
        <v>184100</v>
      </c>
      <c r="AF74" s="392">
        <f t="shared" si="4"/>
        <v>0.46303724928366763</v>
      </c>
      <c r="AG74" s="392">
        <f t="shared" si="5"/>
        <v>1.0640561821664183</v>
      </c>
      <c r="AH74" s="392">
        <f t="shared" si="2"/>
        <v>0.9428238039673279</v>
      </c>
      <c r="AI74" s="392">
        <f t="shared" si="3"/>
        <v>0.87108013937282236</v>
      </c>
    </row>
    <row r="75" spans="19:35" x14ac:dyDescent="0.25">
      <c r="S75" s="518">
        <v>45045</v>
      </c>
      <c r="T75" s="367">
        <v>16.16</v>
      </c>
      <c r="U75" s="367">
        <v>16.940000000000001</v>
      </c>
      <c r="V75" s="367">
        <v>15.4</v>
      </c>
      <c r="W75" s="367">
        <v>15.78</v>
      </c>
      <c r="X75" s="516">
        <v>15.78</v>
      </c>
      <c r="Y75" s="515">
        <v>99442</v>
      </c>
      <c r="Z75" s="367">
        <v>50.09</v>
      </c>
      <c r="AA75" s="367">
        <v>53.43</v>
      </c>
      <c r="AB75" s="367">
        <v>44.5</v>
      </c>
      <c r="AC75" s="367">
        <v>48.76</v>
      </c>
      <c r="AD75" s="516">
        <v>48.76</v>
      </c>
      <c r="AE75" s="515">
        <v>354600</v>
      </c>
      <c r="AF75" s="392">
        <f t="shared" si="4"/>
        <v>0.45214899713467049</v>
      </c>
      <c r="AG75" s="392">
        <f t="shared" si="5"/>
        <v>1.037667588848691</v>
      </c>
      <c r="AH75" s="392">
        <f t="shared" si="2"/>
        <v>0.92065344224037338</v>
      </c>
      <c r="AI75" s="392">
        <f t="shared" si="3"/>
        <v>0.8494773519163763</v>
      </c>
    </row>
    <row r="76" spans="19:35" x14ac:dyDescent="0.25">
      <c r="S76" s="518">
        <v>45052</v>
      </c>
      <c r="T76" s="367">
        <v>15.66</v>
      </c>
      <c r="U76" s="367">
        <v>16.18</v>
      </c>
      <c r="V76" s="367">
        <v>14.72</v>
      </c>
      <c r="W76" s="367">
        <v>15.86</v>
      </c>
      <c r="X76" s="516">
        <v>15.86</v>
      </c>
      <c r="Y76" s="515">
        <v>165812</v>
      </c>
      <c r="Z76" s="367">
        <v>48.81</v>
      </c>
      <c r="AA76" s="367">
        <v>50</v>
      </c>
      <c r="AB76" s="367">
        <v>47.66</v>
      </c>
      <c r="AC76" s="367">
        <v>47.85</v>
      </c>
      <c r="AD76" s="516">
        <v>47.85</v>
      </c>
      <c r="AE76" s="515">
        <v>215600</v>
      </c>
      <c r="AF76" s="392">
        <f t="shared" si="4"/>
        <v>0.4544412607449857</v>
      </c>
      <c r="AG76" s="392">
        <f t="shared" si="5"/>
        <v>1.0183017663332623</v>
      </c>
      <c r="AH76" s="392">
        <f t="shared" si="2"/>
        <v>0.925320886814469</v>
      </c>
      <c r="AI76" s="392">
        <f t="shared" si="3"/>
        <v>0.83362369337979103</v>
      </c>
    </row>
    <row r="77" spans="19:35" x14ac:dyDescent="0.25">
      <c r="S77" s="518">
        <v>45059</v>
      </c>
      <c r="T77" s="367">
        <v>15.94</v>
      </c>
      <c r="U77" s="367">
        <v>16</v>
      </c>
      <c r="V77" s="367">
        <v>15.38</v>
      </c>
      <c r="W77" s="367">
        <v>15.52</v>
      </c>
      <c r="X77" s="516">
        <v>15.52</v>
      </c>
      <c r="Y77" s="515">
        <v>96837</v>
      </c>
      <c r="Z77" s="367">
        <v>48.29</v>
      </c>
      <c r="AA77" s="367">
        <v>48.82</v>
      </c>
      <c r="AB77" s="367">
        <v>40.35</v>
      </c>
      <c r="AC77" s="367">
        <v>41.75</v>
      </c>
      <c r="AD77" s="516">
        <v>41.75</v>
      </c>
      <c r="AE77" s="515">
        <v>1775300</v>
      </c>
      <c r="AF77" s="392">
        <f t="shared" si="4"/>
        <v>0.44469914040114616</v>
      </c>
      <c r="AG77" s="392">
        <f t="shared" si="5"/>
        <v>0.88848691210895936</v>
      </c>
      <c r="AH77" s="392">
        <f t="shared" si="2"/>
        <v>0.90548424737456235</v>
      </c>
      <c r="AI77" s="392">
        <f t="shared" si="3"/>
        <v>0.72735191637630658</v>
      </c>
    </row>
    <row r="78" spans="19:35" x14ac:dyDescent="0.25">
      <c r="S78" s="518">
        <v>45066</v>
      </c>
      <c r="T78" s="367">
        <v>15.64</v>
      </c>
      <c r="U78" s="367">
        <v>15.64</v>
      </c>
      <c r="V78" s="367">
        <v>14.44</v>
      </c>
      <c r="W78" s="367">
        <v>14.88</v>
      </c>
      <c r="X78" s="516">
        <v>14.88</v>
      </c>
      <c r="Y78" s="515">
        <v>133414</v>
      </c>
      <c r="Z78" s="367">
        <v>41.88</v>
      </c>
      <c r="AA78" s="367">
        <v>43</v>
      </c>
      <c r="AB78" s="367">
        <v>40.58</v>
      </c>
      <c r="AC78" s="367">
        <v>40.76</v>
      </c>
      <c r="AD78" s="516">
        <v>40.76</v>
      </c>
      <c r="AE78" s="515">
        <v>693900</v>
      </c>
      <c r="AF78" s="392">
        <f t="shared" si="4"/>
        <v>0.4263610315186247</v>
      </c>
      <c r="AG78" s="392">
        <f t="shared" si="5"/>
        <v>0.86741859970206414</v>
      </c>
      <c r="AH78" s="392">
        <f t="shared" si="2"/>
        <v>0.86814469078179701</v>
      </c>
      <c r="AI78" s="392">
        <f t="shared" si="3"/>
        <v>0.71010452961672477</v>
      </c>
    </row>
    <row r="79" spans="19:35" x14ac:dyDescent="0.25">
      <c r="S79" s="518">
        <v>45073</v>
      </c>
      <c r="T79" s="367">
        <v>14.88</v>
      </c>
      <c r="U79" s="367">
        <v>15.26</v>
      </c>
      <c r="V79" s="367">
        <v>13.44</v>
      </c>
      <c r="W79" s="367">
        <v>14</v>
      </c>
      <c r="X79" s="516">
        <v>14</v>
      </c>
      <c r="Y79" s="515">
        <v>222500</v>
      </c>
      <c r="Z79" s="367">
        <v>40.799999999999997</v>
      </c>
      <c r="AA79" s="367">
        <v>43.4</v>
      </c>
      <c r="AB79" s="367">
        <v>40.24</v>
      </c>
      <c r="AC79" s="367">
        <v>43.39</v>
      </c>
      <c r="AD79" s="516">
        <v>43.39</v>
      </c>
      <c r="AE79" s="515">
        <v>560700</v>
      </c>
      <c r="AF79" s="392">
        <f t="shared" si="4"/>
        <v>0.40114613180515762</v>
      </c>
      <c r="AG79" s="392">
        <f t="shared" si="5"/>
        <v>0.92338795488401781</v>
      </c>
      <c r="AH79" s="392">
        <f t="shared" si="2"/>
        <v>0.81680280046674447</v>
      </c>
      <c r="AI79" s="392">
        <f t="shared" si="3"/>
        <v>0.75592334494773517</v>
      </c>
    </row>
    <row r="80" spans="19:35" x14ac:dyDescent="0.25">
      <c r="S80" s="518">
        <v>45080</v>
      </c>
      <c r="T80" s="367">
        <v>14.06</v>
      </c>
      <c r="U80" s="367">
        <v>14.22</v>
      </c>
      <c r="V80" s="367">
        <v>13.54</v>
      </c>
      <c r="W80" s="367">
        <v>13.84</v>
      </c>
      <c r="X80" s="516">
        <v>13.84</v>
      </c>
      <c r="Y80" s="515">
        <v>149544</v>
      </c>
      <c r="Z80" s="367">
        <v>43.19</v>
      </c>
      <c r="AA80" s="367">
        <v>46</v>
      </c>
      <c r="AB80" s="367">
        <v>42.17</v>
      </c>
      <c r="AC80" s="367">
        <v>45.77</v>
      </c>
      <c r="AD80" s="516">
        <v>45.77</v>
      </c>
      <c r="AE80" s="515">
        <v>539400</v>
      </c>
      <c r="AF80" s="392">
        <f t="shared" si="4"/>
        <v>0.39656160458452722</v>
      </c>
      <c r="AG80" s="392">
        <f t="shared" si="5"/>
        <v>0.97403702915513946</v>
      </c>
      <c r="AH80" s="392">
        <f t="shared" si="2"/>
        <v>0.80746791131855311</v>
      </c>
      <c r="AI80" s="392">
        <f t="shared" si="3"/>
        <v>0.79738675958188165</v>
      </c>
    </row>
    <row r="81" spans="19:35" x14ac:dyDescent="0.25">
      <c r="S81" s="518">
        <v>45087</v>
      </c>
      <c r="T81" s="367">
        <v>13.82</v>
      </c>
      <c r="U81" s="367">
        <v>14.7</v>
      </c>
      <c r="V81" s="367">
        <v>13.82</v>
      </c>
      <c r="W81" s="367">
        <v>14.24</v>
      </c>
      <c r="X81" s="516">
        <v>14.24</v>
      </c>
      <c r="Y81" s="515">
        <v>101760</v>
      </c>
      <c r="Z81" s="367">
        <v>45.75</v>
      </c>
      <c r="AA81" s="367">
        <v>46.33</v>
      </c>
      <c r="AB81" s="367">
        <v>43.99</v>
      </c>
      <c r="AC81" s="367">
        <v>44.24</v>
      </c>
      <c r="AD81" s="516">
        <v>44.24</v>
      </c>
      <c r="AE81" s="515">
        <v>781400</v>
      </c>
      <c r="AF81" s="392">
        <f t="shared" si="4"/>
        <v>0.40802292263610318</v>
      </c>
      <c r="AG81" s="392">
        <f t="shared" si="5"/>
        <v>0.94147690998084699</v>
      </c>
      <c r="AH81" s="392">
        <f t="shared" si="2"/>
        <v>0.83080513418903146</v>
      </c>
      <c r="AI81" s="392">
        <f t="shared" si="3"/>
        <v>0.77073170731707319</v>
      </c>
    </row>
    <row r="82" spans="19:35" x14ac:dyDescent="0.25">
      <c r="S82" s="518">
        <v>45094</v>
      </c>
      <c r="T82" s="367">
        <v>14.26</v>
      </c>
      <c r="U82" s="367">
        <v>14.8</v>
      </c>
      <c r="V82" s="367">
        <v>13.62</v>
      </c>
      <c r="W82" s="367">
        <v>14.32</v>
      </c>
      <c r="X82" s="516">
        <v>14.32</v>
      </c>
      <c r="Y82" s="515">
        <v>92231</v>
      </c>
      <c r="Z82" s="367">
        <v>44.06</v>
      </c>
      <c r="AA82" s="367">
        <v>45.32</v>
      </c>
      <c r="AB82" s="367">
        <v>43.15</v>
      </c>
      <c r="AC82" s="367">
        <v>43.84</v>
      </c>
      <c r="AD82" s="516">
        <v>43.84</v>
      </c>
      <c r="AE82" s="515">
        <v>352200</v>
      </c>
      <c r="AF82" s="392">
        <f t="shared" si="4"/>
        <v>0.41031518624641838</v>
      </c>
      <c r="AG82" s="392">
        <f t="shared" si="5"/>
        <v>0.93296446052351567</v>
      </c>
      <c r="AH82" s="392">
        <f t="shared" si="2"/>
        <v>0.83547257876312719</v>
      </c>
      <c r="AI82" s="392">
        <f t="shared" si="3"/>
        <v>0.76376306620209067</v>
      </c>
    </row>
    <row r="83" spans="19:35" x14ac:dyDescent="0.25">
      <c r="S83" s="518">
        <v>45101</v>
      </c>
      <c r="T83" s="367">
        <v>14.3</v>
      </c>
      <c r="U83" s="367">
        <v>14.5</v>
      </c>
      <c r="V83" s="367">
        <v>13.9</v>
      </c>
      <c r="W83" s="367">
        <v>14.44</v>
      </c>
      <c r="X83" s="516">
        <v>14.44</v>
      </c>
      <c r="Y83" s="515">
        <v>176174</v>
      </c>
      <c r="Z83" s="367">
        <v>43.7</v>
      </c>
      <c r="AA83" s="367">
        <v>44.85</v>
      </c>
      <c r="AB83" s="367">
        <v>43.11</v>
      </c>
      <c r="AC83" s="367">
        <v>43.57</v>
      </c>
      <c r="AD83" s="516">
        <v>43.57</v>
      </c>
      <c r="AE83" s="515">
        <v>412500</v>
      </c>
      <c r="AF83" s="392">
        <f t="shared" si="4"/>
        <v>0.41375358166189113</v>
      </c>
      <c r="AG83" s="392">
        <f t="shared" si="5"/>
        <v>0.92721855713981693</v>
      </c>
      <c r="AH83" s="392">
        <f t="shared" si="2"/>
        <v>0.84247374562427069</v>
      </c>
      <c r="AI83" s="392">
        <f t="shared" si="3"/>
        <v>0.75905923344947734</v>
      </c>
    </row>
    <row r="84" spans="19:35" x14ac:dyDescent="0.25">
      <c r="S84" s="518">
        <v>45108</v>
      </c>
      <c r="T84" s="367">
        <v>14.48</v>
      </c>
      <c r="U84" s="367">
        <v>14.9</v>
      </c>
      <c r="V84" s="367">
        <v>13.04</v>
      </c>
      <c r="W84" s="367">
        <v>13.62</v>
      </c>
      <c r="X84" s="516">
        <v>13.62</v>
      </c>
      <c r="Y84" s="515">
        <v>130613</v>
      </c>
      <c r="Z84" s="367">
        <v>43.35</v>
      </c>
      <c r="AA84" s="367">
        <v>45.43</v>
      </c>
      <c r="AB84" s="367">
        <v>43.3</v>
      </c>
      <c r="AC84" s="367">
        <v>45.17</v>
      </c>
      <c r="AD84" s="516">
        <v>45.17</v>
      </c>
      <c r="AE84" s="515">
        <v>325500</v>
      </c>
      <c r="AF84" s="392">
        <f t="shared" si="4"/>
        <v>0.39025787965616043</v>
      </c>
      <c r="AG84" s="392">
        <f t="shared" si="5"/>
        <v>0.96126835496914231</v>
      </c>
      <c r="AH84" s="392">
        <f t="shared" si="2"/>
        <v>0.79463243873978995</v>
      </c>
      <c r="AI84" s="392">
        <f t="shared" si="3"/>
        <v>0.78693379790940776</v>
      </c>
    </row>
    <row r="85" spans="19:35" x14ac:dyDescent="0.25">
      <c r="S85" s="518">
        <v>45115</v>
      </c>
      <c r="T85" s="367">
        <v>13.52</v>
      </c>
      <c r="U85" s="367">
        <v>14.3</v>
      </c>
      <c r="V85" s="367">
        <v>13.52</v>
      </c>
      <c r="W85" s="367">
        <v>14.18</v>
      </c>
      <c r="X85" s="516">
        <v>14.18</v>
      </c>
      <c r="Y85" s="515">
        <v>102276</v>
      </c>
      <c r="Z85" s="367">
        <v>44.99</v>
      </c>
      <c r="AA85" s="367">
        <v>47.19</v>
      </c>
      <c r="AB85" s="367">
        <v>44.99</v>
      </c>
      <c r="AC85" s="367">
        <v>46.46</v>
      </c>
      <c r="AD85" s="516">
        <v>46.46</v>
      </c>
      <c r="AE85" s="515">
        <v>373200</v>
      </c>
      <c r="AF85" s="392">
        <f t="shared" si="4"/>
        <v>0.40630372492836675</v>
      </c>
      <c r="AG85" s="392">
        <f t="shared" si="5"/>
        <v>0.98872100446903599</v>
      </c>
      <c r="AH85" s="392">
        <f t="shared" si="2"/>
        <v>0.82730455075845966</v>
      </c>
      <c r="AI85" s="392">
        <f t="shared" si="3"/>
        <v>0.80940766550522647</v>
      </c>
    </row>
    <row r="86" spans="19:35" x14ac:dyDescent="0.25">
      <c r="S86" s="518">
        <v>45122</v>
      </c>
      <c r="T86" s="367">
        <v>14.12</v>
      </c>
      <c r="U86" s="367">
        <v>14.12</v>
      </c>
      <c r="V86" s="367">
        <v>13.02</v>
      </c>
      <c r="W86" s="367">
        <v>13.46</v>
      </c>
      <c r="X86" s="516">
        <v>13.46</v>
      </c>
      <c r="Y86" s="515">
        <v>71945</v>
      </c>
      <c r="Z86" s="367">
        <v>46.3</v>
      </c>
      <c r="AA86" s="367">
        <v>49.91</v>
      </c>
      <c r="AB86" s="367">
        <v>46.12</v>
      </c>
      <c r="AC86" s="367">
        <v>49.73</v>
      </c>
      <c r="AD86" s="516">
        <v>49.73</v>
      </c>
      <c r="AE86" s="515">
        <v>541900</v>
      </c>
      <c r="AF86" s="392">
        <f t="shared" si="4"/>
        <v>0.38567335243553014</v>
      </c>
      <c r="AG86" s="392">
        <f t="shared" si="5"/>
        <v>1.0583102787827197</v>
      </c>
      <c r="AH86" s="392">
        <f t="shared" si="2"/>
        <v>0.78529754959159859</v>
      </c>
      <c r="AI86" s="392">
        <f t="shared" si="3"/>
        <v>0.86637630662020904</v>
      </c>
    </row>
    <row r="87" spans="19:35" x14ac:dyDescent="0.25">
      <c r="S87" s="518">
        <v>45129</v>
      </c>
      <c r="T87" s="367">
        <v>13.5</v>
      </c>
      <c r="U87" s="367">
        <v>13.74</v>
      </c>
      <c r="V87" s="367">
        <v>13.18</v>
      </c>
      <c r="W87" s="367">
        <v>13.3</v>
      </c>
      <c r="X87" s="516">
        <v>13.3</v>
      </c>
      <c r="Y87" s="515">
        <v>69087</v>
      </c>
      <c r="Z87" s="367">
        <v>49.53</v>
      </c>
      <c r="AA87" s="367">
        <v>49.97</v>
      </c>
      <c r="AB87" s="367">
        <v>47.33</v>
      </c>
      <c r="AC87" s="367">
        <v>48.94</v>
      </c>
      <c r="AD87" s="516">
        <v>48.94</v>
      </c>
      <c r="AE87" s="515">
        <v>340500</v>
      </c>
      <c r="AF87" s="392">
        <f t="shared" si="4"/>
        <v>0.38108882521489973</v>
      </c>
      <c r="AG87" s="392">
        <f t="shared" si="5"/>
        <v>1.0414981911044903</v>
      </c>
      <c r="AH87" s="392">
        <f t="shared" si="2"/>
        <v>0.77596266044340723</v>
      </c>
      <c r="AI87" s="392">
        <f t="shared" si="3"/>
        <v>0.85261324041811848</v>
      </c>
    </row>
    <row r="88" spans="19:35" x14ac:dyDescent="0.25">
      <c r="S88" s="518">
        <v>45136</v>
      </c>
      <c r="T88" s="367">
        <v>13.4</v>
      </c>
      <c r="U88" s="367">
        <v>13.9</v>
      </c>
      <c r="V88" s="367">
        <v>13.1</v>
      </c>
      <c r="W88" s="367">
        <v>13.3</v>
      </c>
      <c r="X88" s="516">
        <v>13.3</v>
      </c>
      <c r="Y88" s="515">
        <v>74280</v>
      </c>
      <c r="Z88" s="367">
        <v>49.18</v>
      </c>
      <c r="AA88" s="367">
        <v>50.35</v>
      </c>
      <c r="AB88" s="367">
        <v>43.96</v>
      </c>
      <c r="AC88" s="367">
        <v>44.08</v>
      </c>
      <c r="AD88" s="516">
        <v>44.08</v>
      </c>
      <c r="AE88" s="515">
        <v>494000</v>
      </c>
      <c r="AF88" s="392">
        <f t="shared" si="4"/>
        <v>0.38108882521489973</v>
      </c>
      <c r="AG88" s="392">
        <f t="shared" si="5"/>
        <v>0.93807193019791435</v>
      </c>
      <c r="AH88" s="392">
        <f t="shared" si="2"/>
        <v>0.77596266044340723</v>
      </c>
      <c r="AI88" s="392">
        <f t="shared" si="3"/>
        <v>0.76794425087108009</v>
      </c>
    </row>
    <row r="89" spans="19:35" x14ac:dyDescent="0.25">
      <c r="S89" s="518">
        <v>45143</v>
      </c>
      <c r="T89" s="367">
        <v>13.52</v>
      </c>
      <c r="U89" s="367">
        <v>13.52</v>
      </c>
      <c r="V89" s="367">
        <v>12.7</v>
      </c>
      <c r="W89" s="367">
        <v>13.42</v>
      </c>
      <c r="X89" s="516">
        <v>13.42</v>
      </c>
      <c r="Y89" s="515">
        <v>103415</v>
      </c>
      <c r="Z89" s="367">
        <v>44</v>
      </c>
      <c r="AA89" s="367">
        <v>45.78</v>
      </c>
      <c r="AB89" s="367">
        <v>43.33</v>
      </c>
      <c r="AC89" s="367">
        <v>45.76</v>
      </c>
      <c r="AD89" s="516">
        <v>45.76</v>
      </c>
      <c r="AE89" s="515">
        <v>355600</v>
      </c>
      <c r="AF89" s="392">
        <f t="shared" si="4"/>
        <v>0.38452722063037248</v>
      </c>
      <c r="AG89" s="392">
        <f t="shared" si="5"/>
        <v>0.97382421791870599</v>
      </c>
      <c r="AH89" s="392">
        <f t="shared" si="2"/>
        <v>0.78296382730455072</v>
      </c>
      <c r="AI89" s="392">
        <f t="shared" si="3"/>
        <v>0.79721254355400695</v>
      </c>
    </row>
    <row r="90" spans="19:35" x14ac:dyDescent="0.25">
      <c r="S90" s="518">
        <v>45150</v>
      </c>
      <c r="T90" s="367">
        <v>13.52</v>
      </c>
      <c r="U90" s="367">
        <v>13.9</v>
      </c>
      <c r="V90" s="367">
        <v>12.58</v>
      </c>
      <c r="W90" s="367">
        <v>12.88</v>
      </c>
      <c r="X90" s="516">
        <v>12.88</v>
      </c>
      <c r="Y90" s="515">
        <v>246488</v>
      </c>
      <c r="Z90" s="367">
        <v>45.36</v>
      </c>
      <c r="AA90" s="367">
        <v>46.03</v>
      </c>
      <c r="AB90" s="367">
        <v>43.62</v>
      </c>
      <c r="AC90" s="367">
        <v>43.86</v>
      </c>
      <c r="AD90" s="516">
        <v>43.86</v>
      </c>
      <c r="AE90" s="515">
        <v>304800</v>
      </c>
      <c r="AF90" s="392">
        <f t="shared" si="4"/>
        <v>0.36905444126074505</v>
      </c>
      <c r="AG90" s="392">
        <f t="shared" si="5"/>
        <v>0.93339008299638215</v>
      </c>
      <c r="AH90" s="392">
        <f t="shared" si="2"/>
        <v>0.75145857642940495</v>
      </c>
      <c r="AI90" s="392">
        <f t="shared" si="3"/>
        <v>0.76411149825783975</v>
      </c>
    </row>
    <row r="91" spans="19:35" x14ac:dyDescent="0.25">
      <c r="S91" s="518">
        <v>45157</v>
      </c>
      <c r="T91" s="367">
        <v>12.92</v>
      </c>
      <c r="U91" s="367">
        <v>13.28</v>
      </c>
      <c r="V91" s="367">
        <v>12.3</v>
      </c>
      <c r="W91" s="367">
        <v>12.52</v>
      </c>
      <c r="X91" s="516">
        <v>12.52</v>
      </c>
      <c r="Y91" s="515">
        <v>223000</v>
      </c>
      <c r="Z91" s="367">
        <v>43.94</v>
      </c>
      <c r="AA91" s="367">
        <v>45.72</v>
      </c>
      <c r="AB91" s="367">
        <v>43.74</v>
      </c>
      <c r="AC91" s="367">
        <v>44.24</v>
      </c>
      <c r="AD91" s="516">
        <v>44.24</v>
      </c>
      <c r="AE91" s="515">
        <v>305400</v>
      </c>
      <c r="AF91" s="392">
        <f t="shared" si="4"/>
        <v>0.35873925501432663</v>
      </c>
      <c r="AG91" s="392">
        <f t="shared" si="5"/>
        <v>0.94147690998084699</v>
      </c>
      <c r="AH91" s="392">
        <f t="shared" si="2"/>
        <v>0.73045507584597424</v>
      </c>
      <c r="AI91" s="392">
        <f t="shared" si="3"/>
        <v>0.77073170731707319</v>
      </c>
    </row>
    <row r="92" spans="19:35" x14ac:dyDescent="0.25">
      <c r="S92" s="518">
        <v>45164</v>
      </c>
      <c r="T92" s="367">
        <v>12.6</v>
      </c>
      <c r="U92" s="367">
        <v>13.9</v>
      </c>
      <c r="V92" s="367">
        <v>12.38</v>
      </c>
      <c r="W92" s="367">
        <v>13.6</v>
      </c>
      <c r="X92" s="516">
        <v>13.6</v>
      </c>
      <c r="Y92" s="515">
        <v>92034</v>
      </c>
      <c r="Z92" s="367">
        <v>44.44</v>
      </c>
      <c r="AA92" s="367">
        <v>46.18</v>
      </c>
      <c r="AB92" s="367">
        <v>44.44</v>
      </c>
      <c r="AC92" s="367">
        <v>45.34</v>
      </c>
      <c r="AD92" s="516">
        <v>45.34</v>
      </c>
      <c r="AE92" s="515">
        <v>260200</v>
      </c>
      <c r="AF92" s="392">
        <f t="shared" si="4"/>
        <v>0.38968481375358166</v>
      </c>
      <c r="AG92" s="392">
        <f t="shared" si="5"/>
        <v>0.96488614598850819</v>
      </c>
      <c r="AH92" s="392">
        <f t="shared" si="2"/>
        <v>0.79346557759626601</v>
      </c>
      <c r="AI92" s="392">
        <f t="shared" si="3"/>
        <v>0.78989547038327534</v>
      </c>
    </row>
    <row r="93" spans="19:35" x14ac:dyDescent="0.25">
      <c r="S93" s="518">
        <v>45171</v>
      </c>
      <c r="T93" s="367">
        <v>13.64</v>
      </c>
      <c r="U93" s="367">
        <v>13.86</v>
      </c>
      <c r="V93" s="367">
        <v>13.32</v>
      </c>
      <c r="W93" s="367">
        <v>13.82</v>
      </c>
      <c r="X93" s="516">
        <v>13.82</v>
      </c>
      <c r="Y93" s="515">
        <v>112183</v>
      </c>
      <c r="Z93" s="367">
        <v>45.25</v>
      </c>
      <c r="AA93" s="367">
        <v>45.5</v>
      </c>
      <c r="AB93" s="367">
        <v>43.37</v>
      </c>
      <c r="AC93" s="367">
        <v>43.37</v>
      </c>
      <c r="AD93" s="516">
        <v>43.37</v>
      </c>
      <c r="AE93" s="515">
        <v>280500</v>
      </c>
      <c r="AF93" s="392">
        <f t="shared" si="4"/>
        <v>0.39598853868194844</v>
      </c>
      <c r="AG93" s="392">
        <f t="shared" si="5"/>
        <v>0.92296233241115122</v>
      </c>
      <c r="AH93" s="392">
        <f t="shared" si="2"/>
        <v>0.80630105017502918</v>
      </c>
      <c r="AI93" s="392">
        <f t="shared" si="3"/>
        <v>0.75557491289198608</v>
      </c>
    </row>
    <row r="94" spans="19:35" x14ac:dyDescent="0.25">
      <c r="S94" s="518">
        <v>45178</v>
      </c>
      <c r="T94" s="367">
        <v>13.68</v>
      </c>
      <c r="U94" s="367">
        <v>13.96</v>
      </c>
      <c r="V94" s="367">
        <v>13.38</v>
      </c>
      <c r="W94" s="367">
        <v>13.76</v>
      </c>
      <c r="X94" s="516">
        <v>13.76</v>
      </c>
      <c r="Y94" s="515">
        <v>184446</v>
      </c>
      <c r="Z94" s="367">
        <v>43.75</v>
      </c>
      <c r="AA94" s="367">
        <v>45.38</v>
      </c>
      <c r="AB94" s="367">
        <v>42.93</v>
      </c>
      <c r="AC94" s="367">
        <v>45.04</v>
      </c>
      <c r="AD94" s="516">
        <v>45.04</v>
      </c>
      <c r="AE94" s="515">
        <v>1272400</v>
      </c>
      <c r="AF94" s="392">
        <f t="shared" si="4"/>
        <v>0.39426934097421207</v>
      </c>
      <c r="AG94" s="392">
        <f t="shared" si="5"/>
        <v>0.95850180889550962</v>
      </c>
      <c r="AH94" s="392">
        <f t="shared" si="2"/>
        <v>0.80280046674445737</v>
      </c>
      <c r="AI94" s="392">
        <f t="shared" si="3"/>
        <v>0.78466898954703834</v>
      </c>
    </row>
    <row r="95" spans="19:35" x14ac:dyDescent="0.25">
      <c r="S95" s="518">
        <v>45185</v>
      </c>
      <c r="T95" s="367">
        <v>13.94</v>
      </c>
      <c r="U95" s="367">
        <v>13.96</v>
      </c>
      <c r="V95" s="367">
        <v>12.38</v>
      </c>
      <c r="W95" s="367">
        <v>12.64</v>
      </c>
      <c r="X95" s="516">
        <v>12.64</v>
      </c>
      <c r="Y95" s="515">
        <v>132379</v>
      </c>
      <c r="Z95" s="367">
        <v>45.03</v>
      </c>
      <c r="AA95" s="367">
        <v>45.57</v>
      </c>
      <c r="AB95" s="367">
        <v>42.95</v>
      </c>
      <c r="AC95" s="367">
        <v>42.95</v>
      </c>
      <c r="AD95" s="516">
        <v>42.95</v>
      </c>
      <c r="AE95" s="515">
        <v>239400</v>
      </c>
      <c r="AF95" s="392">
        <f t="shared" si="4"/>
        <v>0.36217765042979944</v>
      </c>
      <c r="AG95" s="392">
        <f t="shared" si="5"/>
        <v>0.91402426048095342</v>
      </c>
      <c r="AH95" s="392">
        <f t="shared" si="2"/>
        <v>0.73745624270711785</v>
      </c>
      <c r="AI95" s="392">
        <f t="shared" si="3"/>
        <v>0.74825783972125437</v>
      </c>
    </row>
    <row r="96" spans="19:35" x14ac:dyDescent="0.25">
      <c r="S96" s="518">
        <v>45192</v>
      </c>
      <c r="T96" s="367">
        <v>12.62</v>
      </c>
      <c r="U96" s="367">
        <v>12.68</v>
      </c>
      <c r="V96" s="367">
        <v>11.26</v>
      </c>
      <c r="W96" s="367">
        <v>11.26</v>
      </c>
      <c r="X96" s="516">
        <v>11.26</v>
      </c>
      <c r="Y96" s="515">
        <v>279293</v>
      </c>
      <c r="Z96" s="367">
        <v>42.63</v>
      </c>
      <c r="AA96" s="367">
        <v>43.98</v>
      </c>
      <c r="AB96" s="367">
        <v>42.31</v>
      </c>
      <c r="AC96" s="367">
        <v>43.51</v>
      </c>
      <c r="AD96" s="516">
        <v>43.51</v>
      </c>
      <c r="AE96" s="515">
        <v>295400</v>
      </c>
      <c r="AF96" s="392">
        <f t="shared" si="4"/>
        <v>0.32263610315186247</v>
      </c>
      <c r="AG96" s="392">
        <f t="shared" si="5"/>
        <v>0.92594168972121715</v>
      </c>
      <c r="AH96" s="392">
        <f t="shared" si="2"/>
        <v>0.65694282380396729</v>
      </c>
      <c r="AI96" s="392">
        <f t="shared" si="3"/>
        <v>0.75801393728222999</v>
      </c>
    </row>
    <row r="97" spans="19:35" x14ac:dyDescent="0.25">
      <c r="S97" s="518">
        <v>45199</v>
      </c>
      <c r="T97" s="367">
        <v>11.34</v>
      </c>
      <c r="U97" s="367">
        <v>11.8</v>
      </c>
      <c r="V97" s="367">
        <v>10.039999999999999</v>
      </c>
      <c r="W97" s="367">
        <v>10.38</v>
      </c>
      <c r="X97" s="516">
        <v>10.38</v>
      </c>
      <c r="Y97" s="515">
        <v>182060</v>
      </c>
      <c r="Z97" s="367">
        <v>43.41</v>
      </c>
      <c r="AA97" s="367">
        <v>44.15</v>
      </c>
      <c r="AB97" s="367">
        <v>42.72</v>
      </c>
      <c r="AC97" s="367">
        <v>43.95</v>
      </c>
      <c r="AD97" s="516">
        <v>43.95</v>
      </c>
      <c r="AE97" s="515">
        <v>326400</v>
      </c>
      <c r="AF97" s="392">
        <f t="shared" si="4"/>
        <v>0.29742120343839545</v>
      </c>
      <c r="AG97" s="392">
        <f t="shared" si="5"/>
        <v>0.93530538412428177</v>
      </c>
      <c r="AH97" s="392">
        <f t="shared" si="2"/>
        <v>0.60560093348891486</v>
      </c>
      <c r="AI97" s="392">
        <f t="shared" si="3"/>
        <v>0.76567944250871089</v>
      </c>
    </row>
    <row r="98" spans="19:35" x14ac:dyDescent="0.25">
      <c r="S98" s="518">
        <v>45206</v>
      </c>
      <c r="T98" s="367">
        <v>10.52</v>
      </c>
      <c r="U98" s="367">
        <v>11.22</v>
      </c>
      <c r="V98" s="367">
        <v>10.1</v>
      </c>
      <c r="W98" s="367">
        <v>10.68</v>
      </c>
      <c r="X98" s="516">
        <v>10.68</v>
      </c>
      <c r="Y98" s="515">
        <v>538840</v>
      </c>
      <c r="Z98" s="367">
        <v>43.87</v>
      </c>
      <c r="AA98" s="367">
        <v>46.58</v>
      </c>
      <c r="AB98" s="367">
        <v>43.87</v>
      </c>
      <c r="AC98" s="367">
        <v>46.26</v>
      </c>
      <c r="AD98" s="516">
        <v>46.26</v>
      </c>
      <c r="AE98" s="515">
        <v>469100</v>
      </c>
      <c r="AF98" s="392">
        <f t="shared" si="4"/>
        <v>0.30601719197707739</v>
      </c>
      <c r="AG98" s="392">
        <f t="shared" si="5"/>
        <v>0.98446477974037017</v>
      </c>
      <c r="AH98" s="392">
        <f t="shared" si="2"/>
        <v>0.62310385064177354</v>
      </c>
      <c r="AI98" s="392">
        <f t="shared" si="3"/>
        <v>0.80592334494773521</v>
      </c>
    </row>
    <row r="99" spans="19:35" x14ac:dyDescent="0.25">
      <c r="S99" s="518">
        <v>45213</v>
      </c>
      <c r="T99" s="367">
        <v>10.76</v>
      </c>
      <c r="U99" s="367">
        <v>10.76</v>
      </c>
      <c r="V99" s="367">
        <v>10.039999999999999</v>
      </c>
      <c r="W99" s="367">
        <v>10.16</v>
      </c>
      <c r="X99" s="516">
        <v>10.16</v>
      </c>
      <c r="Y99" s="515">
        <v>595008</v>
      </c>
      <c r="Z99" s="367">
        <v>46.3</v>
      </c>
      <c r="AA99" s="367">
        <v>47.82</v>
      </c>
      <c r="AB99" s="367">
        <v>46.02</v>
      </c>
      <c r="AC99" s="367">
        <v>46.09</v>
      </c>
      <c r="AD99" s="516">
        <v>46.09</v>
      </c>
      <c r="AE99" s="515">
        <v>291000</v>
      </c>
      <c r="AF99" s="392">
        <f t="shared" si="4"/>
        <v>0.29111747851002867</v>
      </c>
      <c r="AG99" s="392">
        <f t="shared" si="5"/>
        <v>0.98084698872100451</v>
      </c>
      <c r="AH99" s="392">
        <f t="shared" si="2"/>
        <v>0.5927654609101517</v>
      </c>
      <c r="AI99" s="392">
        <f t="shared" si="3"/>
        <v>0.80296167247386763</v>
      </c>
    </row>
    <row r="100" spans="19:35" x14ac:dyDescent="0.25">
      <c r="S100" s="518">
        <v>45220</v>
      </c>
      <c r="T100" s="367">
        <v>10.119999999999999</v>
      </c>
      <c r="U100" s="367">
        <v>10.7</v>
      </c>
      <c r="V100" s="367">
        <v>9.68</v>
      </c>
      <c r="W100" s="367">
        <v>10.56</v>
      </c>
      <c r="X100" s="516">
        <v>10.56</v>
      </c>
      <c r="Y100" s="515">
        <v>97267</v>
      </c>
      <c r="Z100" s="367">
        <v>45.94</v>
      </c>
      <c r="AA100" s="367">
        <v>48.45</v>
      </c>
      <c r="AB100" s="367">
        <v>45.75</v>
      </c>
      <c r="AC100" s="367">
        <v>46.81</v>
      </c>
      <c r="AD100" s="516">
        <v>46.81</v>
      </c>
      <c r="AE100" s="515">
        <v>451300</v>
      </c>
      <c r="AF100" s="392">
        <f t="shared" si="4"/>
        <v>0.30257879656160463</v>
      </c>
      <c r="AG100" s="392">
        <f t="shared" si="5"/>
        <v>0.99616939774420088</v>
      </c>
      <c r="AH100" s="392">
        <f t="shared" si="2"/>
        <v>0.61610268378063016</v>
      </c>
      <c r="AI100" s="392">
        <f t="shared" si="3"/>
        <v>0.81550522648083634</v>
      </c>
    </row>
    <row r="101" spans="19:35" x14ac:dyDescent="0.25">
      <c r="S101" s="518">
        <v>45227</v>
      </c>
      <c r="T101" s="367">
        <v>10.48</v>
      </c>
      <c r="U101" s="367">
        <v>12.72</v>
      </c>
      <c r="V101" s="367">
        <v>10.48</v>
      </c>
      <c r="W101" s="367">
        <v>12.58</v>
      </c>
      <c r="X101" s="516">
        <v>12.58</v>
      </c>
      <c r="Y101" s="515">
        <v>102066</v>
      </c>
      <c r="Z101" s="367">
        <v>47.05</v>
      </c>
      <c r="AA101" s="367">
        <v>49.04</v>
      </c>
      <c r="AB101" s="367">
        <v>46.6</v>
      </c>
      <c r="AC101" s="367">
        <v>48.5</v>
      </c>
      <c r="AD101" s="516">
        <v>48.5</v>
      </c>
      <c r="AE101" s="515">
        <v>348300</v>
      </c>
      <c r="AF101" s="392">
        <f t="shared" si="4"/>
        <v>0.36045845272206306</v>
      </c>
      <c r="AG101" s="392">
        <f t="shared" si="5"/>
        <v>1.0321344967014259</v>
      </c>
      <c r="AH101" s="392">
        <f t="shared" si="2"/>
        <v>0.73395565927654605</v>
      </c>
      <c r="AI101" s="392">
        <f t="shared" si="3"/>
        <v>0.84494773519163768</v>
      </c>
    </row>
    <row r="102" spans="19:35" x14ac:dyDescent="0.25">
      <c r="S102" s="518">
        <v>45234</v>
      </c>
      <c r="T102" s="367">
        <v>12.6</v>
      </c>
      <c r="U102" s="367">
        <v>12.7</v>
      </c>
      <c r="V102" s="367">
        <v>11.92</v>
      </c>
      <c r="W102" s="367">
        <v>12.08</v>
      </c>
      <c r="X102" s="516">
        <v>12.08</v>
      </c>
      <c r="Y102" s="515">
        <v>77686</v>
      </c>
      <c r="Z102" s="367">
        <v>48.28</v>
      </c>
      <c r="AA102" s="367">
        <v>51.78</v>
      </c>
      <c r="AB102" s="367">
        <v>46.79</v>
      </c>
      <c r="AC102" s="367">
        <v>47.77</v>
      </c>
      <c r="AD102" s="516">
        <v>47.77</v>
      </c>
      <c r="AE102" s="515">
        <v>549800</v>
      </c>
      <c r="AF102" s="392">
        <f t="shared" si="4"/>
        <v>0.34613180515759312</v>
      </c>
      <c r="AG102" s="392">
        <f t="shared" si="5"/>
        <v>1.0165992764417962</v>
      </c>
      <c r="AH102" s="392">
        <f t="shared" si="2"/>
        <v>0.70478413068844803</v>
      </c>
      <c r="AI102" s="392">
        <f t="shared" si="3"/>
        <v>0.83222996515679448</v>
      </c>
    </row>
    <row r="103" spans="19:35" x14ac:dyDescent="0.25">
      <c r="S103" s="518">
        <v>45241</v>
      </c>
      <c r="T103" s="367">
        <v>12.12</v>
      </c>
      <c r="U103" s="367">
        <v>15.6</v>
      </c>
      <c r="V103" s="367">
        <v>12.12</v>
      </c>
      <c r="W103" s="367">
        <v>15.2</v>
      </c>
      <c r="X103" s="516">
        <v>15.2</v>
      </c>
      <c r="Y103" s="515">
        <v>798904</v>
      </c>
      <c r="Z103" s="367">
        <v>47.98</v>
      </c>
      <c r="AA103" s="367">
        <v>50.81</v>
      </c>
      <c r="AB103" s="367">
        <v>47.27</v>
      </c>
      <c r="AC103" s="367">
        <v>49.32</v>
      </c>
      <c r="AD103" s="516">
        <v>49.32</v>
      </c>
      <c r="AE103" s="515">
        <v>588000</v>
      </c>
      <c r="AF103" s="392">
        <f t="shared" si="4"/>
        <v>0.4355300859598854</v>
      </c>
      <c r="AG103" s="392">
        <f t="shared" si="5"/>
        <v>1.049585018088955</v>
      </c>
      <c r="AH103" s="392">
        <f t="shared" si="2"/>
        <v>0.88681446907817962</v>
      </c>
      <c r="AI103" s="392">
        <f t="shared" si="3"/>
        <v>0.85923344947735192</v>
      </c>
    </row>
    <row r="104" spans="19:35" x14ac:dyDescent="0.25">
      <c r="S104" s="518">
        <v>45248</v>
      </c>
      <c r="T104" s="367">
        <v>15.32</v>
      </c>
      <c r="U104" s="367">
        <v>15.64</v>
      </c>
      <c r="V104" s="367">
        <v>14.84</v>
      </c>
      <c r="W104" s="367">
        <v>15.2</v>
      </c>
      <c r="X104" s="516">
        <v>15.2</v>
      </c>
      <c r="Y104" s="515">
        <v>1043542</v>
      </c>
      <c r="Z104" s="367">
        <v>49.54</v>
      </c>
      <c r="AA104" s="367">
        <v>50.58</v>
      </c>
      <c r="AB104" s="367">
        <v>48.95</v>
      </c>
      <c r="AC104" s="367">
        <v>50.58</v>
      </c>
      <c r="AD104" s="516">
        <v>50.58</v>
      </c>
      <c r="AE104" s="515">
        <v>130000</v>
      </c>
      <c r="AF104" s="392">
        <f t="shared" si="4"/>
        <v>0.4355300859598854</v>
      </c>
      <c r="AG104" s="392">
        <f t="shared" si="5"/>
        <v>1.0763992338795487</v>
      </c>
      <c r="AH104" s="392">
        <f t="shared" si="2"/>
        <v>0.88681446907817962</v>
      </c>
      <c r="AI104" s="392">
        <f t="shared" si="3"/>
        <v>0.88118466898954706</v>
      </c>
    </row>
    <row r="105" spans="19:35" x14ac:dyDescent="0.25">
      <c r="S105" s="518">
        <v>45255</v>
      </c>
      <c r="T105" s="367">
        <v>15.3</v>
      </c>
      <c r="U105" s="367">
        <v>15.7</v>
      </c>
      <c r="V105" s="367">
        <v>15.06</v>
      </c>
      <c r="W105" s="367">
        <v>15.7</v>
      </c>
      <c r="X105" s="516">
        <v>15.7</v>
      </c>
      <c r="Y105" s="515">
        <v>427783</v>
      </c>
      <c r="Z105" s="367">
        <v>50.11</v>
      </c>
      <c r="AA105" s="367">
        <v>51.37</v>
      </c>
      <c r="AB105" s="367">
        <v>49.08</v>
      </c>
      <c r="AC105" s="367">
        <v>50.83</v>
      </c>
      <c r="AD105" s="516">
        <v>50.83</v>
      </c>
      <c r="AE105" s="515">
        <v>295000</v>
      </c>
      <c r="AF105" s="392">
        <f t="shared" si="4"/>
        <v>0.44985673352435529</v>
      </c>
      <c r="AG105" s="392">
        <f t="shared" si="5"/>
        <v>1.0817195147903809</v>
      </c>
      <c r="AH105" s="392">
        <f t="shared" si="2"/>
        <v>0.91598599766627764</v>
      </c>
      <c r="AI105" s="392">
        <f t="shared" si="3"/>
        <v>0.88554006968641119</v>
      </c>
    </row>
    <row r="106" spans="19:35" x14ac:dyDescent="0.25">
      <c r="S106" s="518">
        <v>45262</v>
      </c>
      <c r="T106" s="367">
        <v>15.5</v>
      </c>
      <c r="U106" s="367">
        <v>16.16</v>
      </c>
      <c r="V106" s="367">
        <v>15.12</v>
      </c>
      <c r="W106" s="367">
        <v>16.059999999999999</v>
      </c>
      <c r="X106" s="516">
        <v>16.059999999999999</v>
      </c>
      <c r="Y106" s="515">
        <v>328163</v>
      </c>
      <c r="Z106" s="367">
        <v>50.53</v>
      </c>
      <c r="AA106" s="367">
        <v>52.71</v>
      </c>
      <c r="AB106" s="367">
        <v>48.31</v>
      </c>
      <c r="AC106" s="367">
        <v>51.77</v>
      </c>
      <c r="AD106" s="516">
        <v>51.77</v>
      </c>
      <c r="AE106" s="515">
        <v>380600</v>
      </c>
      <c r="AF106" s="392">
        <f t="shared" si="4"/>
        <v>0.4601719197707736</v>
      </c>
      <c r="AG106" s="392">
        <f t="shared" si="5"/>
        <v>1.1017237710151095</v>
      </c>
      <c r="AH106" s="392">
        <f t="shared" si="2"/>
        <v>0.93698949824970823</v>
      </c>
      <c r="AI106" s="392">
        <f t="shared" si="3"/>
        <v>0.90191637630662025</v>
      </c>
    </row>
    <row r="107" spans="19:35" x14ac:dyDescent="0.25">
      <c r="S107" s="518">
        <v>45269</v>
      </c>
      <c r="T107" s="367">
        <v>15.96</v>
      </c>
      <c r="U107" s="367">
        <v>16.98</v>
      </c>
      <c r="V107" s="367">
        <v>15.94</v>
      </c>
      <c r="W107" s="367">
        <v>16.72</v>
      </c>
      <c r="X107" s="516">
        <v>16.72</v>
      </c>
      <c r="Y107" s="515">
        <v>287959</v>
      </c>
      <c r="Z107" s="367">
        <v>51.78</v>
      </c>
      <c r="AA107" s="367">
        <v>53.85</v>
      </c>
      <c r="AB107" s="367">
        <v>50.67</v>
      </c>
      <c r="AC107" s="367">
        <v>50.91</v>
      </c>
      <c r="AD107" s="516">
        <v>50.91</v>
      </c>
      <c r="AE107" s="515">
        <v>920500</v>
      </c>
      <c r="AF107" s="392">
        <f t="shared" si="4"/>
        <v>0.47908309455587389</v>
      </c>
      <c r="AG107" s="392">
        <f t="shared" si="5"/>
        <v>1.083422004681847</v>
      </c>
      <c r="AH107" s="392">
        <f t="shared" si="2"/>
        <v>0.97549591598599761</v>
      </c>
      <c r="AI107" s="392">
        <f t="shared" si="3"/>
        <v>0.88693379790940763</v>
      </c>
    </row>
    <row r="108" spans="19:35" x14ac:dyDescent="0.25">
      <c r="S108" s="518">
        <v>45276</v>
      </c>
      <c r="T108" s="367">
        <v>16.62</v>
      </c>
      <c r="U108" s="367">
        <v>17.3</v>
      </c>
      <c r="V108" s="367">
        <v>16.28</v>
      </c>
      <c r="W108" s="367">
        <v>17.22</v>
      </c>
      <c r="X108" s="516">
        <v>17.22</v>
      </c>
      <c r="Y108" s="515">
        <v>158500</v>
      </c>
      <c r="Z108" s="367">
        <v>51.34</v>
      </c>
      <c r="AA108" s="367">
        <v>52.7</v>
      </c>
      <c r="AB108" s="367">
        <v>51.01</v>
      </c>
      <c r="AC108" s="367">
        <v>51.75</v>
      </c>
      <c r="AD108" s="516">
        <v>51.75</v>
      </c>
      <c r="AE108" s="515">
        <v>310800</v>
      </c>
      <c r="AF108" s="392">
        <f t="shared" si="4"/>
        <v>0.49340974212034383</v>
      </c>
      <c r="AG108" s="392">
        <f t="shared" si="5"/>
        <v>1.1012981485422431</v>
      </c>
      <c r="AH108" s="392">
        <f t="shared" si="2"/>
        <v>1.0046674445740955</v>
      </c>
      <c r="AI108" s="392">
        <f t="shared" si="3"/>
        <v>0.90156794425087106</v>
      </c>
    </row>
    <row r="109" spans="19:35" x14ac:dyDescent="0.25">
      <c r="S109" s="518">
        <v>45283</v>
      </c>
      <c r="T109" s="367">
        <v>17.22</v>
      </c>
      <c r="U109" s="367">
        <v>17.8</v>
      </c>
      <c r="V109" s="367">
        <v>17.18</v>
      </c>
      <c r="W109" s="367">
        <v>17.66</v>
      </c>
      <c r="X109" s="516">
        <v>17.66</v>
      </c>
      <c r="Y109" s="515">
        <v>73628</v>
      </c>
      <c r="Z109" s="367">
        <v>52.05</v>
      </c>
      <c r="AA109" s="367">
        <v>52.8</v>
      </c>
      <c r="AB109" s="367">
        <v>51.8</v>
      </c>
      <c r="AC109" s="367">
        <v>52.06</v>
      </c>
      <c r="AD109" s="516">
        <v>52.06</v>
      </c>
      <c r="AE109" s="515">
        <v>137600</v>
      </c>
      <c r="AF109" s="392">
        <f t="shared" si="4"/>
        <v>0.5060171919770774</v>
      </c>
      <c r="AG109" s="392">
        <f t="shared" si="5"/>
        <v>1.1078952968716749</v>
      </c>
      <c r="AH109" s="392">
        <f t="shared" si="2"/>
        <v>1.0303383897316218</v>
      </c>
      <c r="AI109" s="392">
        <f t="shared" si="3"/>
        <v>0.90696864111498265</v>
      </c>
    </row>
    <row r="110" spans="19:35" x14ac:dyDescent="0.25">
      <c r="S110" s="518">
        <v>45290</v>
      </c>
      <c r="T110" s="367">
        <v>17.66</v>
      </c>
      <c r="U110" s="367">
        <v>17.760000000000002</v>
      </c>
      <c r="V110" s="367">
        <v>16.940000000000001</v>
      </c>
      <c r="W110" s="367">
        <v>17.420000000000002</v>
      </c>
      <c r="X110" s="516">
        <v>17.420000000000002</v>
      </c>
      <c r="Y110" s="515">
        <v>120557</v>
      </c>
      <c r="Z110" s="367">
        <v>51.9</v>
      </c>
      <c r="AA110" s="367">
        <v>52.71</v>
      </c>
      <c r="AB110" s="367">
        <v>51.21</v>
      </c>
      <c r="AC110" s="367">
        <v>51.63</v>
      </c>
      <c r="AD110" s="516">
        <v>51.63</v>
      </c>
      <c r="AE110" s="515">
        <v>337900</v>
      </c>
      <c r="AF110" s="392">
        <f t="shared" si="4"/>
        <v>0.4991404011461319</v>
      </c>
      <c r="AG110" s="392">
        <f t="shared" si="5"/>
        <v>1.0987444137050437</v>
      </c>
      <c r="AH110" s="392">
        <f t="shared" si="2"/>
        <v>1.0163360560093349</v>
      </c>
      <c r="AI110" s="392">
        <f t="shared" si="3"/>
        <v>0.89947735191637634</v>
      </c>
    </row>
    <row r="111" spans="19:35" x14ac:dyDescent="0.25">
      <c r="S111" s="518">
        <v>45297</v>
      </c>
      <c r="T111" s="367">
        <v>17.399999999999999</v>
      </c>
      <c r="U111" s="367">
        <v>17.62</v>
      </c>
      <c r="V111" s="367">
        <v>16.62</v>
      </c>
      <c r="W111" s="367">
        <v>17.16</v>
      </c>
      <c r="X111" s="516">
        <v>17.16</v>
      </c>
      <c r="Y111" s="515">
        <v>213164</v>
      </c>
      <c r="Z111" s="367">
        <v>51.14</v>
      </c>
      <c r="AA111" s="367">
        <v>51.14</v>
      </c>
      <c r="AB111" s="367">
        <v>48.02</v>
      </c>
      <c r="AC111" s="367">
        <v>50.21</v>
      </c>
      <c r="AD111" s="516">
        <v>50.21</v>
      </c>
      <c r="AE111" s="515">
        <v>643500</v>
      </c>
      <c r="AF111" s="392">
        <f t="shared" si="4"/>
        <v>0.49169054441260746</v>
      </c>
      <c r="AG111" s="392">
        <f t="shared" si="5"/>
        <v>1.0685252181315172</v>
      </c>
      <c r="AH111" s="392">
        <f t="shared" si="2"/>
        <v>1.0011668611435238</v>
      </c>
      <c r="AI111" s="392">
        <f t="shared" si="3"/>
        <v>0.87473867595818822</v>
      </c>
    </row>
    <row r="112" spans="19:35" x14ac:dyDescent="0.25">
      <c r="S112" s="518">
        <v>45304</v>
      </c>
      <c r="T112" s="367">
        <v>17</v>
      </c>
      <c r="U112" s="367">
        <v>18.5</v>
      </c>
      <c r="V112" s="367">
        <v>16.739999999999998</v>
      </c>
      <c r="W112" s="367">
        <v>18</v>
      </c>
      <c r="X112" s="516">
        <v>18</v>
      </c>
      <c r="Y112" s="515">
        <v>182805</v>
      </c>
      <c r="Z112" s="367">
        <v>49.96</v>
      </c>
      <c r="AA112" s="367">
        <v>50.39</v>
      </c>
      <c r="AB112" s="367">
        <v>48.63</v>
      </c>
      <c r="AC112" s="367">
        <v>49.19</v>
      </c>
      <c r="AD112" s="516">
        <v>49.19</v>
      </c>
      <c r="AE112" s="515">
        <v>385100</v>
      </c>
      <c r="AF112" s="392">
        <f t="shared" si="4"/>
        <v>0.51575931232091687</v>
      </c>
      <c r="AG112" s="392">
        <f t="shared" si="5"/>
        <v>1.0468184720153224</v>
      </c>
      <c r="AH112" s="392">
        <f t="shared" si="2"/>
        <v>1.0501750291715286</v>
      </c>
      <c r="AI112" s="392">
        <f t="shared" si="3"/>
        <v>0.85696864111498261</v>
      </c>
    </row>
    <row r="113" spans="19:35" x14ac:dyDescent="0.25">
      <c r="S113" s="518">
        <v>45311</v>
      </c>
      <c r="T113" s="367">
        <v>18.079999999999998</v>
      </c>
      <c r="U113" s="367">
        <v>18.66</v>
      </c>
      <c r="V113" s="367">
        <v>15.94</v>
      </c>
      <c r="W113" s="367">
        <v>16.64</v>
      </c>
      <c r="X113" s="516">
        <v>16.64</v>
      </c>
      <c r="Y113" s="515">
        <v>290293</v>
      </c>
      <c r="Z113" s="367">
        <v>49.66</v>
      </c>
      <c r="AA113" s="367">
        <v>51.53</v>
      </c>
      <c r="AB113" s="367">
        <v>49.66</v>
      </c>
      <c r="AC113" s="367">
        <v>50.64</v>
      </c>
      <c r="AD113" s="516">
        <v>50.64</v>
      </c>
      <c r="AE113" s="515">
        <v>445400</v>
      </c>
      <c r="AF113" s="392">
        <f t="shared" si="4"/>
        <v>0.4767908309455588</v>
      </c>
      <c r="AG113" s="392">
        <f t="shared" si="5"/>
        <v>1.0776761012981486</v>
      </c>
      <c r="AH113" s="392">
        <f t="shared" si="2"/>
        <v>0.97082847141190198</v>
      </c>
      <c r="AI113" s="392">
        <f t="shared" si="3"/>
        <v>0.88222996515679442</v>
      </c>
    </row>
    <row r="114" spans="19:35" x14ac:dyDescent="0.25">
      <c r="S114" s="518">
        <v>45318</v>
      </c>
      <c r="T114" s="367">
        <v>16.7</v>
      </c>
      <c r="U114" s="367">
        <v>17.100000000000001</v>
      </c>
      <c r="V114" s="367">
        <v>15.66</v>
      </c>
      <c r="W114" s="367">
        <v>15.66</v>
      </c>
      <c r="X114" s="516">
        <v>15.66</v>
      </c>
      <c r="Y114" s="515">
        <v>1876818</v>
      </c>
      <c r="Z114" s="367">
        <v>50.83</v>
      </c>
      <c r="AA114" s="367">
        <v>50.97</v>
      </c>
      <c r="AB114" s="367">
        <v>49.12</v>
      </c>
      <c r="AC114" s="367">
        <v>50.33</v>
      </c>
      <c r="AD114" s="516">
        <v>50.33</v>
      </c>
      <c r="AE114" s="515">
        <v>1023800</v>
      </c>
      <c r="AF114" s="392">
        <f t="shared" si="4"/>
        <v>0.44871060171919774</v>
      </c>
      <c r="AG114" s="392">
        <f t="shared" si="5"/>
        <v>1.0710789529687166</v>
      </c>
      <c r="AH114" s="392">
        <f t="shared" si="2"/>
        <v>0.91365227537922988</v>
      </c>
      <c r="AI114" s="392">
        <f t="shared" si="3"/>
        <v>0.87682926829268293</v>
      </c>
    </row>
    <row r="115" spans="19:35" x14ac:dyDescent="0.25">
      <c r="S115" s="518">
        <v>45325</v>
      </c>
      <c r="T115" s="367">
        <v>15.54</v>
      </c>
      <c r="U115" s="367">
        <v>16.64</v>
      </c>
      <c r="V115" s="367">
        <v>15.04</v>
      </c>
      <c r="W115" s="367">
        <v>15.88</v>
      </c>
      <c r="X115" s="516">
        <v>15.88</v>
      </c>
      <c r="Y115" s="515">
        <v>146827</v>
      </c>
      <c r="Z115" s="367">
        <v>49.8</v>
      </c>
      <c r="AA115" s="367">
        <v>50.24</v>
      </c>
      <c r="AB115" s="367">
        <v>48.58</v>
      </c>
      <c r="AC115" s="367">
        <v>50.22</v>
      </c>
      <c r="AD115" s="516">
        <v>50.22</v>
      </c>
      <c r="AE115" s="515">
        <v>360300</v>
      </c>
      <c r="AF115" s="392">
        <f t="shared" si="4"/>
        <v>0.45501432664756453</v>
      </c>
      <c r="AG115" s="392">
        <f t="shared" si="5"/>
        <v>1.0687380293679505</v>
      </c>
      <c r="AH115" s="392">
        <f t="shared" si="2"/>
        <v>0.92648774795799305</v>
      </c>
      <c r="AI115" s="392">
        <f t="shared" si="3"/>
        <v>0.8749128919860627</v>
      </c>
    </row>
    <row r="116" spans="19:35" x14ac:dyDescent="0.25">
      <c r="S116" s="518">
        <v>45332</v>
      </c>
      <c r="T116" s="367">
        <v>16</v>
      </c>
      <c r="U116" s="367">
        <v>16.22</v>
      </c>
      <c r="V116" s="367">
        <v>15.6</v>
      </c>
      <c r="W116" s="367">
        <v>15.74</v>
      </c>
      <c r="X116" s="516">
        <v>15.74</v>
      </c>
      <c r="Y116" s="515">
        <v>83132</v>
      </c>
      <c r="Z116" s="367">
        <v>50.12</v>
      </c>
      <c r="AA116" s="367">
        <v>51.6</v>
      </c>
      <c r="AB116" s="367">
        <v>48.85</v>
      </c>
      <c r="AC116" s="367">
        <v>49.13</v>
      </c>
      <c r="AD116" s="516">
        <v>49.13</v>
      </c>
      <c r="AE116" s="515">
        <v>534300</v>
      </c>
      <c r="AF116" s="392">
        <f t="shared" si="4"/>
        <v>0.45100286532951289</v>
      </c>
      <c r="AG116" s="392">
        <f t="shared" si="5"/>
        <v>1.0455416045967227</v>
      </c>
      <c r="AH116" s="392">
        <f t="shared" si="2"/>
        <v>0.91831971995332551</v>
      </c>
      <c r="AI116" s="392">
        <f t="shared" si="3"/>
        <v>0.85592334494773525</v>
      </c>
    </row>
    <row r="117" spans="19:35" x14ac:dyDescent="0.25">
      <c r="S117" s="518">
        <v>45339</v>
      </c>
      <c r="T117" s="367">
        <v>15.84</v>
      </c>
      <c r="U117" s="367">
        <v>15.98</v>
      </c>
      <c r="V117" s="367">
        <v>15.2</v>
      </c>
      <c r="W117" s="367">
        <v>15.54</v>
      </c>
      <c r="X117" s="516">
        <v>15.54</v>
      </c>
      <c r="Y117" s="515">
        <v>105720</v>
      </c>
      <c r="Z117" s="367">
        <v>48.63</v>
      </c>
      <c r="AA117" s="367">
        <v>49.49</v>
      </c>
      <c r="AB117" s="367">
        <v>48.46</v>
      </c>
      <c r="AC117" s="367">
        <v>48.82</v>
      </c>
      <c r="AD117" s="516">
        <v>48.82</v>
      </c>
      <c r="AE117" s="515">
        <v>282200</v>
      </c>
      <c r="AF117" s="392">
        <f t="shared" si="4"/>
        <v>0.44527220630372494</v>
      </c>
      <c r="AG117" s="392">
        <f t="shared" si="5"/>
        <v>1.0389444562672909</v>
      </c>
      <c r="AH117" s="392">
        <f t="shared" si="2"/>
        <v>0.90665110851808628</v>
      </c>
      <c r="AI117" s="392">
        <f t="shared" si="3"/>
        <v>0.85052264808362377</v>
      </c>
    </row>
    <row r="118" spans="19:35" x14ac:dyDescent="0.25">
      <c r="S118" s="518">
        <v>45346</v>
      </c>
      <c r="T118" s="367">
        <v>15.64</v>
      </c>
      <c r="U118" s="367">
        <v>15.7</v>
      </c>
      <c r="V118" s="367">
        <v>15.28</v>
      </c>
      <c r="W118" s="367">
        <v>15.48</v>
      </c>
      <c r="X118" s="516">
        <v>15.48</v>
      </c>
      <c r="Y118" s="515">
        <v>70157</v>
      </c>
      <c r="Z118" s="367">
        <v>48.66</v>
      </c>
      <c r="AA118" s="367">
        <v>49.24</v>
      </c>
      <c r="AB118" s="367">
        <v>47.53</v>
      </c>
      <c r="AC118" s="367">
        <v>48.5</v>
      </c>
      <c r="AD118" s="516">
        <v>48.5</v>
      </c>
      <c r="AE118" s="515">
        <v>451200</v>
      </c>
      <c r="AF118" s="392">
        <f t="shared" si="4"/>
        <v>0.44355300859598856</v>
      </c>
      <c r="AG118" s="392">
        <f t="shared" si="5"/>
        <v>1.0321344967014259</v>
      </c>
      <c r="AH118" s="392">
        <f t="shared" si="2"/>
        <v>0.90315052508751459</v>
      </c>
      <c r="AI118" s="392">
        <f t="shared" si="3"/>
        <v>0.84494773519163768</v>
      </c>
    </row>
    <row r="119" spans="19:35" x14ac:dyDescent="0.25">
      <c r="S119" s="518">
        <v>45353</v>
      </c>
      <c r="T119" s="367">
        <v>15.36</v>
      </c>
      <c r="U119" s="367">
        <v>16.420000000000002</v>
      </c>
      <c r="V119" s="367">
        <v>15.1</v>
      </c>
      <c r="W119" s="367">
        <v>16.260000000000002</v>
      </c>
      <c r="X119" s="516">
        <v>16.260000000000002</v>
      </c>
      <c r="Y119" s="515">
        <v>87019</v>
      </c>
      <c r="Z119" s="367">
        <v>48.56</v>
      </c>
      <c r="AA119" s="367">
        <v>50.31</v>
      </c>
      <c r="AB119" s="367">
        <v>47.87</v>
      </c>
      <c r="AC119" s="367">
        <v>49.64</v>
      </c>
      <c r="AD119" s="516">
        <v>49.64</v>
      </c>
      <c r="AE119" s="515">
        <v>403000</v>
      </c>
      <c r="AF119" s="392">
        <f t="shared" si="4"/>
        <v>0.46590257879656166</v>
      </c>
      <c r="AG119" s="392">
        <f t="shared" si="5"/>
        <v>1.05639497765482</v>
      </c>
      <c r="AH119" s="392">
        <f t="shared" si="2"/>
        <v>0.94865810968494757</v>
      </c>
      <c r="AI119" s="392">
        <f t="shared" si="3"/>
        <v>0.864808362369338</v>
      </c>
    </row>
    <row r="120" spans="19:35" x14ac:dyDescent="0.25">
      <c r="S120" s="518">
        <v>45360</v>
      </c>
      <c r="T120" s="367">
        <v>16.3</v>
      </c>
      <c r="U120" s="367">
        <v>17.5</v>
      </c>
      <c r="V120" s="367">
        <v>16.12</v>
      </c>
      <c r="W120" s="367">
        <v>16.72</v>
      </c>
      <c r="X120" s="516">
        <v>16.72</v>
      </c>
      <c r="Y120" s="515">
        <v>133584</v>
      </c>
      <c r="Z120" s="367">
        <v>49.53</v>
      </c>
      <c r="AA120" s="367">
        <v>50.95</v>
      </c>
      <c r="AB120" s="367">
        <v>49.2</v>
      </c>
      <c r="AC120" s="367">
        <v>50.25</v>
      </c>
      <c r="AD120" s="516">
        <v>50.25</v>
      </c>
      <c r="AE120" s="515">
        <v>527900</v>
      </c>
      <c r="AF120" s="392">
        <f t="shared" si="4"/>
        <v>0.47908309455587389</v>
      </c>
      <c r="AG120" s="392">
        <f t="shared" si="5"/>
        <v>1.0693764630772504</v>
      </c>
      <c r="AH120" s="392">
        <f t="shared" si="2"/>
        <v>0.97549591598599761</v>
      </c>
      <c r="AI120" s="392">
        <f t="shared" si="3"/>
        <v>0.87543554006968638</v>
      </c>
    </row>
    <row r="121" spans="19:35" x14ac:dyDescent="0.25">
      <c r="S121" s="518">
        <v>45367</v>
      </c>
      <c r="T121" s="367">
        <v>16.62</v>
      </c>
      <c r="U121" s="367">
        <v>17</v>
      </c>
      <c r="V121" s="367">
        <v>16.2</v>
      </c>
      <c r="W121" s="367">
        <v>16.48</v>
      </c>
      <c r="X121" s="516">
        <v>16.48</v>
      </c>
      <c r="Y121" s="515">
        <v>141276</v>
      </c>
      <c r="Z121" s="367">
        <v>50.18</v>
      </c>
      <c r="AA121" s="367">
        <v>51.49</v>
      </c>
      <c r="AB121" s="367">
        <v>49.58</v>
      </c>
      <c r="AC121" s="367">
        <v>50.16</v>
      </c>
      <c r="AD121" s="516">
        <v>50.16</v>
      </c>
      <c r="AE121" s="515">
        <v>334300</v>
      </c>
      <c r="AF121" s="392">
        <f t="shared" si="4"/>
        <v>0.47220630372492839</v>
      </c>
      <c r="AG121" s="392">
        <f t="shared" si="5"/>
        <v>1.0674611619493508</v>
      </c>
      <c r="AH121" s="392">
        <f t="shared" si="2"/>
        <v>0.96149358226371062</v>
      </c>
      <c r="AI121" s="392">
        <f t="shared" si="3"/>
        <v>0.87386759581881535</v>
      </c>
    </row>
    <row r="122" spans="19:35" x14ac:dyDescent="0.25">
      <c r="S122" s="518">
        <v>45374</v>
      </c>
      <c r="T122" s="367">
        <v>16.48</v>
      </c>
      <c r="U122" s="367">
        <v>17.18</v>
      </c>
      <c r="V122" s="367">
        <v>16.32</v>
      </c>
      <c r="W122" s="367">
        <v>16.899999999999999</v>
      </c>
      <c r="X122" s="516">
        <v>16.899999999999999</v>
      </c>
      <c r="Y122" s="515">
        <v>131278</v>
      </c>
      <c r="Z122" s="367">
        <v>50.37</v>
      </c>
      <c r="AA122" s="367">
        <v>51.31</v>
      </c>
      <c r="AB122" s="367">
        <v>49.37</v>
      </c>
      <c r="AC122" s="367">
        <v>51.3</v>
      </c>
      <c r="AD122" s="516">
        <v>51.3</v>
      </c>
      <c r="AE122" s="515">
        <v>259600</v>
      </c>
      <c r="AF122" s="392">
        <f t="shared" si="4"/>
        <v>0.48424068767908307</v>
      </c>
      <c r="AG122" s="392">
        <f t="shared" si="5"/>
        <v>1.0917216429027452</v>
      </c>
      <c r="AH122" s="392">
        <f t="shared" si="2"/>
        <v>0.98599766627771279</v>
      </c>
      <c r="AI122" s="392">
        <f t="shared" si="3"/>
        <v>0.89372822299651566</v>
      </c>
    </row>
    <row r="123" spans="19:35" x14ac:dyDescent="0.25">
      <c r="S123" s="518">
        <v>45381</v>
      </c>
      <c r="T123" s="367">
        <v>16.86</v>
      </c>
      <c r="U123" s="367">
        <v>18.64</v>
      </c>
      <c r="V123" s="367">
        <v>16.86</v>
      </c>
      <c r="W123" s="367">
        <v>18.16</v>
      </c>
      <c r="X123" s="516">
        <v>18.16</v>
      </c>
      <c r="Y123" s="515">
        <v>290810</v>
      </c>
      <c r="Z123" s="367">
        <v>51.56</v>
      </c>
      <c r="AA123" s="367">
        <v>51.56</v>
      </c>
      <c r="AB123" s="367">
        <v>48.21</v>
      </c>
      <c r="AC123" s="367">
        <v>48.58</v>
      </c>
      <c r="AD123" s="516">
        <v>48.58</v>
      </c>
      <c r="AE123" s="515">
        <v>336800</v>
      </c>
      <c r="AF123" s="392">
        <f t="shared" si="4"/>
        <v>0.52034383954154728</v>
      </c>
      <c r="AG123" s="392">
        <f t="shared" si="5"/>
        <v>1.033836986592892</v>
      </c>
      <c r="AH123" s="392">
        <f t="shared" si="2"/>
        <v>1.0595099183197199</v>
      </c>
      <c r="AI123" s="392">
        <f t="shared" si="3"/>
        <v>0.84634146341463412</v>
      </c>
    </row>
    <row r="124" spans="19:35" x14ac:dyDescent="0.25">
      <c r="S124" s="518">
        <v>45388</v>
      </c>
      <c r="T124" s="367">
        <v>18.38</v>
      </c>
      <c r="U124" s="367">
        <v>18.48</v>
      </c>
      <c r="V124" s="367">
        <v>17.100000000000001</v>
      </c>
      <c r="W124" s="367">
        <v>17.7</v>
      </c>
      <c r="X124" s="516">
        <v>17.7</v>
      </c>
      <c r="Y124" s="515">
        <v>181643</v>
      </c>
      <c r="Z124" s="367">
        <v>57.65</v>
      </c>
      <c r="AA124" s="367">
        <v>58.19</v>
      </c>
      <c r="AB124" s="367">
        <v>54.69</v>
      </c>
      <c r="AC124" s="367">
        <v>54.84</v>
      </c>
      <c r="AD124" s="516">
        <v>54.84</v>
      </c>
      <c r="AE124" s="515">
        <v>1373500</v>
      </c>
      <c r="AF124" s="392">
        <f t="shared" si="4"/>
        <v>0.50716332378223494</v>
      </c>
      <c r="AG124" s="392">
        <f t="shared" si="5"/>
        <v>1.1670568206001277</v>
      </c>
      <c r="AH124" s="392">
        <f t="shared" ref="AH124:AH187" si="6">X124/$X$59</f>
        <v>1.0326721120186697</v>
      </c>
      <c r="AI124" s="392">
        <f t="shared" ref="AI124:AI187" si="7">AD124/$AD$59</f>
        <v>0.95540069686411155</v>
      </c>
    </row>
    <row r="125" spans="19:35" x14ac:dyDescent="0.25">
      <c r="S125" s="518">
        <v>45395</v>
      </c>
      <c r="T125" s="367">
        <v>17.579999999999998</v>
      </c>
      <c r="U125" s="367">
        <v>17.78</v>
      </c>
      <c r="V125" s="367">
        <v>16.66</v>
      </c>
      <c r="W125" s="367">
        <v>16.7</v>
      </c>
      <c r="X125" s="516">
        <v>16.7</v>
      </c>
      <c r="Y125" s="515">
        <v>186510</v>
      </c>
      <c r="Z125" s="367">
        <v>55.56</v>
      </c>
      <c r="AA125" s="367">
        <v>55.8</v>
      </c>
      <c r="AB125" s="367">
        <v>51.39</v>
      </c>
      <c r="AC125" s="367">
        <v>52.02</v>
      </c>
      <c r="AD125" s="516">
        <v>52.02</v>
      </c>
      <c r="AE125" s="515">
        <v>538500</v>
      </c>
      <c r="AF125" s="392">
        <f t="shared" si="4"/>
        <v>0.47851002865329512</v>
      </c>
      <c r="AG125" s="392">
        <f t="shared" si="5"/>
        <v>1.1070440519259417</v>
      </c>
      <c r="AH125" s="392">
        <f t="shared" si="6"/>
        <v>0.97432905484247367</v>
      </c>
      <c r="AI125" s="392">
        <f t="shared" si="7"/>
        <v>0.90627177700348438</v>
      </c>
    </row>
    <row r="126" spans="19:35" x14ac:dyDescent="0.25">
      <c r="S126" s="518">
        <v>45402</v>
      </c>
      <c r="T126" s="367">
        <v>16.739999999999998</v>
      </c>
      <c r="U126" s="367">
        <v>17.52</v>
      </c>
      <c r="V126" s="367">
        <v>15.82</v>
      </c>
      <c r="W126" s="367">
        <v>17.34</v>
      </c>
      <c r="X126" s="516">
        <v>17.34</v>
      </c>
      <c r="Y126" s="515">
        <v>227981</v>
      </c>
      <c r="Z126" s="367">
        <v>52.29</v>
      </c>
      <c r="AA126" s="367">
        <v>54.66</v>
      </c>
      <c r="AB126" s="367">
        <v>52.15</v>
      </c>
      <c r="AC126" s="367">
        <v>53.94</v>
      </c>
      <c r="AD126" s="516">
        <v>53.94</v>
      </c>
      <c r="AE126" s="515">
        <v>441000</v>
      </c>
      <c r="AF126" s="392">
        <f t="shared" si="4"/>
        <v>0.49684813753581664</v>
      </c>
      <c r="AG126" s="392">
        <f t="shared" si="5"/>
        <v>1.147903809321132</v>
      </c>
      <c r="AH126" s="392">
        <f t="shared" si="6"/>
        <v>1.0116686114352391</v>
      </c>
      <c r="AI126" s="392">
        <f t="shared" si="7"/>
        <v>0.93972125435540066</v>
      </c>
    </row>
    <row r="127" spans="19:35" x14ac:dyDescent="0.25">
      <c r="S127" s="518">
        <v>45409</v>
      </c>
      <c r="T127" s="367">
        <v>17.34</v>
      </c>
      <c r="U127" s="367">
        <v>18.420000000000002</v>
      </c>
      <c r="V127" s="367">
        <v>17.34</v>
      </c>
      <c r="W127" s="367">
        <v>18.14</v>
      </c>
      <c r="X127" s="516">
        <v>18.14</v>
      </c>
      <c r="Y127" s="515">
        <v>121437</v>
      </c>
      <c r="Z127" s="367">
        <v>54.14</v>
      </c>
      <c r="AA127" s="367">
        <v>55.9</v>
      </c>
      <c r="AB127" s="367">
        <v>54.01</v>
      </c>
      <c r="AC127" s="367">
        <v>55.9</v>
      </c>
      <c r="AD127" s="516">
        <v>55.9</v>
      </c>
      <c r="AE127" s="515">
        <v>263300</v>
      </c>
      <c r="AF127" s="392">
        <f t="shared" si="4"/>
        <v>0.51977077363896851</v>
      </c>
      <c r="AG127" s="392">
        <f t="shared" si="5"/>
        <v>1.1896148116620557</v>
      </c>
      <c r="AH127" s="392">
        <f t="shared" si="6"/>
        <v>1.058343057176196</v>
      </c>
      <c r="AI127" s="392">
        <f t="shared" si="7"/>
        <v>0.97386759581881532</v>
      </c>
    </row>
    <row r="128" spans="19:35" x14ac:dyDescent="0.25">
      <c r="S128" s="518">
        <v>45416</v>
      </c>
      <c r="T128" s="367">
        <v>18.260000000000002</v>
      </c>
      <c r="U128" s="367">
        <v>19.899999999999999</v>
      </c>
      <c r="V128" s="367">
        <v>18</v>
      </c>
      <c r="W128" s="367">
        <v>18.579999999999998</v>
      </c>
      <c r="X128" s="516">
        <v>18.579999999999998</v>
      </c>
      <c r="Y128" s="515">
        <v>268286</v>
      </c>
      <c r="Z128" s="367">
        <v>56.24</v>
      </c>
      <c r="AA128" s="367">
        <v>60</v>
      </c>
      <c r="AB128" s="367">
        <v>55.18</v>
      </c>
      <c r="AC128" s="367">
        <v>57.55</v>
      </c>
      <c r="AD128" s="516">
        <v>57.55</v>
      </c>
      <c r="AE128" s="515">
        <v>536800</v>
      </c>
      <c r="AF128" s="392">
        <f t="shared" si="4"/>
        <v>0.53237822349570196</v>
      </c>
      <c r="AG128" s="392">
        <f t="shared" si="5"/>
        <v>1.2247286656735474</v>
      </c>
      <c r="AH128" s="392">
        <f t="shared" si="6"/>
        <v>1.0840140023337221</v>
      </c>
      <c r="AI128" s="392">
        <f t="shared" si="7"/>
        <v>1.0026132404181185</v>
      </c>
    </row>
    <row r="129" spans="19:35" x14ac:dyDescent="0.25">
      <c r="S129" s="518">
        <v>45423</v>
      </c>
      <c r="T129" s="367">
        <v>18.46</v>
      </c>
      <c r="U129" s="367">
        <v>19.88</v>
      </c>
      <c r="V129" s="367">
        <v>18.46</v>
      </c>
      <c r="W129" s="367">
        <v>19.32</v>
      </c>
      <c r="X129" s="516">
        <v>19.32</v>
      </c>
      <c r="Y129" s="515">
        <v>180085</v>
      </c>
      <c r="Z129" s="367">
        <v>57.8</v>
      </c>
      <c r="AA129" s="367">
        <v>58.2</v>
      </c>
      <c r="AB129" s="367">
        <v>56.36</v>
      </c>
      <c r="AC129" s="367">
        <v>58.11</v>
      </c>
      <c r="AD129" s="516">
        <v>58.11</v>
      </c>
      <c r="AE129" s="515">
        <v>299000</v>
      </c>
      <c r="AF129" s="392">
        <f t="shared" si="4"/>
        <v>0.55358166189111746</v>
      </c>
      <c r="AG129" s="392">
        <f t="shared" si="5"/>
        <v>1.2366460949138114</v>
      </c>
      <c r="AH129" s="392">
        <f t="shared" si="6"/>
        <v>1.1271878646441074</v>
      </c>
      <c r="AI129" s="392">
        <f t="shared" si="7"/>
        <v>1.0123693379790941</v>
      </c>
    </row>
    <row r="130" spans="19:35" x14ac:dyDescent="0.25">
      <c r="S130" s="518">
        <v>45430</v>
      </c>
      <c r="T130" s="367">
        <v>19.399999999999999</v>
      </c>
      <c r="U130" s="367">
        <v>19.78</v>
      </c>
      <c r="V130" s="367">
        <v>19.04</v>
      </c>
      <c r="W130" s="367">
        <v>19.420000000000002</v>
      </c>
      <c r="X130" s="516">
        <v>19.420000000000002</v>
      </c>
      <c r="Y130" s="515">
        <v>148710</v>
      </c>
      <c r="Z130" s="367">
        <v>57.92</v>
      </c>
      <c r="AA130" s="367">
        <v>58.8</v>
      </c>
      <c r="AB130" s="367">
        <v>57.57</v>
      </c>
      <c r="AC130" s="367">
        <v>58.47</v>
      </c>
      <c r="AD130" s="516">
        <v>58.47</v>
      </c>
      <c r="AE130" s="515">
        <v>387900</v>
      </c>
      <c r="AF130" s="392">
        <f t="shared" si="4"/>
        <v>0.55644699140401155</v>
      </c>
      <c r="AG130" s="392">
        <f t="shared" si="5"/>
        <v>1.2443072994254096</v>
      </c>
      <c r="AH130" s="392">
        <f t="shared" si="6"/>
        <v>1.1330221703617269</v>
      </c>
      <c r="AI130" s="392">
        <f t="shared" si="7"/>
        <v>1.0186411149825785</v>
      </c>
    </row>
    <row r="131" spans="19:35" x14ac:dyDescent="0.25">
      <c r="S131" s="518">
        <v>45437</v>
      </c>
      <c r="T131" s="367">
        <v>19.48</v>
      </c>
      <c r="U131" s="367">
        <v>19.64</v>
      </c>
      <c r="V131" s="367">
        <v>18.96</v>
      </c>
      <c r="W131" s="367">
        <v>19.600000000000001</v>
      </c>
      <c r="X131" s="516">
        <v>19.600000000000001</v>
      </c>
      <c r="Y131" s="515">
        <v>145255</v>
      </c>
      <c r="Z131" s="367">
        <v>58.45</v>
      </c>
      <c r="AA131" s="367">
        <v>58.75</v>
      </c>
      <c r="AB131" s="367">
        <v>56.97</v>
      </c>
      <c r="AC131" s="367">
        <v>58.18</v>
      </c>
      <c r="AD131" s="516">
        <v>58.18</v>
      </c>
      <c r="AE131" s="515">
        <v>213400</v>
      </c>
      <c r="AF131" s="392">
        <f t="shared" si="4"/>
        <v>0.56160458452722073</v>
      </c>
      <c r="AG131" s="392">
        <f t="shared" si="5"/>
        <v>1.2381357735688443</v>
      </c>
      <c r="AH131" s="392">
        <f t="shared" si="6"/>
        <v>1.1435239206534422</v>
      </c>
      <c r="AI131" s="392">
        <f t="shared" si="7"/>
        <v>1.0135888501742161</v>
      </c>
    </row>
    <row r="132" spans="19:35" x14ac:dyDescent="0.25">
      <c r="S132" s="518">
        <v>45444</v>
      </c>
      <c r="T132" s="367">
        <v>19.5</v>
      </c>
      <c r="U132" s="367">
        <v>19.88</v>
      </c>
      <c r="V132" s="367">
        <v>18.68</v>
      </c>
      <c r="W132" s="367">
        <v>19.52</v>
      </c>
      <c r="X132" s="516">
        <v>19.52</v>
      </c>
      <c r="Y132" s="515">
        <v>207814</v>
      </c>
      <c r="Z132" s="367">
        <v>58.17</v>
      </c>
      <c r="AA132" s="367">
        <v>59.6</v>
      </c>
      <c r="AB132" s="367">
        <v>57.91</v>
      </c>
      <c r="AC132" s="367">
        <v>57.98</v>
      </c>
      <c r="AD132" s="516">
        <v>57.98</v>
      </c>
      <c r="AE132" s="515">
        <v>218200</v>
      </c>
      <c r="AF132" s="392">
        <f t="shared" si="4"/>
        <v>0.55931232091690541</v>
      </c>
      <c r="AG132" s="392">
        <f t="shared" si="5"/>
        <v>1.2338795488401786</v>
      </c>
      <c r="AH132" s="392">
        <f t="shared" si="6"/>
        <v>1.1388564760793465</v>
      </c>
      <c r="AI132" s="392">
        <f t="shared" si="7"/>
        <v>1.0101045296167248</v>
      </c>
    </row>
    <row r="133" spans="19:35" x14ac:dyDescent="0.25">
      <c r="S133" s="518">
        <v>45451</v>
      </c>
      <c r="T133" s="367">
        <v>19.46</v>
      </c>
      <c r="U133" s="367">
        <v>19.8</v>
      </c>
      <c r="V133" s="367">
        <v>18.8</v>
      </c>
      <c r="W133" s="367">
        <v>19.28</v>
      </c>
      <c r="X133" s="516">
        <v>19.28</v>
      </c>
      <c r="Y133" s="515">
        <v>144109</v>
      </c>
      <c r="Z133" s="367">
        <v>57.51</v>
      </c>
      <c r="AA133" s="367">
        <v>59.33</v>
      </c>
      <c r="AB133" s="367">
        <v>56.07</v>
      </c>
      <c r="AC133" s="367">
        <v>56.8</v>
      </c>
      <c r="AD133" s="516">
        <v>56.8</v>
      </c>
      <c r="AE133" s="515">
        <v>232100</v>
      </c>
      <c r="AF133" s="392">
        <f t="shared" si="4"/>
        <v>0.55243553008595991</v>
      </c>
      <c r="AG133" s="392">
        <f t="shared" si="5"/>
        <v>1.2087678229410512</v>
      </c>
      <c r="AH133" s="392">
        <f t="shared" si="6"/>
        <v>1.1248541423570595</v>
      </c>
      <c r="AI133" s="392">
        <f t="shared" si="7"/>
        <v>0.98954703832752611</v>
      </c>
    </row>
    <row r="134" spans="19:35" x14ac:dyDescent="0.25">
      <c r="S134" s="518">
        <v>45458</v>
      </c>
      <c r="T134" s="367">
        <v>19.28</v>
      </c>
      <c r="U134" s="367">
        <v>19.420000000000002</v>
      </c>
      <c r="V134" s="367">
        <v>18.96</v>
      </c>
      <c r="W134" s="367">
        <v>19.239999999999998</v>
      </c>
      <c r="X134" s="516">
        <v>19.239999999999998</v>
      </c>
      <c r="Y134" s="515">
        <v>95400</v>
      </c>
      <c r="Z134" s="367">
        <v>56.44</v>
      </c>
      <c r="AA134" s="367">
        <v>58.64</v>
      </c>
      <c r="AB134" s="367">
        <v>56.31</v>
      </c>
      <c r="AC134" s="367">
        <v>58.02</v>
      </c>
      <c r="AD134" s="516">
        <v>58.02</v>
      </c>
      <c r="AE134" s="515">
        <v>557300</v>
      </c>
      <c r="AF134" s="392">
        <f t="shared" si="4"/>
        <v>0.55128939828080226</v>
      </c>
      <c r="AG134" s="392">
        <f t="shared" si="5"/>
        <v>1.234730793785912</v>
      </c>
      <c r="AH134" s="392">
        <f t="shared" si="6"/>
        <v>1.1225204200700116</v>
      </c>
      <c r="AI134" s="392">
        <f t="shared" si="7"/>
        <v>1.010801393728223</v>
      </c>
    </row>
    <row r="135" spans="19:35" x14ac:dyDescent="0.25">
      <c r="S135" s="518">
        <v>45465</v>
      </c>
      <c r="T135" s="367">
        <v>19.18</v>
      </c>
      <c r="U135" s="367">
        <v>19.22</v>
      </c>
      <c r="V135" s="367">
        <v>18.48</v>
      </c>
      <c r="W135" s="367">
        <v>18.72</v>
      </c>
      <c r="X135" s="516">
        <v>18.72</v>
      </c>
      <c r="Y135" s="515">
        <v>105994</v>
      </c>
      <c r="Z135" s="367">
        <v>58.37</v>
      </c>
      <c r="AA135" s="367">
        <v>58.93</v>
      </c>
      <c r="AB135" s="367">
        <v>56.16</v>
      </c>
      <c r="AC135" s="367">
        <v>58.06</v>
      </c>
      <c r="AD135" s="516">
        <v>58.06</v>
      </c>
      <c r="AE135" s="515">
        <v>412000</v>
      </c>
      <c r="AF135" s="392">
        <f t="shared" ref="AF135:AF198" si="8">X135/$X$6</f>
        <v>0.5363896848137536</v>
      </c>
      <c r="AG135" s="392">
        <f t="shared" ref="AG135:AG198" si="9">AD135/$AD$6</f>
        <v>1.235582038731645</v>
      </c>
      <c r="AH135" s="392">
        <f t="shared" si="6"/>
        <v>1.0921820303383896</v>
      </c>
      <c r="AI135" s="392">
        <f t="shared" si="7"/>
        <v>1.0114982578397214</v>
      </c>
    </row>
    <row r="136" spans="19:35" x14ac:dyDescent="0.25">
      <c r="S136" s="518">
        <v>45472</v>
      </c>
      <c r="T136" s="367">
        <v>18.66</v>
      </c>
      <c r="U136" s="367">
        <v>19.8</v>
      </c>
      <c r="V136" s="367">
        <v>18.66</v>
      </c>
      <c r="W136" s="367">
        <v>19.739999999999998</v>
      </c>
      <c r="X136" s="516">
        <v>19.739999999999998</v>
      </c>
      <c r="Y136" s="515">
        <v>54541</v>
      </c>
      <c r="Z136" s="367">
        <v>58.2</v>
      </c>
      <c r="AA136" s="367">
        <v>58.52</v>
      </c>
      <c r="AB136" s="367">
        <v>56.4</v>
      </c>
      <c r="AC136" s="367">
        <v>57.22</v>
      </c>
      <c r="AD136" s="516">
        <v>57.22</v>
      </c>
      <c r="AE136" s="515">
        <v>140700</v>
      </c>
      <c r="AF136" s="392">
        <f t="shared" si="8"/>
        <v>0.56561604584527214</v>
      </c>
      <c r="AG136" s="392">
        <f t="shared" si="9"/>
        <v>1.2177058948712491</v>
      </c>
      <c r="AH136" s="392">
        <f t="shared" si="6"/>
        <v>1.1516919486581096</v>
      </c>
      <c r="AI136" s="392">
        <f t="shared" si="7"/>
        <v>0.99686411149825782</v>
      </c>
    </row>
    <row r="137" spans="19:35" x14ac:dyDescent="0.25">
      <c r="S137" s="518">
        <v>45479</v>
      </c>
      <c r="T137" s="367">
        <v>19.68</v>
      </c>
      <c r="U137" s="367">
        <v>19.899999999999999</v>
      </c>
      <c r="V137" s="367">
        <v>19.14</v>
      </c>
      <c r="W137" s="367">
        <v>19.68</v>
      </c>
      <c r="X137" s="516">
        <v>19.68</v>
      </c>
      <c r="Y137" s="515">
        <v>74737</v>
      </c>
      <c r="Z137" s="367">
        <v>57.59</v>
      </c>
      <c r="AA137" s="367">
        <v>60.82</v>
      </c>
      <c r="AB137" s="367">
        <v>57.52</v>
      </c>
      <c r="AC137" s="367">
        <v>59.64</v>
      </c>
      <c r="AD137" s="516">
        <v>59.64</v>
      </c>
      <c r="AE137" s="515">
        <v>162000</v>
      </c>
      <c r="AF137" s="392">
        <f t="shared" si="8"/>
        <v>0.56389684813753582</v>
      </c>
      <c r="AG137" s="392">
        <f t="shared" si="9"/>
        <v>1.2692062140881037</v>
      </c>
      <c r="AH137" s="392">
        <f t="shared" si="6"/>
        <v>1.148191365227538</v>
      </c>
      <c r="AI137" s="392">
        <f t="shared" si="7"/>
        <v>1.0390243902439025</v>
      </c>
    </row>
    <row r="138" spans="19:35" x14ac:dyDescent="0.25">
      <c r="S138" s="518">
        <v>45486</v>
      </c>
      <c r="T138" s="367">
        <v>19.62</v>
      </c>
      <c r="U138" s="367">
        <v>19.78</v>
      </c>
      <c r="V138" s="367">
        <v>19.440000000000001</v>
      </c>
      <c r="W138" s="367">
        <v>19.600000000000001</v>
      </c>
      <c r="X138" s="516">
        <v>19.600000000000001</v>
      </c>
      <c r="Y138" s="515">
        <v>44236</v>
      </c>
      <c r="Z138" s="367">
        <v>60.18</v>
      </c>
      <c r="AA138" s="367">
        <v>63.22</v>
      </c>
      <c r="AB138" s="367">
        <v>59.89</v>
      </c>
      <c r="AC138" s="367">
        <v>60.38</v>
      </c>
      <c r="AD138" s="516">
        <v>60.38</v>
      </c>
      <c r="AE138" s="515">
        <v>245400</v>
      </c>
      <c r="AF138" s="392">
        <f t="shared" si="8"/>
        <v>0.56160458452722073</v>
      </c>
      <c r="AG138" s="392">
        <f t="shared" si="9"/>
        <v>1.2849542455841669</v>
      </c>
      <c r="AH138" s="392">
        <f t="shared" si="6"/>
        <v>1.1435239206534422</v>
      </c>
      <c r="AI138" s="392">
        <f t="shared" si="7"/>
        <v>1.0519163763066204</v>
      </c>
    </row>
    <row r="139" spans="19:35" x14ac:dyDescent="0.25">
      <c r="S139" s="518">
        <v>45493</v>
      </c>
      <c r="T139" s="367">
        <v>19.54</v>
      </c>
      <c r="U139" s="367">
        <v>19.7</v>
      </c>
      <c r="V139" s="367">
        <v>18.3</v>
      </c>
      <c r="W139" s="367">
        <v>18.62</v>
      </c>
      <c r="X139" s="516">
        <v>18.62</v>
      </c>
      <c r="Y139" s="515">
        <v>75450</v>
      </c>
      <c r="Z139" s="367">
        <v>60.36</v>
      </c>
      <c r="AA139" s="367">
        <v>64.349999999999994</v>
      </c>
      <c r="AB139" s="367">
        <v>59.9</v>
      </c>
      <c r="AC139" s="367">
        <v>64.19</v>
      </c>
      <c r="AD139" s="516">
        <v>64.19</v>
      </c>
      <c r="AE139" s="515">
        <v>243100</v>
      </c>
      <c r="AF139" s="392">
        <f t="shared" si="8"/>
        <v>0.53352435530085962</v>
      </c>
      <c r="AG139" s="392">
        <f t="shared" si="9"/>
        <v>1.3660353266652479</v>
      </c>
      <c r="AH139" s="392">
        <f t="shared" si="6"/>
        <v>1.0863477246207702</v>
      </c>
      <c r="AI139" s="392">
        <f t="shared" si="7"/>
        <v>1.1182926829268292</v>
      </c>
    </row>
    <row r="140" spans="19:35" x14ac:dyDescent="0.25">
      <c r="S140" s="518">
        <v>45500</v>
      </c>
      <c r="T140" s="367">
        <v>18.559999999999999</v>
      </c>
      <c r="U140" s="367">
        <v>19</v>
      </c>
      <c r="V140" s="367">
        <v>18.12</v>
      </c>
      <c r="W140" s="367">
        <v>18.600000000000001</v>
      </c>
      <c r="X140" s="516">
        <v>18.600000000000001</v>
      </c>
      <c r="Y140" s="515">
        <v>52575</v>
      </c>
      <c r="Z140" s="367">
        <v>64.489999999999995</v>
      </c>
      <c r="AA140" s="367">
        <v>65.89</v>
      </c>
      <c r="AB140" s="367">
        <v>59.99</v>
      </c>
      <c r="AC140" s="367">
        <v>60.46</v>
      </c>
      <c r="AD140" s="516">
        <v>60.46</v>
      </c>
      <c r="AE140" s="515">
        <v>191900</v>
      </c>
      <c r="AF140" s="392">
        <f t="shared" si="8"/>
        <v>0.53295128939828085</v>
      </c>
      <c r="AG140" s="392">
        <f t="shared" si="9"/>
        <v>1.2866567354756331</v>
      </c>
      <c r="AH140" s="392">
        <f t="shared" si="6"/>
        <v>1.0851808634772462</v>
      </c>
      <c r="AI140" s="392">
        <f t="shared" si="7"/>
        <v>1.0533101045296167</v>
      </c>
    </row>
    <row r="141" spans="19:35" x14ac:dyDescent="0.25">
      <c r="S141" s="518">
        <v>45507</v>
      </c>
      <c r="T141" s="367">
        <v>17.899999999999999</v>
      </c>
      <c r="U141" s="367">
        <v>19.3</v>
      </c>
      <c r="V141" s="367">
        <v>17.28</v>
      </c>
      <c r="W141" s="367">
        <v>19.2</v>
      </c>
      <c r="X141" s="516">
        <v>19.2</v>
      </c>
      <c r="Y141" s="515">
        <v>128965</v>
      </c>
      <c r="Z141" s="367">
        <v>58.24</v>
      </c>
      <c r="AA141" s="367">
        <v>63.27</v>
      </c>
      <c r="AB141" s="367">
        <v>57.15</v>
      </c>
      <c r="AC141" s="367">
        <v>61.7</v>
      </c>
      <c r="AD141" s="516">
        <v>61.7</v>
      </c>
      <c r="AE141" s="515">
        <v>226900</v>
      </c>
      <c r="AF141" s="392">
        <f t="shared" si="8"/>
        <v>0.55014326647564471</v>
      </c>
      <c r="AG141" s="392">
        <f t="shared" si="9"/>
        <v>1.3130453287933603</v>
      </c>
      <c r="AH141" s="392">
        <f t="shared" si="6"/>
        <v>1.1201866977829638</v>
      </c>
      <c r="AI141" s="392">
        <f t="shared" si="7"/>
        <v>1.0749128919860629</v>
      </c>
    </row>
    <row r="142" spans="19:35" x14ac:dyDescent="0.25">
      <c r="S142" s="518">
        <v>45514</v>
      </c>
      <c r="T142" s="367">
        <v>19.260000000000002</v>
      </c>
      <c r="U142" s="367">
        <v>19.899999999999999</v>
      </c>
      <c r="V142" s="367">
        <v>18.18</v>
      </c>
      <c r="W142" s="367">
        <v>18.399999999999999</v>
      </c>
      <c r="X142" s="516">
        <v>18.399999999999999</v>
      </c>
      <c r="Y142" s="515">
        <v>77163</v>
      </c>
      <c r="Z142" s="367">
        <v>61.98</v>
      </c>
      <c r="AA142" s="367">
        <v>66.13</v>
      </c>
      <c r="AB142" s="367">
        <v>60.11</v>
      </c>
      <c r="AC142" s="367">
        <v>64.239999999999995</v>
      </c>
      <c r="AD142" s="516">
        <v>64.239999999999995</v>
      </c>
      <c r="AE142" s="515">
        <v>330100</v>
      </c>
      <c r="AF142" s="392">
        <f t="shared" si="8"/>
        <v>0.52722063037249278</v>
      </c>
      <c r="AG142" s="392">
        <f t="shared" si="9"/>
        <v>1.3670993828474143</v>
      </c>
      <c r="AH142" s="392">
        <f t="shared" si="6"/>
        <v>1.0735122520420068</v>
      </c>
      <c r="AI142" s="392">
        <f t="shared" si="7"/>
        <v>1.1191637630662021</v>
      </c>
    </row>
    <row r="143" spans="19:35" x14ac:dyDescent="0.25">
      <c r="S143" s="518">
        <v>45521</v>
      </c>
      <c r="T143" s="367">
        <v>18.2</v>
      </c>
      <c r="U143" s="367">
        <v>18.98</v>
      </c>
      <c r="V143" s="367">
        <v>18.2</v>
      </c>
      <c r="W143" s="367">
        <v>18.920000000000002</v>
      </c>
      <c r="X143" s="516">
        <v>18.920000000000002</v>
      </c>
      <c r="Y143" s="515">
        <v>55305</v>
      </c>
      <c r="Z143" s="367">
        <v>64.81</v>
      </c>
      <c r="AA143" s="367">
        <v>65.599999999999994</v>
      </c>
      <c r="AB143" s="367">
        <v>63</v>
      </c>
      <c r="AC143" s="367">
        <v>64.91</v>
      </c>
      <c r="AD143" s="516">
        <v>64.91</v>
      </c>
      <c r="AE143" s="515">
        <v>171300</v>
      </c>
      <c r="AF143" s="392">
        <f t="shared" si="8"/>
        <v>0.54212034383954166</v>
      </c>
      <c r="AG143" s="392">
        <f t="shared" si="9"/>
        <v>1.3813577356884441</v>
      </c>
      <c r="AH143" s="392">
        <f t="shared" si="6"/>
        <v>1.1038506417736289</v>
      </c>
      <c r="AI143" s="392">
        <f t="shared" si="7"/>
        <v>1.1308362369337979</v>
      </c>
    </row>
    <row r="144" spans="19:35" x14ac:dyDescent="0.25">
      <c r="S144" s="518">
        <v>45528</v>
      </c>
      <c r="T144" s="367">
        <v>18.84</v>
      </c>
      <c r="U144" s="367">
        <v>19.3</v>
      </c>
      <c r="V144" s="367">
        <v>18.5</v>
      </c>
      <c r="W144" s="367">
        <v>19.3</v>
      </c>
      <c r="X144" s="516">
        <v>19.3</v>
      </c>
      <c r="Y144" s="515">
        <v>125362</v>
      </c>
      <c r="Z144" s="367">
        <v>65.13</v>
      </c>
      <c r="AA144" s="367">
        <v>65.709999999999994</v>
      </c>
      <c r="AB144" s="367">
        <v>63.33</v>
      </c>
      <c r="AC144" s="367">
        <v>65.08</v>
      </c>
      <c r="AD144" s="516">
        <v>65.08</v>
      </c>
      <c r="AE144" s="515">
        <v>220900</v>
      </c>
      <c r="AF144" s="392">
        <f t="shared" si="8"/>
        <v>0.55300859598853869</v>
      </c>
      <c r="AG144" s="392">
        <f t="shared" si="9"/>
        <v>1.3849755267078101</v>
      </c>
      <c r="AH144" s="392">
        <f t="shared" si="6"/>
        <v>1.1260210035005835</v>
      </c>
      <c r="AI144" s="392">
        <f t="shared" si="7"/>
        <v>1.1337979094076656</v>
      </c>
    </row>
    <row r="145" spans="19:35" x14ac:dyDescent="0.25">
      <c r="S145" s="518">
        <v>45535</v>
      </c>
      <c r="T145" s="367">
        <v>19.059999999999999</v>
      </c>
      <c r="U145" s="367">
        <v>19.600000000000001</v>
      </c>
      <c r="V145" s="367">
        <v>18.8</v>
      </c>
      <c r="W145" s="367">
        <v>18.8</v>
      </c>
      <c r="X145" s="516">
        <v>18.8</v>
      </c>
      <c r="Y145" s="515">
        <v>56542</v>
      </c>
      <c r="Z145" s="367">
        <v>64.48</v>
      </c>
      <c r="AA145" s="367">
        <v>65.180000000000007</v>
      </c>
      <c r="AB145" s="367">
        <v>60.74</v>
      </c>
      <c r="AC145" s="367">
        <v>61.17</v>
      </c>
      <c r="AD145" s="516">
        <v>61.17</v>
      </c>
      <c r="AE145" s="515">
        <v>116800</v>
      </c>
      <c r="AF145" s="392">
        <f t="shared" si="8"/>
        <v>0.5386819484240688</v>
      </c>
      <c r="AG145" s="392">
        <f t="shared" si="9"/>
        <v>1.3017663332623963</v>
      </c>
      <c r="AH145" s="392">
        <f t="shared" si="6"/>
        <v>1.0968494749124855</v>
      </c>
      <c r="AI145" s="392">
        <f t="shared" si="7"/>
        <v>1.0656794425087108</v>
      </c>
    </row>
    <row r="146" spans="19:35" x14ac:dyDescent="0.25">
      <c r="S146" s="518">
        <v>45542</v>
      </c>
      <c r="T146" s="367">
        <v>18.86</v>
      </c>
      <c r="U146" s="367">
        <v>19.399999999999999</v>
      </c>
      <c r="V146" s="367">
        <v>18.8</v>
      </c>
      <c r="W146" s="367">
        <v>19.28</v>
      </c>
      <c r="X146" s="516">
        <v>19.28</v>
      </c>
      <c r="Y146" s="515">
        <v>45189</v>
      </c>
      <c r="Z146" s="367">
        <v>60.95</v>
      </c>
      <c r="AA146" s="367">
        <v>65.290000000000006</v>
      </c>
      <c r="AB146" s="367">
        <v>60.39</v>
      </c>
      <c r="AC146" s="367">
        <v>64.739999999999995</v>
      </c>
      <c r="AD146" s="516">
        <v>64.739999999999995</v>
      </c>
      <c r="AE146" s="515">
        <v>238300</v>
      </c>
      <c r="AF146" s="392">
        <f t="shared" si="8"/>
        <v>0.55243553008595991</v>
      </c>
      <c r="AG146" s="392">
        <f t="shared" si="9"/>
        <v>1.3777399446690783</v>
      </c>
      <c r="AH146" s="392">
        <f t="shared" si="6"/>
        <v>1.1248541423570595</v>
      </c>
      <c r="AI146" s="392">
        <f t="shared" si="7"/>
        <v>1.1278745644599302</v>
      </c>
    </row>
    <row r="147" spans="19:35" x14ac:dyDescent="0.25">
      <c r="S147" s="518">
        <v>45549</v>
      </c>
      <c r="T147" s="367">
        <v>19.22</v>
      </c>
      <c r="U147" s="367">
        <v>19.86</v>
      </c>
      <c r="V147" s="367">
        <v>18.920000000000002</v>
      </c>
      <c r="W147" s="367">
        <v>19.8</v>
      </c>
      <c r="X147" s="516">
        <v>19.8</v>
      </c>
      <c r="Y147" s="515">
        <v>50510</v>
      </c>
      <c r="Z147" s="367">
        <v>64.650000000000006</v>
      </c>
      <c r="AA147" s="367">
        <v>66.77</v>
      </c>
      <c r="AB147" s="367">
        <v>63.88</v>
      </c>
      <c r="AC147" s="367">
        <v>65.17</v>
      </c>
      <c r="AD147" s="516">
        <v>65.17</v>
      </c>
      <c r="AE147" s="515">
        <v>633000</v>
      </c>
      <c r="AF147" s="392">
        <f t="shared" si="8"/>
        <v>0.56733524355300868</v>
      </c>
      <c r="AG147" s="392">
        <f t="shared" si="9"/>
        <v>1.3868908278357097</v>
      </c>
      <c r="AH147" s="392">
        <f t="shared" si="6"/>
        <v>1.1551925320886816</v>
      </c>
      <c r="AI147" s="392">
        <f t="shared" si="7"/>
        <v>1.1353658536585367</v>
      </c>
    </row>
    <row r="148" spans="19:35" x14ac:dyDescent="0.25">
      <c r="S148" s="518">
        <v>45556</v>
      </c>
      <c r="T148" s="367">
        <v>19.52</v>
      </c>
      <c r="U148" s="367">
        <v>21.45</v>
      </c>
      <c r="V148" s="367">
        <v>19.5</v>
      </c>
      <c r="W148" s="367">
        <v>20.149999999999999</v>
      </c>
      <c r="X148" s="516">
        <v>20.149999999999999</v>
      </c>
      <c r="Y148" s="515">
        <v>257186</v>
      </c>
      <c r="Z148" s="367">
        <v>65.45</v>
      </c>
      <c r="AA148" s="367">
        <v>66.7</v>
      </c>
      <c r="AB148" s="367">
        <v>62.88</v>
      </c>
      <c r="AC148" s="367">
        <v>65.09</v>
      </c>
      <c r="AD148" s="516">
        <v>65.09</v>
      </c>
      <c r="AE148" s="515">
        <v>235900</v>
      </c>
      <c r="AF148" s="392">
        <f t="shared" si="8"/>
        <v>0.57736389684813749</v>
      </c>
      <c r="AG148" s="392">
        <f t="shared" si="9"/>
        <v>1.3851883379442436</v>
      </c>
      <c r="AH148" s="392">
        <f t="shared" si="6"/>
        <v>1.1756126021003499</v>
      </c>
      <c r="AI148" s="392">
        <f t="shared" si="7"/>
        <v>1.1339721254355402</v>
      </c>
    </row>
    <row r="149" spans="19:35" x14ac:dyDescent="0.25">
      <c r="S149" s="518">
        <v>45563</v>
      </c>
      <c r="T149" s="367">
        <v>20.05</v>
      </c>
      <c r="U149" s="367">
        <v>20.55</v>
      </c>
      <c r="V149" s="367">
        <v>19.48</v>
      </c>
      <c r="W149" s="367">
        <v>19.600000000000001</v>
      </c>
      <c r="X149" s="516">
        <v>19.600000000000001</v>
      </c>
      <c r="Y149" s="515">
        <v>84395</v>
      </c>
      <c r="Z149" s="367">
        <v>64.739999999999995</v>
      </c>
      <c r="AA149" s="367">
        <v>67.040000000000006</v>
      </c>
      <c r="AB149" s="367">
        <v>64.48</v>
      </c>
      <c r="AC149" s="367">
        <v>65.34</v>
      </c>
      <c r="AD149" s="516">
        <v>65.34</v>
      </c>
      <c r="AE149" s="515">
        <v>177200</v>
      </c>
      <c r="AF149" s="392">
        <f t="shared" si="8"/>
        <v>0.56160458452722073</v>
      </c>
      <c r="AG149" s="392">
        <f t="shared" si="9"/>
        <v>1.3905086188550755</v>
      </c>
      <c r="AH149" s="392">
        <f t="shared" si="6"/>
        <v>1.1435239206534422</v>
      </c>
      <c r="AI149" s="392">
        <f t="shared" si="7"/>
        <v>1.1383275261324042</v>
      </c>
    </row>
    <row r="150" spans="19:35" x14ac:dyDescent="0.25">
      <c r="S150" s="518">
        <v>45570</v>
      </c>
      <c r="T150" s="367">
        <v>19.54</v>
      </c>
      <c r="U150" s="367">
        <v>19.68</v>
      </c>
      <c r="V150" s="367">
        <v>18.02</v>
      </c>
      <c r="W150" s="367">
        <v>18.399999999999999</v>
      </c>
      <c r="X150" s="516">
        <v>18.399999999999999</v>
      </c>
      <c r="Y150" s="515">
        <v>82838</v>
      </c>
      <c r="Z150" s="367">
        <v>64.81</v>
      </c>
      <c r="AA150" s="367">
        <v>64.81</v>
      </c>
      <c r="AB150" s="367">
        <v>62</v>
      </c>
      <c r="AC150" s="367">
        <v>64.73</v>
      </c>
      <c r="AD150" s="516">
        <v>64.73</v>
      </c>
      <c r="AE150" s="515">
        <v>190400</v>
      </c>
      <c r="AF150" s="392">
        <f t="shared" si="8"/>
        <v>0.52722063037249278</v>
      </c>
      <c r="AG150" s="392">
        <f t="shared" si="9"/>
        <v>1.3775271334326453</v>
      </c>
      <c r="AH150" s="392">
        <f t="shared" si="6"/>
        <v>1.0735122520420068</v>
      </c>
      <c r="AI150" s="392">
        <f t="shared" si="7"/>
        <v>1.1277003484320558</v>
      </c>
    </row>
    <row r="151" spans="19:35" x14ac:dyDescent="0.25">
      <c r="S151" s="518">
        <v>45577</v>
      </c>
      <c r="T151" s="367">
        <v>18.420000000000002</v>
      </c>
      <c r="U151" s="367">
        <v>18.760000000000002</v>
      </c>
      <c r="V151" s="367">
        <v>16.16</v>
      </c>
      <c r="W151" s="367">
        <v>16.420000000000002</v>
      </c>
      <c r="X151" s="516">
        <v>16.420000000000002</v>
      </c>
      <c r="Y151" s="515">
        <v>211852</v>
      </c>
      <c r="Z151" s="367">
        <v>64.45</v>
      </c>
      <c r="AA151" s="367">
        <v>66.989999999999995</v>
      </c>
      <c r="AB151" s="367">
        <v>64.25</v>
      </c>
      <c r="AC151" s="367">
        <v>64.81</v>
      </c>
      <c r="AD151" s="516">
        <v>64.81</v>
      </c>
      <c r="AE151" s="515">
        <v>171400</v>
      </c>
      <c r="AF151" s="392">
        <f t="shared" si="8"/>
        <v>0.47048710601719207</v>
      </c>
      <c r="AG151" s="392">
        <f t="shared" si="9"/>
        <v>1.3792296233241115</v>
      </c>
      <c r="AH151" s="392">
        <f t="shared" si="6"/>
        <v>0.95799299883313893</v>
      </c>
      <c r="AI151" s="392">
        <f t="shared" si="7"/>
        <v>1.1290940766550523</v>
      </c>
    </row>
    <row r="152" spans="19:35" x14ac:dyDescent="0.25">
      <c r="S152" s="518">
        <v>45584</v>
      </c>
      <c r="T152" s="367">
        <v>16.32</v>
      </c>
      <c r="U152" s="367">
        <v>16.68</v>
      </c>
      <c r="V152" s="367">
        <v>15.44</v>
      </c>
      <c r="W152" s="367">
        <v>15.66</v>
      </c>
      <c r="X152" s="516">
        <v>15.66</v>
      </c>
      <c r="Y152" s="515">
        <v>112179</v>
      </c>
      <c r="Z152" s="367">
        <v>64.69</v>
      </c>
      <c r="AA152" s="367">
        <v>64.8</v>
      </c>
      <c r="AB152" s="367">
        <v>61.16</v>
      </c>
      <c r="AC152" s="367">
        <v>62</v>
      </c>
      <c r="AD152" s="516">
        <v>62</v>
      </c>
      <c r="AE152" s="515">
        <v>153400</v>
      </c>
      <c r="AF152" s="392">
        <f t="shared" si="8"/>
        <v>0.44871060171919774</v>
      </c>
      <c r="AG152" s="392">
        <f t="shared" si="9"/>
        <v>1.3194296658863587</v>
      </c>
      <c r="AH152" s="392">
        <f t="shared" si="6"/>
        <v>0.91365227537922988</v>
      </c>
      <c r="AI152" s="392">
        <f t="shared" si="7"/>
        <v>1.0801393728222997</v>
      </c>
    </row>
    <row r="153" spans="19:35" x14ac:dyDescent="0.25">
      <c r="S153" s="518">
        <v>45591</v>
      </c>
      <c r="T153" s="367">
        <v>15.72</v>
      </c>
      <c r="U153" s="367">
        <v>15.8</v>
      </c>
      <c r="V153" s="367">
        <v>14.98</v>
      </c>
      <c r="W153" s="367">
        <v>15.02</v>
      </c>
      <c r="X153" s="516">
        <v>15.02</v>
      </c>
      <c r="Y153" s="515">
        <v>59515</v>
      </c>
      <c r="Z153" s="367">
        <v>62.16</v>
      </c>
      <c r="AA153" s="367">
        <v>62.92</v>
      </c>
      <c r="AB153" s="367">
        <v>58.72</v>
      </c>
      <c r="AC153" s="367">
        <v>59.23</v>
      </c>
      <c r="AD153" s="516">
        <v>59.23</v>
      </c>
      <c r="AE153" s="515">
        <v>187400</v>
      </c>
      <c r="AF153" s="392">
        <f t="shared" si="8"/>
        <v>0.43037249283667622</v>
      </c>
      <c r="AG153" s="392">
        <f t="shared" si="9"/>
        <v>1.2604809533943391</v>
      </c>
      <c r="AH153" s="392">
        <f t="shared" si="6"/>
        <v>0.87631271878646433</v>
      </c>
      <c r="AI153" s="392">
        <f t="shared" si="7"/>
        <v>1.0318815331010454</v>
      </c>
    </row>
    <row r="154" spans="19:35" x14ac:dyDescent="0.25">
      <c r="S154" s="518">
        <v>45598</v>
      </c>
      <c r="T154" s="367">
        <v>14.96</v>
      </c>
      <c r="U154" s="367">
        <v>15.62</v>
      </c>
      <c r="V154" s="367">
        <v>14.82</v>
      </c>
      <c r="W154" s="367">
        <v>15.62</v>
      </c>
      <c r="X154" s="516">
        <v>15.62</v>
      </c>
      <c r="Y154" s="515">
        <v>63552</v>
      </c>
      <c r="Z154" s="367">
        <v>59.23</v>
      </c>
      <c r="AA154" s="367">
        <v>70</v>
      </c>
      <c r="AB154" s="367">
        <v>59.23</v>
      </c>
      <c r="AC154" s="367">
        <v>68.08</v>
      </c>
      <c r="AD154" s="516">
        <v>68.08</v>
      </c>
      <c r="AE154" s="515">
        <v>728600</v>
      </c>
      <c r="AF154" s="392">
        <f t="shared" si="8"/>
        <v>0.44756446991404009</v>
      </c>
      <c r="AG154" s="392">
        <f t="shared" si="9"/>
        <v>1.4488188976377951</v>
      </c>
      <c r="AH154" s="392">
        <f t="shared" si="6"/>
        <v>0.9113185530921819</v>
      </c>
      <c r="AI154" s="392">
        <f t="shared" si="7"/>
        <v>1.1860627177700349</v>
      </c>
    </row>
    <row r="155" spans="19:35" x14ac:dyDescent="0.25">
      <c r="S155" s="518">
        <v>45605</v>
      </c>
      <c r="T155" s="367">
        <v>15.72</v>
      </c>
      <c r="U155" s="367">
        <v>16.32</v>
      </c>
      <c r="V155" s="367">
        <v>14.2</v>
      </c>
      <c r="W155" s="367">
        <v>15.1</v>
      </c>
      <c r="X155" s="516">
        <v>15.1</v>
      </c>
      <c r="Y155" s="515">
        <v>151806</v>
      </c>
      <c r="Z155" s="367">
        <v>69.3</v>
      </c>
      <c r="AA155" s="367">
        <v>70.05</v>
      </c>
      <c r="AB155" s="367">
        <v>66.02</v>
      </c>
      <c r="AC155" s="367">
        <v>66.61</v>
      </c>
      <c r="AD155" s="516">
        <v>66.61</v>
      </c>
      <c r="AE155" s="515">
        <v>976500</v>
      </c>
      <c r="AF155" s="392">
        <f t="shared" si="8"/>
        <v>0.43266475644699143</v>
      </c>
      <c r="AG155" s="392">
        <f t="shared" si="9"/>
        <v>1.4175356458821025</v>
      </c>
      <c r="AH155" s="392">
        <f t="shared" si="6"/>
        <v>0.88098016336056006</v>
      </c>
      <c r="AI155" s="392">
        <f t="shared" si="7"/>
        <v>1.1604529616724739</v>
      </c>
    </row>
    <row r="156" spans="19:35" x14ac:dyDescent="0.25">
      <c r="S156" s="518">
        <v>45612</v>
      </c>
      <c r="T156" s="367">
        <v>15.18</v>
      </c>
      <c r="U156" s="367">
        <v>15.54</v>
      </c>
      <c r="V156" s="367">
        <v>14.9</v>
      </c>
      <c r="W156" s="367">
        <v>15.06</v>
      </c>
      <c r="X156" s="516">
        <v>15.06</v>
      </c>
      <c r="Y156" s="515">
        <v>87404</v>
      </c>
      <c r="Z156" s="367">
        <v>66.56</v>
      </c>
      <c r="AA156" s="367">
        <v>67.12</v>
      </c>
      <c r="AB156" s="367">
        <v>64.84</v>
      </c>
      <c r="AC156" s="367">
        <v>66.28</v>
      </c>
      <c r="AD156" s="516">
        <v>66.28</v>
      </c>
      <c r="AE156" s="515">
        <v>574800</v>
      </c>
      <c r="AF156" s="392">
        <f t="shared" si="8"/>
        <v>0.43151862464183383</v>
      </c>
      <c r="AG156" s="392">
        <f t="shared" si="9"/>
        <v>1.4105128750798042</v>
      </c>
      <c r="AH156" s="392">
        <f t="shared" si="6"/>
        <v>0.8786464410735122</v>
      </c>
      <c r="AI156" s="392">
        <f t="shared" si="7"/>
        <v>1.1547038327526133</v>
      </c>
    </row>
    <row r="157" spans="19:35" x14ac:dyDescent="0.25">
      <c r="S157" s="518">
        <v>45619</v>
      </c>
      <c r="T157" s="367">
        <v>15.14</v>
      </c>
      <c r="U157" s="367">
        <v>15.6</v>
      </c>
      <c r="V157" s="367">
        <v>15.14</v>
      </c>
      <c r="W157" s="367">
        <v>15.36</v>
      </c>
      <c r="X157" s="516">
        <v>15.36</v>
      </c>
      <c r="Y157" s="515">
        <v>148269</v>
      </c>
      <c r="Z157" s="367">
        <v>67.2</v>
      </c>
      <c r="AA157" s="367">
        <v>68.12</v>
      </c>
      <c r="AB157" s="367">
        <v>65.81</v>
      </c>
      <c r="AC157" s="367">
        <v>67</v>
      </c>
      <c r="AD157" s="516">
        <v>67</v>
      </c>
      <c r="AE157" s="515">
        <v>561000</v>
      </c>
      <c r="AF157" s="392">
        <f t="shared" si="8"/>
        <v>0.44011461318051576</v>
      </c>
      <c r="AG157" s="392">
        <f t="shared" si="9"/>
        <v>1.4258352841030006</v>
      </c>
      <c r="AH157" s="392">
        <f t="shared" si="6"/>
        <v>0.89614935822637098</v>
      </c>
      <c r="AI157" s="392">
        <f t="shared" si="7"/>
        <v>1.1672473867595818</v>
      </c>
    </row>
    <row r="158" spans="19:35" x14ac:dyDescent="0.25">
      <c r="S158" s="518">
        <v>45626</v>
      </c>
      <c r="T158" s="367">
        <v>15.3</v>
      </c>
      <c r="U158" s="367">
        <v>15.42</v>
      </c>
      <c r="V158" s="367">
        <v>14.98</v>
      </c>
      <c r="W158" s="367">
        <v>15.2</v>
      </c>
      <c r="X158" s="516">
        <v>15.2</v>
      </c>
      <c r="Y158" s="515">
        <v>159383</v>
      </c>
      <c r="Z158" s="367">
        <v>67.400000000000006</v>
      </c>
      <c r="AA158" s="367">
        <v>70.5</v>
      </c>
      <c r="AB158" s="367">
        <v>63.5</v>
      </c>
      <c r="AC158" s="367">
        <v>63.67</v>
      </c>
      <c r="AD158" s="516">
        <v>63.67</v>
      </c>
      <c r="AE158" s="515">
        <v>1260800</v>
      </c>
      <c r="AF158" s="392">
        <f t="shared" si="8"/>
        <v>0.4355300859598854</v>
      </c>
      <c r="AG158" s="392">
        <f t="shared" si="9"/>
        <v>1.3549691423707171</v>
      </c>
      <c r="AH158" s="392">
        <f t="shared" si="6"/>
        <v>0.88681446907817962</v>
      </c>
      <c r="AI158" s="392">
        <f t="shared" si="7"/>
        <v>1.1092334494773519</v>
      </c>
    </row>
    <row r="159" spans="19:35" x14ac:dyDescent="0.25">
      <c r="S159" s="518">
        <v>45633</v>
      </c>
      <c r="T159" s="367">
        <v>15.2</v>
      </c>
      <c r="U159" s="367">
        <v>15.34</v>
      </c>
      <c r="V159" s="367">
        <v>14.82</v>
      </c>
      <c r="W159" s="367">
        <v>14.82</v>
      </c>
      <c r="X159" s="516">
        <v>14.82</v>
      </c>
      <c r="Y159" s="515">
        <v>129513</v>
      </c>
      <c r="Z159" s="367">
        <v>63.43</v>
      </c>
      <c r="AA159" s="367">
        <v>66.61</v>
      </c>
      <c r="AB159" s="367">
        <v>60.63</v>
      </c>
      <c r="AC159" s="367">
        <v>63.69</v>
      </c>
      <c r="AD159" s="516">
        <v>63.69</v>
      </c>
      <c r="AE159" s="515">
        <v>622000</v>
      </c>
      <c r="AF159" s="392">
        <f t="shared" si="8"/>
        <v>0.42464183381088827</v>
      </c>
      <c r="AG159" s="392">
        <f t="shared" si="9"/>
        <v>1.3553947648435836</v>
      </c>
      <c r="AH159" s="392">
        <f t="shared" si="6"/>
        <v>0.86464410735122521</v>
      </c>
      <c r="AI159" s="392">
        <f t="shared" si="7"/>
        <v>1.1095818815331011</v>
      </c>
    </row>
    <row r="160" spans="19:35" x14ac:dyDescent="0.25">
      <c r="S160" s="518">
        <v>45640</v>
      </c>
      <c r="T160" s="367">
        <v>14.6</v>
      </c>
      <c r="U160" s="367">
        <v>14.8</v>
      </c>
      <c r="V160" s="367">
        <v>14.04</v>
      </c>
      <c r="W160" s="367">
        <v>14.28</v>
      </c>
      <c r="X160" s="516">
        <v>14.28</v>
      </c>
      <c r="Y160" s="515">
        <v>109653</v>
      </c>
      <c r="Z160" s="367">
        <v>63.77</v>
      </c>
      <c r="AA160" s="367">
        <v>65.3</v>
      </c>
      <c r="AB160" s="367">
        <v>60.27</v>
      </c>
      <c r="AC160" s="367">
        <v>61.89</v>
      </c>
      <c r="AD160" s="516">
        <v>61.89</v>
      </c>
      <c r="AE160" s="515">
        <v>644100</v>
      </c>
      <c r="AF160" s="392">
        <f t="shared" si="8"/>
        <v>0.40916905444126073</v>
      </c>
      <c r="AG160" s="392">
        <f t="shared" si="9"/>
        <v>1.3170887422855926</v>
      </c>
      <c r="AH160" s="392">
        <f t="shared" si="6"/>
        <v>0.83313885647607933</v>
      </c>
      <c r="AI160" s="392">
        <f t="shared" si="7"/>
        <v>1.0782229965156795</v>
      </c>
    </row>
    <row r="161" spans="19:35" x14ac:dyDescent="0.25">
      <c r="S161" s="518">
        <v>45647</v>
      </c>
      <c r="T161" s="367">
        <v>14.34</v>
      </c>
      <c r="U161" s="367">
        <v>14.52</v>
      </c>
      <c r="V161" s="367">
        <v>13.8</v>
      </c>
      <c r="W161" s="367">
        <v>14.46</v>
      </c>
      <c r="X161" s="516">
        <v>14.46</v>
      </c>
      <c r="Y161" s="515">
        <v>84198</v>
      </c>
      <c r="Z161" s="367">
        <v>61.53</v>
      </c>
      <c r="AA161" s="367">
        <v>62.25</v>
      </c>
      <c r="AB161" s="367">
        <v>60.62</v>
      </c>
      <c r="AC161" s="367">
        <v>60.85</v>
      </c>
      <c r="AD161" s="516">
        <v>60.85</v>
      </c>
      <c r="AE161" s="515">
        <v>224200</v>
      </c>
      <c r="AF161" s="392">
        <f t="shared" si="8"/>
        <v>0.41432664756446996</v>
      </c>
      <c r="AG161" s="392">
        <f t="shared" si="9"/>
        <v>1.294956373696531</v>
      </c>
      <c r="AH161" s="392">
        <f t="shared" si="6"/>
        <v>0.84364060676779462</v>
      </c>
      <c r="AI161" s="392">
        <f t="shared" si="7"/>
        <v>1.0601045296167249</v>
      </c>
    </row>
    <row r="162" spans="19:35" x14ac:dyDescent="0.25">
      <c r="S162" s="518">
        <v>45654</v>
      </c>
      <c r="T162" s="367">
        <v>14.28</v>
      </c>
      <c r="U162" s="367">
        <v>14.64</v>
      </c>
      <c r="V162" s="367">
        <v>14.08</v>
      </c>
      <c r="W162" s="367">
        <v>14.64</v>
      </c>
      <c r="X162" s="516">
        <v>14.64</v>
      </c>
      <c r="Y162" s="515">
        <v>31363</v>
      </c>
      <c r="Z162" s="367">
        <v>60.43</v>
      </c>
      <c r="AA162" s="367">
        <v>67.02</v>
      </c>
      <c r="AB162" s="367">
        <v>59.52</v>
      </c>
      <c r="AC162" s="367">
        <v>64.010000000000005</v>
      </c>
      <c r="AD162" s="516">
        <v>64.010000000000005</v>
      </c>
      <c r="AE162" s="515">
        <v>394900</v>
      </c>
      <c r="AF162" s="392">
        <f t="shared" si="8"/>
        <v>0.41948424068767914</v>
      </c>
      <c r="AG162" s="392">
        <f t="shared" si="9"/>
        <v>1.3622047244094488</v>
      </c>
      <c r="AH162" s="392">
        <f t="shared" si="6"/>
        <v>0.85414235705950992</v>
      </c>
      <c r="AI162" s="392">
        <f t="shared" si="7"/>
        <v>1.1151567944250873</v>
      </c>
    </row>
    <row r="163" spans="19:35" x14ac:dyDescent="0.25">
      <c r="S163" s="518">
        <v>45661</v>
      </c>
      <c r="T163" s="367">
        <v>14.7</v>
      </c>
      <c r="U163" s="367">
        <v>15</v>
      </c>
      <c r="V163" s="367">
        <v>14.54</v>
      </c>
      <c r="W163" s="367">
        <v>14.56</v>
      </c>
      <c r="X163" s="516">
        <v>14.56</v>
      </c>
      <c r="Y163" s="515">
        <v>59203</v>
      </c>
      <c r="Z163" s="367">
        <v>64.12</v>
      </c>
      <c r="AA163" s="367">
        <v>65.08</v>
      </c>
      <c r="AB163" s="367">
        <v>62.67</v>
      </c>
      <c r="AC163" s="367">
        <v>64.48</v>
      </c>
      <c r="AD163" s="516">
        <v>64.48</v>
      </c>
      <c r="AE163" s="515">
        <v>307100</v>
      </c>
      <c r="AF163" s="392">
        <f t="shared" si="8"/>
        <v>0.41719197707736394</v>
      </c>
      <c r="AG163" s="392">
        <f t="shared" si="9"/>
        <v>1.3722068525218132</v>
      </c>
      <c r="AH163" s="392">
        <f t="shared" si="6"/>
        <v>0.84947491248541429</v>
      </c>
      <c r="AI163" s="392">
        <f t="shared" si="7"/>
        <v>1.1233449477351918</v>
      </c>
    </row>
    <row r="164" spans="19:35" x14ac:dyDescent="0.25">
      <c r="S164" s="518">
        <v>45668</v>
      </c>
      <c r="T164" s="367">
        <v>14.56</v>
      </c>
      <c r="U164" s="367">
        <v>15.08</v>
      </c>
      <c r="V164" s="367">
        <v>14.14</v>
      </c>
      <c r="W164" s="367">
        <v>14.64</v>
      </c>
      <c r="X164" s="516">
        <v>14.64</v>
      </c>
      <c r="Y164" s="515">
        <v>57440</v>
      </c>
      <c r="Z164" s="367">
        <v>64.06</v>
      </c>
      <c r="AA164" s="367">
        <v>69.150000000000006</v>
      </c>
      <c r="AB164" s="367">
        <v>62.87</v>
      </c>
      <c r="AC164" s="367">
        <v>68.540000000000006</v>
      </c>
      <c r="AD164" s="516">
        <v>68.540000000000006</v>
      </c>
      <c r="AE164" s="515">
        <v>352900</v>
      </c>
      <c r="AF164" s="392">
        <f t="shared" si="8"/>
        <v>0.41948424068767914</v>
      </c>
      <c r="AG164" s="392">
        <f t="shared" si="9"/>
        <v>1.4586082145137265</v>
      </c>
      <c r="AH164" s="392">
        <f t="shared" si="6"/>
        <v>0.85414235705950992</v>
      </c>
      <c r="AI164" s="392">
        <f t="shared" si="7"/>
        <v>1.194076655052265</v>
      </c>
    </row>
    <row r="165" spans="19:35" x14ac:dyDescent="0.25">
      <c r="S165" s="518">
        <v>45675</v>
      </c>
      <c r="T165" s="367">
        <v>14.58</v>
      </c>
      <c r="U165" s="367">
        <v>15.2</v>
      </c>
      <c r="V165" s="367">
        <v>14.54</v>
      </c>
      <c r="W165" s="367">
        <v>14.96</v>
      </c>
      <c r="X165" s="516">
        <v>14.96</v>
      </c>
      <c r="Y165" s="515">
        <v>49460</v>
      </c>
      <c r="Z165" s="367">
        <v>68.900000000000006</v>
      </c>
      <c r="AA165" s="367">
        <v>70.25</v>
      </c>
      <c r="AB165" s="367">
        <v>67.37</v>
      </c>
      <c r="AC165" s="367">
        <v>69.510000000000005</v>
      </c>
      <c r="AD165" s="516">
        <v>69.510000000000005</v>
      </c>
      <c r="AE165" s="515">
        <v>287400</v>
      </c>
      <c r="AF165" s="392">
        <f t="shared" si="8"/>
        <v>0.42865329512893985</v>
      </c>
      <c r="AG165" s="392">
        <f t="shared" si="9"/>
        <v>1.4792509044477549</v>
      </c>
      <c r="AH165" s="392">
        <f t="shared" si="6"/>
        <v>0.87281213535589264</v>
      </c>
      <c r="AI165" s="392">
        <f t="shared" si="7"/>
        <v>1.2109756097560977</v>
      </c>
    </row>
    <row r="166" spans="19:35" x14ac:dyDescent="0.25">
      <c r="S166" s="518">
        <v>45682</v>
      </c>
      <c r="T166" s="367">
        <v>15.02</v>
      </c>
      <c r="U166" s="367">
        <v>17.3</v>
      </c>
      <c r="V166" s="367">
        <v>14.8</v>
      </c>
      <c r="W166" s="367">
        <v>16.260000000000002</v>
      </c>
      <c r="X166" s="516">
        <v>16.260000000000002</v>
      </c>
      <c r="Y166" s="515">
        <v>89171</v>
      </c>
      <c r="Z166" s="367">
        <v>68.540000000000006</v>
      </c>
      <c r="AA166" s="367">
        <v>69.56</v>
      </c>
      <c r="AB166" s="367">
        <v>67.64</v>
      </c>
      <c r="AC166" s="367">
        <v>68.38</v>
      </c>
      <c r="AD166" s="516">
        <v>68.38</v>
      </c>
      <c r="AE166" s="515">
        <v>307700</v>
      </c>
      <c r="AF166" s="392">
        <f t="shared" si="8"/>
        <v>0.46590257879656166</v>
      </c>
      <c r="AG166" s="392">
        <f t="shared" si="9"/>
        <v>1.4552032347307937</v>
      </c>
      <c r="AH166" s="392">
        <f t="shared" si="6"/>
        <v>0.94865810968494757</v>
      </c>
      <c r="AI166" s="392">
        <f t="shared" si="7"/>
        <v>1.1912891986062717</v>
      </c>
    </row>
    <row r="167" spans="19:35" x14ac:dyDescent="0.25">
      <c r="S167" s="518">
        <v>45689</v>
      </c>
      <c r="T167" s="367">
        <v>16.46</v>
      </c>
      <c r="U167" s="367">
        <v>17.420000000000002</v>
      </c>
      <c r="V167" s="367">
        <v>16.239999999999998</v>
      </c>
      <c r="W167" s="367">
        <v>17.059999999999999</v>
      </c>
      <c r="X167" s="516">
        <v>17.059999999999999</v>
      </c>
      <c r="Y167" s="515">
        <v>107592</v>
      </c>
      <c r="Z167" s="367">
        <v>66.69</v>
      </c>
      <c r="AA167" s="367">
        <v>69.260000000000005</v>
      </c>
      <c r="AB167" s="367">
        <v>66.08</v>
      </c>
      <c r="AC167" s="367">
        <v>66.36</v>
      </c>
      <c r="AD167" s="516">
        <v>66.36</v>
      </c>
      <c r="AE167" s="515">
        <v>293800</v>
      </c>
      <c r="AF167" s="392">
        <f t="shared" si="8"/>
        <v>0.48882521489971342</v>
      </c>
      <c r="AG167" s="392">
        <f t="shared" si="9"/>
        <v>1.4122153649712703</v>
      </c>
      <c r="AH167" s="392">
        <f t="shared" si="6"/>
        <v>0.99533255542590426</v>
      </c>
      <c r="AI167" s="392">
        <f t="shared" si="7"/>
        <v>1.1560975609756097</v>
      </c>
    </row>
    <row r="168" spans="19:35" x14ac:dyDescent="0.25">
      <c r="S168" s="518">
        <v>45696</v>
      </c>
      <c r="T168" s="367">
        <v>17</v>
      </c>
      <c r="U168" s="367">
        <v>17.04</v>
      </c>
      <c r="V168" s="367">
        <v>16.34</v>
      </c>
      <c r="W168" s="367">
        <v>16.579999999999998</v>
      </c>
      <c r="X168" s="516">
        <v>16.579999999999998</v>
      </c>
      <c r="Y168" s="515">
        <v>72905</v>
      </c>
      <c r="Z168" s="367">
        <v>66.959999999999994</v>
      </c>
      <c r="AA168" s="367">
        <v>68.2</v>
      </c>
      <c r="AB168" s="367">
        <v>60.41</v>
      </c>
      <c r="AC168" s="367">
        <v>62.53</v>
      </c>
      <c r="AD168" s="516">
        <v>62.53</v>
      </c>
      <c r="AE168" s="515">
        <v>508400</v>
      </c>
      <c r="AF168" s="392">
        <f t="shared" si="8"/>
        <v>0.47507163323782231</v>
      </c>
      <c r="AG168" s="392">
        <f t="shared" si="9"/>
        <v>1.3307086614173229</v>
      </c>
      <c r="AH168" s="392">
        <f t="shared" si="6"/>
        <v>0.96732788798133007</v>
      </c>
      <c r="AI168" s="392">
        <f t="shared" si="7"/>
        <v>1.0893728222996517</v>
      </c>
    </row>
    <row r="169" spans="19:35" x14ac:dyDescent="0.25">
      <c r="S169" s="518">
        <v>45703</v>
      </c>
      <c r="T169" s="367">
        <v>16.62</v>
      </c>
      <c r="U169" s="367">
        <v>17.079999999999998</v>
      </c>
      <c r="V169" s="367">
        <v>16.5</v>
      </c>
      <c r="W169" s="367">
        <v>16.600000000000001</v>
      </c>
      <c r="X169" s="516">
        <v>16.600000000000001</v>
      </c>
      <c r="Y169" s="515">
        <v>48485</v>
      </c>
      <c r="Z169" s="367">
        <v>62.81</v>
      </c>
      <c r="AA169" s="367">
        <v>63.27</v>
      </c>
      <c r="AB169" s="367">
        <v>60.67</v>
      </c>
      <c r="AC169" s="367">
        <v>61.26</v>
      </c>
      <c r="AD169" s="516">
        <v>61.26</v>
      </c>
      <c r="AE169" s="515">
        <v>277300</v>
      </c>
      <c r="AF169" s="392">
        <f t="shared" si="8"/>
        <v>0.47564469914040119</v>
      </c>
      <c r="AG169" s="392">
        <f t="shared" si="9"/>
        <v>1.3036816343902957</v>
      </c>
      <c r="AH169" s="392">
        <f t="shared" si="6"/>
        <v>0.96849474912485423</v>
      </c>
      <c r="AI169" s="392">
        <f t="shared" si="7"/>
        <v>1.067247386759582</v>
      </c>
    </row>
    <row r="170" spans="19:35" x14ac:dyDescent="0.25">
      <c r="S170" s="518">
        <v>45710</v>
      </c>
      <c r="T170" s="367">
        <v>16.72</v>
      </c>
      <c r="U170" s="367">
        <v>17.5</v>
      </c>
      <c r="V170" s="367">
        <v>16.12</v>
      </c>
      <c r="W170" s="367">
        <v>17.5</v>
      </c>
      <c r="X170" s="516">
        <v>17.5</v>
      </c>
      <c r="Y170" s="515">
        <v>110055</v>
      </c>
      <c r="Z170" s="367">
        <v>61.81</v>
      </c>
      <c r="AA170" s="367">
        <v>61.96</v>
      </c>
      <c r="AB170" s="367">
        <v>54.61</v>
      </c>
      <c r="AC170" s="367">
        <v>58.62</v>
      </c>
      <c r="AD170" s="516">
        <v>58.62</v>
      </c>
      <c r="AE170" s="515">
        <v>494700</v>
      </c>
      <c r="AF170" s="392">
        <f t="shared" si="8"/>
        <v>0.50143266475644699</v>
      </c>
      <c r="AG170" s="392">
        <f t="shared" si="9"/>
        <v>1.2474994679719089</v>
      </c>
      <c r="AH170" s="392">
        <f t="shared" si="6"/>
        <v>1.0210035005834306</v>
      </c>
      <c r="AI170" s="392">
        <f t="shared" si="7"/>
        <v>1.0212543554006968</v>
      </c>
    </row>
    <row r="171" spans="19:35" x14ac:dyDescent="0.25">
      <c r="S171" s="518">
        <v>45717</v>
      </c>
      <c r="T171" s="367">
        <v>17.7</v>
      </c>
      <c r="U171" s="367">
        <v>18.899999999999999</v>
      </c>
      <c r="V171" s="367">
        <v>17.5</v>
      </c>
      <c r="W171" s="367">
        <v>18.52</v>
      </c>
      <c r="X171" s="516">
        <v>18.52</v>
      </c>
      <c r="Y171" s="515">
        <v>204236</v>
      </c>
      <c r="Z171" s="367">
        <v>58.26</v>
      </c>
      <c r="AA171" s="367">
        <v>59.36</v>
      </c>
      <c r="AB171" s="367">
        <v>56.37</v>
      </c>
      <c r="AC171" s="367">
        <v>56.57</v>
      </c>
      <c r="AD171" s="516">
        <v>56.57</v>
      </c>
      <c r="AE171" s="515">
        <v>392900</v>
      </c>
      <c r="AF171" s="392">
        <f t="shared" si="8"/>
        <v>0.53065902578796564</v>
      </c>
      <c r="AG171" s="392">
        <f t="shared" si="9"/>
        <v>1.2038731645030858</v>
      </c>
      <c r="AH171" s="392">
        <f t="shared" si="6"/>
        <v>1.0805134189031504</v>
      </c>
      <c r="AI171" s="392">
        <f t="shared" si="7"/>
        <v>0.98554006968641117</v>
      </c>
    </row>
    <row r="172" spans="19:35" x14ac:dyDescent="0.25">
      <c r="S172" s="518">
        <v>45724</v>
      </c>
      <c r="T172" s="367">
        <v>18.66</v>
      </c>
      <c r="U172" s="367">
        <v>18.68</v>
      </c>
      <c r="V172" s="367">
        <v>17.02</v>
      </c>
      <c r="W172" s="367">
        <v>17.5</v>
      </c>
      <c r="X172" s="516">
        <v>17.5</v>
      </c>
      <c r="Y172" s="515">
        <v>129525</v>
      </c>
      <c r="Z172" s="367">
        <v>56.06</v>
      </c>
      <c r="AA172" s="367">
        <v>60.49</v>
      </c>
      <c r="AB172" s="367">
        <v>55.92</v>
      </c>
      <c r="AC172" s="367">
        <v>59.97</v>
      </c>
      <c r="AD172" s="516">
        <v>59.97</v>
      </c>
      <c r="AE172" s="515">
        <v>450600</v>
      </c>
      <c r="AF172" s="392">
        <f t="shared" si="8"/>
        <v>0.50143266475644699</v>
      </c>
      <c r="AG172" s="392">
        <f t="shared" si="9"/>
        <v>1.276228984890402</v>
      </c>
      <c r="AH172" s="392">
        <f t="shared" si="6"/>
        <v>1.0210035005834306</v>
      </c>
      <c r="AI172" s="392">
        <f t="shared" si="7"/>
        <v>1.044773519163763</v>
      </c>
    </row>
    <row r="173" spans="19:35" x14ac:dyDescent="0.25">
      <c r="S173" s="518">
        <v>45731</v>
      </c>
      <c r="T173" s="367">
        <v>17.5</v>
      </c>
      <c r="U173" s="367">
        <v>18.579999999999998</v>
      </c>
      <c r="V173" s="367">
        <v>17.34</v>
      </c>
      <c r="W173" s="367">
        <v>18.02</v>
      </c>
      <c r="X173" s="516">
        <v>18.02</v>
      </c>
      <c r="Y173" s="515">
        <v>252021</v>
      </c>
      <c r="Z173" s="367">
        <v>59.58</v>
      </c>
      <c r="AA173" s="367">
        <v>60.39</v>
      </c>
      <c r="AB173" s="367">
        <v>57.67</v>
      </c>
      <c r="AC173" s="367">
        <v>58.83</v>
      </c>
      <c r="AD173" s="516">
        <v>58.83</v>
      </c>
      <c r="AE173" s="515">
        <v>514400</v>
      </c>
      <c r="AF173" s="392">
        <f t="shared" si="8"/>
        <v>0.51633237822349576</v>
      </c>
      <c r="AG173" s="392">
        <f t="shared" si="9"/>
        <v>1.2519685039370079</v>
      </c>
      <c r="AH173" s="392">
        <f t="shared" si="6"/>
        <v>1.0513418903150524</v>
      </c>
      <c r="AI173" s="392">
        <f t="shared" si="7"/>
        <v>1.0249128919860626</v>
      </c>
    </row>
    <row r="174" spans="19:35" x14ac:dyDescent="0.25">
      <c r="S174" s="518">
        <v>45738</v>
      </c>
      <c r="T174" s="367">
        <v>18.079999999999998</v>
      </c>
      <c r="U174" s="367">
        <v>18.22</v>
      </c>
      <c r="V174" s="367">
        <v>17.46</v>
      </c>
      <c r="W174" s="367">
        <v>17.7</v>
      </c>
      <c r="X174" s="516">
        <v>17.7</v>
      </c>
      <c r="Y174" s="515">
        <v>104341</v>
      </c>
      <c r="Z174" s="367">
        <v>59.28</v>
      </c>
      <c r="AA174" s="367">
        <v>60</v>
      </c>
      <c r="AB174" s="367">
        <v>58.34</v>
      </c>
      <c r="AC174" s="367">
        <v>58.47</v>
      </c>
      <c r="AD174" s="516">
        <v>58.47</v>
      </c>
      <c r="AE174" s="515">
        <v>316300</v>
      </c>
      <c r="AF174" s="392">
        <f t="shared" si="8"/>
        <v>0.50716332378223494</v>
      </c>
      <c r="AG174" s="392">
        <f t="shared" si="9"/>
        <v>1.2443072994254096</v>
      </c>
      <c r="AH174" s="392">
        <f t="shared" si="6"/>
        <v>1.0326721120186697</v>
      </c>
      <c r="AI174" s="392">
        <f t="shared" si="7"/>
        <v>1.0186411149825785</v>
      </c>
    </row>
    <row r="175" spans="19:35" x14ac:dyDescent="0.25">
      <c r="S175" s="518">
        <v>45745</v>
      </c>
      <c r="T175" s="367">
        <v>17.440000000000001</v>
      </c>
      <c r="U175" s="367">
        <v>17.52</v>
      </c>
      <c r="V175" s="367">
        <v>14.74</v>
      </c>
      <c r="W175" s="367">
        <v>15.5</v>
      </c>
      <c r="X175" s="516">
        <v>15.5</v>
      </c>
      <c r="Y175" s="515">
        <v>311567</v>
      </c>
      <c r="Z175" s="367">
        <v>58.15</v>
      </c>
      <c r="AA175" s="367">
        <v>59.08</v>
      </c>
      <c r="AB175" s="367">
        <v>53.11</v>
      </c>
      <c r="AC175" s="367">
        <v>54.26</v>
      </c>
      <c r="AD175" s="516">
        <v>54.26</v>
      </c>
      <c r="AE175" s="515">
        <v>366000</v>
      </c>
      <c r="AF175" s="392">
        <f t="shared" si="8"/>
        <v>0.44412607449856734</v>
      </c>
      <c r="AG175" s="392">
        <f t="shared" si="9"/>
        <v>1.1547137688869971</v>
      </c>
      <c r="AH175" s="392">
        <f t="shared" si="6"/>
        <v>0.90431738623103852</v>
      </c>
      <c r="AI175" s="392">
        <f t="shared" si="7"/>
        <v>0.94529616724738674</v>
      </c>
    </row>
    <row r="176" spans="19:35" x14ac:dyDescent="0.25">
      <c r="S176" s="518">
        <v>45752</v>
      </c>
      <c r="T176" s="367">
        <v>14.5</v>
      </c>
      <c r="U176" s="367">
        <v>15.38</v>
      </c>
      <c r="V176" s="367">
        <v>13.3</v>
      </c>
      <c r="W176" s="367">
        <v>14.1</v>
      </c>
      <c r="X176" s="516">
        <v>14.1</v>
      </c>
      <c r="Y176" s="515">
        <v>265928</v>
      </c>
      <c r="Z176" s="367">
        <v>52.92</v>
      </c>
      <c r="AA176" s="367">
        <v>59.06</v>
      </c>
      <c r="AB176" s="367">
        <v>51.76</v>
      </c>
      <c r="AC176" s="367">
        <v>55.56</v>
      </c>
      <c r="AD176" s="516">
        <v>55.56</v>
      </c>
      <c r="AE176" s="515">
        <v>482400</v>
      </c>
      <c r="AF176" s="392">
        <f t="shared" si="8"/>
        <v>0.4040114613180516</v>
      </c>
      <c r="AG176" s="392">
        <f t="shared" si="9"/>
        <v>1.1823792296233242</v>
      </c>
      <c r="AH176" s="392">
        <f t="shared" si="6"/>
        <v>0.82263710618436403</v>
      </c>
      <c r="AI176" s="392">
        <f t="shared" si="7"/>
        <v>0.96794425087108016</v>
      </c>
    </row>
    <row r="177" spans="19:35" x14ac:dyDescent="0.25">
      <c r="S177" s="518">
        <v>45759</v>
      </c>
      <c r="T177" s="367">
        <v>14.28</v>
      </c>
      <c r="U177" s="367">
        <v>15.34</v>
      </c>
      <c r="V177" s="367">
        <v>14.02</v>
      </c>
      <c r="W177" s="367">
        <v>14.12</v>
      </c>
      <c r="X177" s="516">
        <v>14.12</v>
      </c>
      <c r="Y177" s="515">
        <v>119783</v>
      </c>
      <c r="Z177" s="367">
        <v>56.5</v>
      </c>
      <c r="AA177" s="367">
        <v>57.18</v>
      </c>
      <c r="AB177" s="367">
        <v>55.77</v>
      </c>
      <c r="AC177" s="367">
        <v>56.6</v>
      </c>
      <c r="AD177" s="516">
        <v>56.6</v>
      </c>
      <c r="AE177" s="515">
        <v>256400</v>
      </c>
      <c r="AF177" s="392">
        <f t="shared" si="8"/>
        <v>0.40458452722063037</v>
      </c>
      <c r="AG177" s="392">
        <f t="shared" si="9"/>
        <v>1.2045115982123855</v>
      </c>
      <c r="AH177" s="392">
        <f t="shared" si="6"/>
        <v>0.82380396732788785</v>
      </c>
      <c r="AI177" s="392">
        <f t="shared" si="7"/>
        <v>0.98606271777003485</v>
      </c>
    </row>
    <row r="178" spans="19:35" x14ac:dyDescent="0.25">
      <c r="S178" s="518">
        <v>45766</v>
      </c>
      <c r="T178" s="367">
        <v>14.12</v>
      </c>
      <c r="U178" s="367">
        <v>15.16</v>
      </c>
      <c r="V178" s="367">
        <v>13.88</v>
      </c>
      <c r="W178" s="367">
        <v>15.08</v>
      </c>
      <c r="X178" s="516">
        <v>15.08</v>
      </c>
      <c r="Y178" s="515">
        <v>113965</v>
      </c>
      <c r="Z178" s="367">
        <v>55.98</v>
      </c>
      <c r="AA178" s="367">
        <v>57.24</v>
      </c>
      <c r="AB178" s="367">
        <v>53.78</v>
      </c>
      <c r="AC178" s="367">
        <v>57.1</v>
      </c>
      <c r="AD178" s="516">
        <v>57.1</v>
      </c>
      <c r="AE178" s="515">
        <v>367200</v>
      </c>
      <c r="AF178" s="392">
        <f t="shared" si="8"/>
        <v>0.43209169054441265</v>
      </c>
      <c r="AG178" s="392">
        <f t="shared" si="9"/>
        <v>1.2151521600340498</v>
      </c>
      <c r="AH178" s="392">
        <f t="shared" si="6"/>
        <v>0.87981330221703613</v>
      </c>
      <c r="AI178" s="392">
        <f t="shared" si="7"/>
        <v>0.99477351916376311</v>
      </c>
    </row>
    <row r="179" spans="19:35" x14ac:dyDescent="0.25">
      <c r="S179" s="518">
        <v>45773</v>
      </c>
      <c r="T179" s="367">
        <v>15.18</v>
      </c>
      <c r="U179" s="367">
        <v>17.059999999999999</v>
      </c>
      <c r="V179" s="367">
        <v>15.08</v>
      </c>
      <c r="W179" s="367">
        <v>17.059999999999999</v>
      </c>
      <c r="X179" s="516">
        <v>17.059999999999999</v>
      </c>
      <c r="Y179" s="515">
        <v>144174</v>
      </c>
      <c r="Z179" s="367">
        <v>56.91</v>
      </c>
      <c r="AA179" s="367">
        <v>59.16</v>
      </c>
      <c r="AB179" s="367">
        <v>56.21</v>
      </c>
      <c r="AC179" s="367">
        <v>59</v>
      </c>
      <c r="AD179" s="516">
        <v>59</v>
      </c>
      <c r="AE179" s="515">
        <v>215600</v>
      </c>
      <c r="AF179" s="392">
        <f t="shared" si="8"/>
        <v>0.48882521489971342</v>
      </c>
      <c r="AG179" s="392">
        <f t="shared" si="9"/>
        <v>1.2555862949563736</v>
      </c>
      <c r="AH179" s="392">
        <f t="shared" si="6"/>
        <v>0.99533255542590426</v>
      </c>
      <c r="AI179" s="392">
        <f t="shared" si="7"/>
        <v>1.0278745644599303</v>
      </c>
    </row>
    <row r="180" spans="19:35" x14ac:dyDescent="0.25">
      <c r="S180" s="518">
        <v>45780</v>
      </c>
      <c r="T180" s="367">
        <v>17.079999999999998</v>
      </c>
      <c r="U180" s="367">
        <v>19.46</v>
      </c>
      <c r="V180" s="367">
        <v>16.82</v>
      </c>
      <c r="W180" s="367">
        <v>19.46</v>
      </c>
      <c r="X180" s="516">
        <v>19.46</v>
      </c>
      <c r="Y180" s="515">
        <v>288603</v>
      </c>
      <c r="Z180" s="367">
        <v>58.58</v>
      </c>
      <c r="AA180" s="367">
        <v>66.83</v>
      </c>
      <c r="AB180" s="367">
        <v>58.1</v>
      </c>
      <c r="AC180" s="367">
        <v>65.239999999999995</v>
      </c>
      <c r="AD180" s="516">
        <v>65.239999999999995</v>
      </c>
      <c r="AE180" s="515">
        <v>477200</v>
      </c>
      <c r="AF180" s="392">
        <f t="shared" si="8"/>
        <v>0.55759312320916909</v>
      </c>
      <c r="AG180" s="392">
        <f t="shared" si="9"/>
        <v>1.3883805064907426</v>
      </c>
      <c r="AH180" s="392">
        <f t="shared" si="6"/>
        <v>1.1353558926487748</v>
      </c>
      <c r="AI180" s="392">
        <f t="shared" si="7"/>
        <v>1.1365853658536584</v>
      </c>
    </row>
    <row r="181" spans="19:35" x14ac:dyDescent="0.25">
      <c r="S181" s="518">
        <v>45787</v>
      </c>
      <c r="T181" s="367">
        <v>19.48</v>
      </c>
      <c r="U181" s="367">
        <v>20.2</v>
      </c>
      <c r="V181" s="367">
        <v>19.36</v>
      </c>
      <c r="W181" s="367">
        <v>20.2</v>
      </c>
      <c r="X181" s="516">
        <v>20.2</v>
      </c>
      <c r="Y181" s="515">
        <v>219681</v>
      </c>
      <c r="Z181" s="367">
        <v>66.989999999999995</v>
      </c>
      <c r="AA181" s="367">
        <v>68.17</v>
      </c>
      <c r="AB181" s="367">
        <v>65.16</v>
      </c>
      <c r="AC181" s="367">
        <v>67.97</v>
      </c>
      <c r="AD181" s="516">
        <v>67.97</v>
      </c>
      <c r="AE181" s="515">
        <v>365900</v>
      </c>
      <c r="AF181" s="392">
        <f t="shared" si="8"/>
        <v>0.57879656160458448</v>
      </c>
      <c r="AG181" s="392">
        <f t="shared" si="9"/>
        <v>1.446477974037029</v>
      </c>
      <c r="AH181" s="392">
        <f t="shared" si="6"/>
        <v>1.1785297549591598</v>
      </c>
      <c r="AI181" s="392">
        <f t="shared" si="7"/>
        <v>1.1841463414634146</v>
      </c>
    </row>
    <row r="182" spans="19:35" x14ac:dyDescent="0.25">
      <c r="S182" s="518">
        <v>45794</v>
      </c>
      <c r="T182" s="367">
        <v>20.05</v>
      </c>
      <c r="U182" s="367">
        <v>20.3</v>
      </c>
      <c r="V182" s="367">
        <v>19.2</v>
      </c>
      <c r="W182" s="367">
        <v>19.579999999999998</v>
      </c>
      <c r="X182" s="516">
        <v>19.579999999999998</v>
      </c>
      <c r="Y182" s="515">
        <v>132924</v>
      </c>
      <c r="Z182" s="367">
        <v>67.56</v>
      </c>
      <c r="AA182" s="367">
        <v>69.510000000000005</v>
      </c>
      <c r="AB182" s="367">
        <v>66.239999999999995</v>
      </c>
      <c r="AC182" s="367">
        <v>67.739999999999995</v>
      </c>
      <c r="AD182" s="516">
        <v>67.739999999999995</v>
      </c>
      <c r="AE182" s="515">
        <v>329100</v>
      </c>
      <c r="AF182" s="392">
        <f t="shared" si="8"/>
        <v>0.56103151862464185</v>
      </c>
      <c r="AG182" s="392">
        <f t="shared" si="9"/>
        <v>1.4415833155990634</v>
      </c>
      <c r="AH182" s="392">
        <f t="shared" si="6"/>
        <v>1.1423570595099182</v>
      </c>
      <c r="AI182" s="392">
        <f t="shared" si="7"/>
        <v>1.1801393728222995</v>
      </c>
    </row>
    <row r="183" spans="19:35" x14ac:dyDescent="0.25">
      <c r="S183" s="518">
        <v>45801</v>
      </c>
      <c r="T183" s="367">
        <v>19.78</v>
      </c>
      <c r="U183" s="367">
        <v>19.86</v>
      </c>
      <c r="V183" s="367">
        <v>18.28</v>
      </c>
      <c r="W183" s="367">
        <v>18.36</v>
      </c>
      <c r="X183" s="516">
        <v>18.36</v>
      </c>
      <c r="Y183" s="515">
        <v>134209</v>
      </c>
      <c r="Z183" s="367">
        <v>68.66</v>
      </c>
      <c r="AA183" s="367">
        <v>70.84</v>
      </c>
      <c r="AB183" s="367">
        <v>67.81</v>
      </c>
      <c r="AC183" s="367">
        <v>70.38</v>
      </c>
      <c r="AD183" s="516">
        <v>70.38</v>
      </c>
      <c r="AE183" s="515">
        <v>313200</v>
      </c>
      <c r="AF183" s="392">
        <f t="shared" si="8"/>
        <v>0.52607449856733524</v>
      </c>
      <c r="AG183" s="392">
        <f t="shared" si="9"/>
        <v>1.4977654820174504</v>
      </c>
      <c r="AH183" s="392">
        <f t="shared" si="6"/>
        <v>1.0711785297549592</v>
      </c>
      <c r="AI183" s="392">
        <f t="shared" si="7"/>
        <v>1.2261324041811845</v>
      </c>
    </row>
    <row r="184" spans="19:35" x14ac:dyDescent="0.25">
      <c r="S184" s="518">
        <v>45808</v>
      </c>
      <c r="T184" s="367">
        <v>18.399999999999999</v>
      </c>
      <c r="U184" s="367">
        <v>20</v>
      </c>
      <c r="V184" s="367">
        <v>18.100000000000001</v>
      </c>
      <c r="W184" s="367">
        <v>19.059999999999999</v>
      </c>
      <c r="X184" s="516">
        <v>19.059999999999999</v>
      </c>
      <c r="Y184" s="515">
        <v>167064</v>
      </c>
      <c r="Z184" s="367">
        <v>70.39</v>
      </c>
      <c r="AA184" s="367">
        <v>73.989999999999995</v>
      </c>
      <c r="AB184" s="367">
        <v>69.569999999999993</v>
      </c>
      <c r="AC184" s="367">
        <v>73.77</v>
      </c>
      <c r="AD184" s="516">
        <v>73.77</v>
      </c>
      <c r="AE184" s="515">
        <v>382200</v>
      </c>
      <c r="AF184" s="392">
        <f t="shared" si="8"/>
        <v>0.54613180515759308</v>
      </c>
      <c r="AG184" s="392">
        <f t="shared" si="9"/>
        <v>1.5699084911683336</v>
      </c>
      <c r="AH184" s="392">
        <f t="shared" si="6"/>
        <v>1.1120186697782963</v>
      </c>
      <c r="AI184" s="392">
        <f t="shared" si="7"/>
        <v>1.285191637630662</v>
      </c>
    </row>
    <row r="185" spans="19:35" x14ac:dyDescent="0.25">
      <c r="S185" s="518">
        <v>45815</v>
      </c>
      <c r="T185" s="367">
        <v>19.059999999999999</v>
      </c>
      <c r="U185" s="367">
        <v>20.149999999999999</v>
      </c>
      <c r="V185" s="367">
        <v>19.059999999999999</v>
      </c>
      <c r="W185" s="367">
        <v>19.579999999999998</v>
      </c>
      <c r="X185" s="516">
        <v>19.579999999999998</v>
      </c>
      <c r="Y185" s="515">
        <v>161938</v>
      </c>
      <c r="Z185" s="367">
        <v>74.06</v>
      </c>
      <c r="AA185" s="367">
        <v>78.16</v>
      </c>
      <c r="AB185" s="367">
        <v>73.17</v>
      </c>
      <c r="AC185" s="367">
        <v>76.53</v>
      </c>
      <c r="AD185" s="516">
        <v>76.53</v>
      </c>
      <c r="AE185" s="515">
        <v>504600</v>
      </c>
      <c r="AF185" s="392">
        <f t="shared" si="8"/>
        <v>0.56103151862464185</v>
      </c>
      <c r="AG185" s="392">
        <f t="shared" si="9"/>
        <v>1.62864439242392</v>
      </c>
      <c r="AH185" s="392">
        <f t="shared" si="6"/>
        <v>1.1423570595099182</v>
      </c>
      <c r="AI185" s="392">
        <f t="shared" si="7"/>
        <v>1.3332752613240419</v>
      </c>
    </row>
    <row r="186" spans="19:35" x14ac:dyDescent="0.25">
      <c r="S186" s="518">
        <v>45822</v>
      </c>
      <c r="T186" s="367">
        <v>19.5</v>
      </c>
      <c r="U186" s="367">
        <v>22.4</v>
      </c>
      <c r="V186" s="367">
        <v>19.5</v>
      </c>
      <c r="W186" s="367">
        <v>22.2</v>
      </c>
      <c r="X186" s="516">
        <v>22.2</v>
      </c>
      <c r="Y186" s="515">
        <v>403909</v>
      </c>
      <c r="Z186" s="367">
        <v>76.63</v>
      </c>
      <c r="AA186" s="367">
        <v>81.069999999999993</v>
      </c>
      <c r="AB186" s="367">
        <v>76.45</v>
      </c>
      <c r="AC186" s="367">
        <v>80.569999999999993</v>
      </c>
      <c r="AD186" s="516">
        <v>80.569999999999993</v>
      </c>
      <c r="AE186" s="515">
        <v>971000</v>
      </c>
      <c r="AF186" s="392">
        <f t="shared" si="8"/>
        <v>0.63610315186246424</v>
      </c>
      <c r="AG186" s="392">
        <f t="shared" si="9"/>
        <v>1.7146201319429664</v>
      </c>
      <c r="AH186" s="392">
        <f t="shared" si="6"/>
        <v>1.2952158693115519</v>
      </c>
      <c r="AI186" s="392">
        <f t="shared" si="7"/>
        <v>1.4036585365853658</v>
      </c>
    </row>
    <row r="187" spans="19:35" x14ac:dyDescent="0.25">
      <c r="S187" s="518">
        <v>45829</v>
      </c>
      <c r="T187" s="367">
        <v>22.25</v>
      </c>
      <c r="U187" s="367">
        <v>25.7</v>
      </c>
      <c r="V187" s="367">
        <v>22.2</v>
      </c>
      <c r="W187" s="367">
        <v>25.6</v>
      </c>
      <c r="X187" s="516">
        <v>25.6</v>
      </c>
      <c r="Y187" s="515">
        <v>925130</v>
      </c>
      <c r="Z187" s="367">
        <v>80.58</v>
      </c>
      <c r="AA187" s="367">
        <v>86.64</v>
      </c>
      <c r="AB187" s="367">
        <v>80.11</v>
      </c>
      <c r="AC187" s="367">
        <v>86.27</v>
      </c>
      <c r="AD187" s="516">
        <v>86.27</v>
      </c>
      <c r="AE187" s="515">
        <v>902700</v>
      </c>
      <c r="AF187" s="392">
        <f t="shared" si="8"/>
        <v>0.73352435530085969</v>
      </c>
      <c r="AG187" s="392">
        <f t="shared" si="9"/>
        <v>1.8359225367099381</v>
      </c>
      <c r="AH187" s="392">
        <f t="shared" si="6"/>
        <v>1.4935822637106184</v>
      </c>
      <c r="AI187" s="392">
        <f t="shared" si="7"/>
        <v>1.5029616724738675</v>
      </c>
    </row>
    <row r="188" spans="19:35" x14ac:dyDescent="0.25">
      <c r="S188" s="518">
        <v>45836</v>
      </c>
      <c r="T188" s="367">
        <v>26</v>
      </c>
      <c r="U188" s="367">
        <v>26.5</v>
      </c>
      <c r="V188" s="367">
        <v>23.95</v>
      </c>
      <c r="W188" s="367">
        <v>25.6</v>
      </c>
      <c r="X188" s="516">
        <v>25.6</v>
      </c>
      <c r="Y188" s="515">
        <v>2205609</v>
      </c>
      <c r="Z188" s="367">
        <v>86.27</v>
      </c>
      <c r="AA188" s="367">
        <v>86.27</v>
      </c>
      <c r="AB188" s="367">
        <v>80.69</v>
      </c>
      <c r="AC188" s="367">
        <v>84.91</v>
      </c>
      <c r="AD188" s="516">
        <v>84.91</v>
      </c>
      <c r="AE188" s="515">
        <v>522500</v>
      </c>
      <c r="AF188" s="392">
        <f t="shared" si="8"/>
        <v>0.73352435530085969</v>
      </c>
      <c r="AG188" s="392">
        <f t="shared" si="9"/>
        <v>1.8069802085550115</v>
      </c>
      <c r="AH188" s="392">
        <f t="shared" ref="AH188:AH213" si="10">X188/$X$59</f>
        <v>1.4935822637106184</v>
      </c>
      <c r="AI188" s="392">
        <f t="shared" ref="AI188:AI214" si="11">AD188/$AD$59</f>
        <v>1.4792682926829268</v>
      </c>
    </row>
    <row r="189" spans="19:35" x14ac:dyDescent="0.25">
      <c r="S189" s="518">
        <v>45843</v>
      </c>
      <c r="T189" s="367">
        <v>25.5</v>
      </c>
      <c r="U189" s="367">
        <v>26.5</v>
      </c>
      <c r="V189" s="367">
        <v>24.75</v>
      </c>
      <c r="W189" s="367">
        <v>25.15</v>
      </c>
      <c r="X189" s="516">
        <v>25.15</v>
      </c>
      <c r="Y189" s="515">
        <v>817272</v>
      </c>
      <c r="Z189" s="367">
        <v>84.81</v>
      </c>
      <c r="AA189" s="367">
        <v>86.21</v>
      </c>
      <c r="AB189" s="367">
        <v>83.05</v>
      </c>
      <c r="AC189" s="367">
        <v>85.71</v>
      </c>
      <c r="AD189" s="516">
        <v>85.71</v>
      </c>
      <c r="AE189" s="515">
        <v>553200</v>
      </c>
      <c r="AF189" s="392">
        <f t="shared" si="8"/>
        <v>0.72063037249283668</v>
      </c>
      <c r="AG189" s="392">
        <f t="shared" si="9"/>
        <v>1.8240051074696741</v>
      </c>
      <c r="AH189" s="392">
        <f t="shared" si="10"/>
        <v>1.4673278879813301</v>
      </c>
      <c r="AI189" s="392">
        <f t="shared" si="11"/>
        <v>1.4932055749128919</v>
      </c>
    </row>
    <row r="190" spans="19:35" x14ac:dyDescent="0.25">
      <c r="S190" s="518">
        <v>45850</v>
      </c>
      <c r="T190" s="367">
        <v>24.95</v>
      </c>
      <c r="U190" s="367">
        <v>28.3</v>
      </c>
      <c r="V190" s="367">
        <v>24.7</v>
      </c>
      <c r="W190" s="367">
        <v>27.75</v>
      </c>
      <c r="X190" s="516">
        <v>27.75</v>
      </c>
      <c r="Y190" s="515">
        <v>583681</v>
      </c>
      <c r="Z190" s="367">
        <v>85.77</v>
      </c>
      <c r="AA190" s="367">
        <v>91.23</v>
      </c>
      <c r="AB190" s="367">
        <v>84.6</v>
      </c>
      <c r="AC190" s="367">
        <v>90.54</v>
      </c>
      <c r="AD190" s="516">
        <v>90.54</v>
      </c>
      <c r="AE190" s="515">
        <v>1143700</v>
      </c>
      <c r="AF190" s="392">
        <f t="shared" si="8"/>
        <v>0.79512893982808031</v>
      </c>
      <c r="AG190" s="392">
        <f t="shared" si="9"/>
        <v>1.9267929346669506</v>
      </c>
      <c r="AH190" s="392">
        <f t="shared" si="10"/>
        <v>1.6190198366394399</v>
      </c>
      <c r="AI190" s="392">
        <f t="shared" si="11"/>
        <v>1.5773519163763068</v>
      </c>
    </row>
    <row r="191" spans="19:35" x14ac:dyDescent="0.25">
      <c r="S191" s="518">
        <v>45857</v>
      </c>
      <c r="T191" s="367">
        <v>27.9</v>
      </c>
      <c r="U191" s="367">
        <v>30.2</v>
      </c>
      <c r="V191" s="367">
        <v>26.85</v>
      </c>
      <c r="W191" s="367">
        <v>29.4</v>
      </c>
      <c r="X191" s="516">
        <v>29.4</v>
      </c>
      <c r="Y191" s="515">
        <v>364142</v>
      </c>
      <c r="Z191" s="367">
        <v>90</v>
      </c>
      <c r="AA191" s="367">
        <v>91.6</v>
      </c>
      <c r="AB191" s="367">
        <v>87.29</v>
      </c>
      <c r="AC191" s="367">
        <v>90.45</v>
      </c>
      <c r="AD191" s="516">
        <v>90.45</v>
      </c>
      <c r="AE191" s="515">
        <v>672400</v>
      </c>
      <c r="AF191" s="392">
        <f t="shared" si="8"/>
        <v>0.84240687679083093</v>
      </c>
      <c r="AG191" s="392">
        <f t="shared" si="9"/>
        <v>1.9248776335390509</v>
      </c>
      <c r="AH191" s="392">
        <f t="shared" si="10"/>
        <v>1.7152858809801632</v>
      </c>
      <c r="AI191" s="392">
        <f t="shared" si="11"/>
        <v>1.5757839721254356</v>
      </c>
    </row>
    <row r="192" spans="19:35" x14ac:dyDescent="0.25">
      <c r="S192" s="518">
        <v>45864</v>
      </c>
      <c r="T192" s="367">
        <v>29.05</v>
      </c>
      <c r="U192" s="367">
        <v>30.25</v>
      </c>
      <c r="V192" s="367">
        <v>27.95</v>
      </c>
      <c r="W192" s="367">
        <v>28.4</v>
      </c>
      <c r="X192" s="516">
        <v>28.4</v>
      </c>
      <c r="Y192" s="515">
        <v>385198</v>
      </c>
      <c r="Z192" s="367">
        <v>90.46</v>
      </c>
      <c r="AA192" s="367">
        <v>92.58</v>
      </c>
      <c r="AB192" s="367">
        <v>86.6</v>
      </c>
      <c r="AC192" s="367">
        <v>89.58</v>
      </c>
      <c r="AD192" s="516">
        <v>89.58</v>
      </c>
      <c r="AE192" s="515">
        <v>680500</v>
      </c>
      <c r="AF192" s="392">
        <f t="shared" si="8"/>
        <v>0.81375358166189116</v>
      </c>
      <c r="AG192" s="392">
        <f t="shared" si="9"/>
        <v>1.906363055969355</v>
      </c>
      <c r="AH192" s="392">
        <f t="shared" si="10"/>
        <v>1.6569428238039672</v>
      </c>
      <c r="AI192" s="392">
        <f t="shared" si="11"/>
        <v>1.5606271777003484</v>
      </c>
    </row>
    <row r="193" spans="19:35" x14ac:dyDescent="0.25">
      <c r="S193" s="518">
        <v>45871</v>
      </c>
      <c r="T193" s="367">
        <v>28</v>
      </c>
      <c r="U193" s="367">
        <v>29</v>
      </c>
      <c r="V193" s="367">
        <v>27.7</v>
      </c>
      <c r="W193" s="367">
        <v>27.8</v>
      </c>
      <c r="X193" s="516">
        <v>27.8</v>
      </c>
      <c r="Y193" s="515">
        <v>485762</v>
      </c>
      <c r="Z193" s="367">
        <v>90.16</v>
      </c>
      <c r="AA193" s="367">
        <v>93.41</v>
      </c>
      <c r="AB193" s="367">
        <v>88.01</v>
      </c>
      <c r="AC193" s="367">
        <v>89.36</v>
      </c>
      <c r="AD193" s="516">
        <v>89.36</v>
      </c>
      <c r="AE193" s="515">
        <v>697600</v>
      </c>
      <c r="AF193" s="392">
        <f t="shared" si="8"/>
        <v>0.79656160458452729</v>
      </c>
      <c r="AG193" s="392">
        <f t="shared" si="9"/>
        <v>1.9016812087678228</v>
      </c>
      <c r="AH193" s="392">
        <f t="shared" si="10"/>
        <v>1.6219369894982496</v>
      </c>
      <c r="AI193" s="392">
        <f t="shared" si="11"/>
        <v>1.556794425087108</v>
      </c>
    </row>
    <row r="194" spans="19:35" x14ac:dyDescent="0.25">
      <c r="S194" s="518">
        <v>45878</v>
      </c>
      <c r="T194" s="367">
        <v>28</v>
      </c>
      <c r="U194" s="367">
        <v>28</v>
      </c>
      <c r="V194" s="367">
        <v>25.8</v>
      </c>
      <c r="W194" s="367">
        <v>26</v>
      </c>
      <c r="X194" s="516">
        <v>26</v>
      </c>
      <c r="Y194" s="515">
        <v>531201</v>
      </c>
      <c r="Z194" s="367">
        <v>89.93</v>
      </c>
      <c r="AA194" s="367">
        <v>94</v>
      </c>
      <c r="AB194" s="367">
        <v>87.8</v>
      </c>
      <c r="AC194" s="367">
        <v>91.6</v>
      </c>
      <c r="AD194" s="516">
        <v>91.6</v>
      </c>
      <c r="AE194" s="515">
        <v>603100</v>
      </c>
      <c r="AF194" s="392">
        <f t="shared" si="8"/>
        <v>0.7449856733524356</v>
      </c>
      <c r="AG194" s="392">
        <f t="shared" si="9"/>
        <v>1.9493509257288784</v>
      </c>
      <c r="AH194" s="392">
        <f t="shared" si="10"/>
        <v>1.5169194865810969</v>
      </c>
      <c r="AI194" s="392">
        <f t="shared" si="11"/>
        <v>1.5958188153310104</v>
      </c>
    </row>
    <row r="195" spans="19:35" x14ac:dyDescent="0.25">
      <c r="S195" s="518">
        <v>45885</v>
      </c>
      <c r="T195" s="367">
        <v>26.25</v>
      </c>
      <c r="U195" s="367">
        <v>26.45</v>
      </c>
      <c r="V195" s="367">
        <v>25.15</v>
      </c>
      <c r="W195" s="367">
        <v>25.85</v>
      </c>
      <c r="X195" s="516">
        <v>25.85</v>
      </c>
      <c r="Y195" s="515">
        <v>583230</v>
      </c>
      <c r="Z195" s="367">
        <v>91.19</v>
      </c>
      <c r="AA195" s="367">
        <v>93.04</v>
      </c>
      <c r="AB195" s="367">
        <v>87.06</v>
      </c>
      <c r="AC195" s="367">
        <v>92.84</v>
      </c>
      <c r="AD195" s="516">
        <v>92.84</v>
      </c>
      <c r="AE195" s="515">
        <v>469000</v>
      </c>
      <c r="AF195" s="392">
        <f t="shared" si="8"/>
        <v>0.74068767908309463</v>
      </c>
      <c r="AG195" s="392">
        <f t="shared" si="9"/>
        <v>1.9757395190466056</v>
      </c>
      <c r="AH195" s="392">
        <f t="shared" si="10"/>
        <v>1.5081680280046674</v>
      </c>
      <c r="AI195" s="392">
        <f t="shared" si="11"/>
        <v>1.6174216027874566</v>
      </c>
    </row>
    <row r="196" spans="19:35" x14ac:dyDescent="0.25">
      <c r="S196" s="518">
        <v>45892</v>
      </c>
      <c r="T196" s="367">
        <v>25.95</v>
      </c>
      <c r="U196" s="367">
        <v>25.95</v>
      </c>
      <c r="V196" s="367">
        <v>24.8</v>
      </c>
      <c r="W196" s="367">
        <v>25.3</v>
      </c>
      <c r="X196" s="516">
        <v>25.3</v>
      </c>
      <c r="Y196" s="515">
        <v>721023</v>
      </c>
      <c r="Z196" s="367">
        <v>93.19</v>
      </c>
      <c r="AA196" s="367">
        <v>95.93</v>
      </c>
      <c r="AB196" s="367">
        <v>90.44</v>
      </c>
      <c r="AC196" s="367">
        <v>91.22</v>
      </c>
      <c r="AD196" s="516">
        <v>91.22</v>
      </c>
      <c r="AE196" s="515">
        <v>589300</v>
      </c>
      <c r="AF196" s="392">
        <f t="shared" si="8"/>
        <v>0.72492836676217765</v>
      </c>
      <c r="AG196" s="392">
        <f t="shared" si="9"/>
        <v>1.9412640987444136</v>
      </c>
      <c r="AH196" s="392">
        <f t="shared" si="10"/>
        <v>1.4760793465577595</v>
      </c>
      <c r="AI196" s="392">
        <f t="shared" si="11"/>
        <v>1.5891986062717771</v>
      </c>
    </row>
    <row r="197" spans="19:35" x14ac:dyDescent="0.25">
      <c r="S197" s="518">
        <v>45899</v>
      </c>
      <c r="T197" s="367">
        <v>25.3</v>
      </c>
      <c r="U197" s="367">
        <v>28.5</v>
      </c>
      <c r="V197" s="367">
        <v>25.3</v>
      </c>
      <c r="W197" s="367">
        <v>27.05</v>
      </c>
      <c r="X197" s="516">
        <v>27.05</v>
      </c>
      <c r="Y197" s="515">
        <v>939366</v>
      </c>
      <c r="Z197" s="367">
        <v>90.02</v>
      </c>
      <c r="AA197" s="367">
        <v>92.29</v>
      </c>
      <c r="AB197" s="367">
        <v>89.51</v>
      </c>
      <c r="AC197" s="367">
        <v>90.45</v>
      </c>
      <c r="AD197" s="516">
        <v>90.45</v>
      </c>
      <c r="AE197" s="515">
        <v>364700</v>
      </c>
      <c r="AF197" s="392">
        <f t="shared" si="8"/>
        <v>0.77507163323782235</v>
      </c>
      <c r="AG197" s="392">
        <f t="shared" si="9"/>
        <v>1.9248776335390509</v>
      </c>
      <c r="AH197" s="392">
        <f t="shared" si="10"/>
        <v>1.5781796966161026</v>
      </c>
      <c r="AI197" s="392">
        <f t="shared" si="11"/>
        <v>1.5757839721254356</v>
      </c>
    </row>
    <row r="198" spans="19:35" x14ac:dyDescent="0.25">
      <c r="S198" s="518">
        <v>45906</v>
      </c>
      <c r="T198" s="367">
        <v>26.85</v>
      </c>
      <c r="U198" s="367">
        <v>27.5</v>
      </c>
      <c r="V198" s="367">
        <v>26.1</v>
      </c>
      <c r="W198" s="367">
        <v>27.1</v>
      </c>
      <c r="X198" s="516">
        <v>27.1</v>
      </c>
      <c r="Y198" s="515">
        <v>384040</v>
      </c>
      <c r="Z198" s="367">
        <v>90.86</v>
      </c>
      <c r="AA198" s="367">
        <v>94.46</v>
      </c>
      <c r="AB198" s="367">
        <v>88.84</v>
      </c>
      <c r="AC198" s="367">
        <v>93.03</v>
      </c>
      <c r="AD198" s="516">
        <v>93.03</v>
      </c>
      <c r="AE198" s="515">
        <v>559700</v>
      </c>
      <c r="AF198" s="392">
        <f t="shared" si="8"/>
        <v>0.77650429799426945</v>
      </c>
      <c r="AG198" s="392">
        <f t="shared" si="9"/>
        <v>1.9797829325388381</v>
      </c>
      <c r="AH198" s="392">
        <f t="shared" si="10"/>
        <v>1.5810968494749125</v>
      </c>
      <c r="AI198" s="392">
        <f t="shared" si="11"/>
        <v>1.6207317073170733</v>
      </c>
    </row>
    <row r="199" spans="19:35" x14ac:dyDescent="0.25">
      <c r="S199" s="518">
        <v>45913</v>
      </c>
      <c r="T199" s="367">
        <v>27</v>
      </c>
      <c r="U199" s="367">
        <v>29</v>
      </c>
      <c r="V199" s="367">
        <v>26.9</v>
      </c>
      <c r="W199" s="367">
        <v>28.85</v>
      </c>
      <c r="X199" s="516">
        <v>28.85</v>
      </c>
      <c r="Y199" s="515">
        <v>775687</v>
      </c>
      <c r="Z199" s="367">
        <v>93.25</v>
      </c>
      <c r="AA199" s="367">
        <v>96.49</v>
      </c>
      <c r="AB199" s="367">
        <v>91.28</v>
      </c>
      <c r="AC199" s="367">
        <v>93.97</v>
      </c>
      <c r="AD199" s="516">
        <v>93.97</v>
      </c>
      <c r="AE199" s="515">
        <v>1073700</v>
      </c>
      <c r="AF199" s="392">
        <f t="shared" ref="AF199:AF214" si="12">X199/$X$6</f>
        <v>0.82664756446991416</v>
      </c>
      <c r="AG199" s="392">
        <f t="shared" ref="AG199:AG214" si="13">AD199/$AD$6</f>
        <v>1.9997871887635665</v>
      </c>
      <c r="AH199" s="392">
        <f t="shared" si="10"/>
        <v>1.6831971995332555</v>
      </c>
      <c r="AI199" s="392">
        <f t="shared" si="11"/>
        <v>1.6371080139372822</v>
      </c>
    </row>
    <row r="200" spans="19:35" x14ac:dyDescent="0.25">
      <c r="S200" s="518">
        <v>45920</v>
      </c>
      <c r="T200" s="367">
        <v>29</v>
      </c>
      <c r="U200" s="367">
        <v>29.45</v>
      </c>
      <c r="V200" s="367">
        <v>27.5</v>
      </c>
      <c r="W200" s="367">
        <v>27.85</v>
      </c>
      <c r="X200" s="516">
        <v>27.85</v>
      </c>
      <c r="Y200" s="515">
        <v>352707</v>
      </c>
      <c r="Z200" s="367">
        <v>93.31</v>
      </c>
      <c r="AA200" s="367">
        <v>95.05</v>
      </c>
      <c r="AB200" s="367">
        <v>89.44</v>
      </c>
      <c r="AC200" s="367">
        <v>93.41</v>
      </c>
      <c r="AD200" s="516">
        <v>93.41</v>
      </c>
      <c r="AE200" s="515">
        <v>489100</v>
      </c>
      <c r="AF200" s="392">
        <f t="shared" si="12"/>
        <v>0.79799426934097428</v>
      </c>
      <c r="AG200" s="392">
        <f t="shared" si="13"/>
        <v>1.9878697595233026</v>
      </c>
      <c r="AH200" s="392">
        <f t="shared" si="10"/>
        <v>1.6248541423570595</v>
      </c>
      <c r="AI200" s="392">
        <f t="shared" si="11"/>
        <v>1.6273519163763066</v>
      </c>
    </row>
    <row r="201" spans="19:35" x14ac:dyDescent="0.25">
      <c r="S201" s="518">
        <v>45927</v>
      </c>
      <c r="T201" s="367">
        <v>28.25</v>
      </c>
      <c r="U201" s="367">
        <v>28.25</v>
      </c>
      <c r="V201" s="367">
        <v>26</v>
      </c>
      <c r="W201" s="367">
        <v>26.95</v>
      </c>
      <c r="X201" s="516">
        <v>26.95</v>
      </c>
      <c r="Y201" s="515">
        <v>346937</v>
      </c>
      <c r="Z201" s="367">
        <v>93.43</v>
      </c>
      <c r="AA201" s="367">
        <v>96.49</v>
      </c>
      <c r="AB201" s="367">
        <v>92.51</v>
      </c>
      <c r="AC201" s="367">
        <v>94.8</v>
      </c>
      <c r="AD201" s="516">
        <v>94.8</v>
      </c>
      <c r="AE201" s="515">
        <v>426300</v>
      </c>
      <c r="AF201" s="392">
        <f t="shared" si="12"/>
        <v>0.77220630372492838</v>
      </c>
      <c r="AG201" s="392">
        <f t="shared" si="13"/>
        <v>2.0174505213875289</v>
      </c>
      <c r="AH201" s="392">
        <f t="shared" si="10"/>
        <v>1.572345390898483</v>
      </c>
      <c r="AI201" s="392">
        <f t="shared" si="11"/>
        <v>1.6515679442508711</v>
      </c>
    </row>
    <row r="202" spans="19:35" x14ac:dyDescent="0.25">
      <c r="S202" s="518">
        <v>45934</v>
      </c>
      <c r="T202" s="367">
        <v>27</v>
      </c>
      <c r="U202" s="367">
        <v>27.7</v>
      </c>
      <c r="V202" s="367">
        <v>26.05</v>
      </c>
      <c r="W202" s="367">
        <v>27.1</v>
      </c>
      <c r="X202" s="516">
        <v>27.1</v>
      </c>
      <c r="Y202" s="515">
        <v>423161</v>
      </c>
      <c r="Z202" s="367">
        <v>94.93</v>
      </c>
      <c r="AA202" s="367">
        <v>97.48</v>
      </c>
      <c r="AB202" s="367">
        <v>90.96</v>
      </c>
      <c r="AC202" s="367">
        <v>91.14</v>
      </c>
      <c r="AD202" s="516">
        <v>91.14</v>
      </c>
      <c r="AE202" s="515">
        <v>659600</v>
      </c>
      <c r="AF202" s="392">
        <f t="shared" si="12"/>
        <v>0.77650429799426945</v>
      </c>
      <c r="AG202" s="392">
        <f t="shared" si="13"/>
        <v>1.9395616088529473</v>
      </c>
      <c r="AH202" s="392">
        <f t="shared" si="10"/>
        <v>1.5810968494749125</v>
      </c>
      <c r="AI202" s="392">
        <f t="shared" si="11"/>
        <v>1.5878048780487806</v>
      </c>
    </row>
    <row r="203" spans="19:35" x14ac:dyDescent="0.25">
      <c r="S203" s="518">
        <v>45941</v>
      </c>
      <c r="T203" s="367">
        <v>27</v>
      </c>
      <c r="U203" s="367">
        <v>27.5</v>
      </c>
      <c r="V203" s="367">
        <v>24.85</v>
      </c>
      <c r="W203" s="367">
        <v>25.3</v>
      </c>
      <c r="X203" s="516">
        <v>25.3</v>
      </c>
      <c r="Y203" s="515">
        <v>494083</v>
      </c>
      <c r="Z203" s="367">
        <v>92.04</v>
      </c>
      <c r="AA203" s="367">
        <v>96.91</v>
      </c>
      <c r="AB203" s="367">
        <v>89.88</v>
      </c>
      <c r="AC203" s="367">
        <v>91.94</v>
      </c>
      <c r="AD203" s="516">
        <v>91.94</v>
      </c>
      <c r="AE203" s="515">
        <v>766500</v>
      </c>
      <c r="AF203" s="392">
        <f t="shared" si="12"/>
        <v>0.72492836676217765</v>
      </c>
      <c r="AG203" s="392">
        <f t="shared" si="13"/>
        <v>1.9565865077676099</v>
      </c>
      <c r="AH203" s="392">
        <f t="shared" si="10"/>
        <v>1.4760793465577595</v>
      </c>
      <c r="AI203" s="392">
        <f t="shared" si="11"/>
        <v>1.6017421602787456</v>
      </c>
    </row>
    <row r="204" spans="19:35" x14ac:dyDescent="0.25">
      <c r="S204" s="518">
        <v>45948</v>
      </c>
      <c r="T204" s="367">
        <v>25.5</v>
      </c>
      <c r="U204" s="367">
        <v>30.3</v>
      </c>
      <c r="V204" s="367">
        <v>25.3</v>
      </c>
      <c r="W204" s="367">
        <v>29.75</v>
      </c>
      <c r="X204" s="516">
        <v>29.75</v>
      </c>
      <c r="Y204" s="515">
        <v>859222</v>
      </c>
      <c r="Z204" s="367">
        <v>92.7</v>
      </c>
      <c r="AA204" s="367">
        <v>101.47</v>
      </c>
      <c r="AB204" s="367">
        <v>92.7</v>
      </c>
      <c r="AC204" s="367">
        <v>100.7</v>
      </c>
      <c r="AD204" s="516">
        <v>100.7</v>
      </c>
      <c r="AE204" s="515">
        <v>691500</v>
      </c>
      <c r="AF204" s="392">
        <f t="shared" si="12"/>
        <v>0.85243553008595996</v>
      </c>
      <c r="AG204" s="392">
        <f t="shared" si="13"/>
        <v>2.1430091508831666</v>
      </c>
      <c r="AH204" s="392">
        <f t="shared" si="10"/>
        <v>1.735705950991832</v>
      </c>
      <c r="AI204" s="392">
        <f t="shared" si="11"/>
        <v>1.7543554006968642</v>
      </c>
    </row>
    <row r="205" spans="19:35" x14ac:dyDescent="0.25">
      <c r="S205" s="518">
        <v>45955</v>
      </c>
      <c r="T205" s="367">
        <v>29.95</v>
      </c>
      <c r="U205" s="367">
        <v>32.15</v>
      </c>
      <c r="V205" s="367">
        <v>29.1</v>
      </c>
      <c r="W205" s="367">
        <v>31.85</v>
      </c>
      <c r="X205" s="516">
        <v>31.85</v>
      </c>
      <c r="Y205" s="515">
        <v>756163</v>
      </c>
      <c r="Z205" s="367">
        <v>100.92</v>
      </c>
      <c r="AA205" s="367">
        <v>101.45</v>
      </c>
      <c r="AB205" s="367">
        <v>88.2</v>
      </c>
      <c r="AC205" s="367">
        <v>91.75</v>
      </c>
      <c r="AD205" s="516">
        <v>91.75</v>
      </c>
      <c r="AE205" s="515">
        <v>1189800</v>
      </c>
      <c r="AF205" s="392">
        <f t="shared" si="12"/>
        <v>0.91260744985673359</v>
      </c>
      <c r="AG205" s="392">
        <f t="shared" si="13"/>
        <v>1.9525430942753776</v>
      </c>
      <c r="AH205" s="392">
        <f t="shared" si="10"/>
        <v>1.8582263710618436</v>
      </c>
      <c r="AI205" s="392">
        <f t="shared" si="11"/>
        <v>1.5984320557491289</v>
      </c>
    </row>
    <row r="206" spans="19:35" x14ac:dyDescent="0.25">
      <c r="S206" s="518">
        <v>45962</v>
      </c>
      <c r="T206" s="367">
        <v>32.049999999999997</v>
      </c>
      <c r="U206" s="367">
        <v>32.65</v>
      </c>
      <c r="V206" s="367">
        <v>29.1</v>
      </c>
      <c r="W206" s="367">
        <v>29.1</v>
      </c>
      <c r="X206" s="516">
        <v>29.1</v>
      </c>
      <c r="Y206" s="515">
        <v>408526</v>
      </c>
      <c r="Z206" s="367">
        <v>91.13</v>
      </c>
      <c r="AA206" s="367">
        <v>93.53</v>
      </c>
      <c r="AB206" s="367">
        <v>87.24</v>
      </c>
      <c r="AC206" s="367">
        <v>89.54</v>
      </c>
      <c r="AD206" s="516">
        <v>89.54</v>
      </c>
      <c r="AE206" s="515">
        <v>644500</v>
      </c>
      <c r="AF206" s="392">
        <f t="shared" si="12"/>
        <v>0.83381088825214911</v>
      </c>
      <c r="AG206" s="392">
        <f t="shared" si="13"/>
        <v>1.905511811023622</v>
      </c>
      <c r="AH206" s="392">
        <f t="shared" si="10"/>
        <v>1.6977829638273045</v>
      </c>
      <c r="AI206" s="392">
        <f t="shared" si="11"/>
        <v>1.5599303135888503</v>
      </c>
    </row>
    <row r="207" spans="19:35" x14ac:dyDescent="0.25">
      <c r="S207" s="518">
        <v>45969</v>
      </c>
      <c r="T207" s="367">
        <v>29.5</v>
      </c>
      <c r="U207" s="367">
        <v>30.8</v>
      </c>
      <c r="V207" s="367">
        <v>22.45</v>
      </c>
      <c r="W207" s="367">
        <v>23.15</v>
      </c>
      <c r="X207" s="516">
        <v>23.15</v>
      </c>
      <c r="Y207" s="515">
        <v>1392592</v>
      </c>
      <c r="Z207" s="367">
        <v>91</v>
      </c>
      <c r="AA207" s="367">
        <v>99.78</v>
      </c>
      <c r="AB207" s="367">
        <v>90.64</v>
      </c>
      <c r="AC207" s="367">
        <v>91.37</v>
      </c>
      <c r="AD207" s="516">
        <v>91.37</v>
      </c>
      <c r="AE207" s="515">
        <v>633800</v>
      </c>
      <c r="AF207" s="392">
        <f t="shared" si="12"/>
        <v>0.66332378223495703</v>
      </c>
      <c r="AG207" s="392">
        <f t="shared" si="13"/>
        <v>1.9444562672909129</v>
      </c>
      <c r="AH207" s="392">
        <f t="shared" si="10"/>
        <v>1.350641773628938</v>
      </c>
      <c r="AI207" s="392">
        <f t="shared" si="11"/>
        <v>1.5918118466898956</v>
      </c>
    </row>
    <row r="208" spans="19:35" x14ac:dyDescent="0.25">
      <c r="S208" s="518">
        <v>45976</v>
      </c>
      <c r="T208" s="367">
        <v>23.2</v>
      </c>
      <c r="U208" s="367">
        <v>23.7</v>
      </c>
      <c r="V208" s="367">
        <v>22</v>
      </c>
      <c r="W208" s="367">
        <v>22.4</v>
      </c>
      <c r="X208" s="516">
        <v>22.4</v>
      </c>
      <c r="Y208" s="515">
        <v>1010657</v>
      </c>
      <c r="Z208" s="367">
        <v>90.65</v>
      </c>
      <c r="AA208" s="367">
        <v>91.73</v>
      </c>
      <c r="AB208" s="367">
        <v>84.76</v>
      </c>
      <c r="AC208" s="367">
        <v>86.41</v>
      </c>
      <c r="AD208" s="516">
        <v>86.41</v>
      </c>
      <c r="AE208" s="515">
        <v>533900</v>
      </c>
      <c r="AF208" s="392">
        <f t="shared" si="12"/>
        <v>0.64183381088825209</v>
      </c>
      <c r="AG208" s="392">
        <f t="shared" si="13"/>
        <v>1.8389018940200041</v>
      </c>
      <c r="AH208" s="392">
        <f t="shared" si="10"/>
        <v>1.306884480746791</v>
      </c>
      <c r="AI208" s="392">
        <f t="shared" si="11"/>
        <v>1.5054006968641114</v>
      </c>
    </row>
    <row r="209" spans="19:35" x14ac:dyDescent="0.25">
      <c r="S209" s="518">
        <v>45983</v>
      </c>
      <c r="T209" s="367">
        <v>22.6</v>
      </c>
      <c r="U209" s="367">
        <v>25.2</v>
      </c>
      <c r="V209" s="367">
        <v>22</v>
      </c>
      <c r="W209" s="367">
        <v>24.75</v>
      </c>
      <c r="X209" s="516">
        <v>24.75</v>
      </c>
      <c r="Y209" s="515">
        <v>894880</v>
      </c>
      <c r="Z209" s="367">
        <v>86.64</v>
      </c>
      <c r="AA209" s="367">
        <v>91.88</v>
      </c>
      <c r="AB209" s="367">
        <v>84.97</v>
      </c>
      <c r="AC209" s="367">
        <v>91.69</v>
      </c>
      <c r="AD209" s="516">
        <v>91.69</v>
      </c>
      <c r="AE209" s="515">
        <v>344000</v>
      </c>
      <c r="AF209" s="392">
        <f t="shared" si="12"/>
        <v>0.70916905444126077</v>
      </c>
      <c r="AG209" s="392">
        <f t="shared" si="13"/>
        <v>1.951266226856778</v>
      </c>
      <c r="AH209" s="392">
        <f t="shared" si="10"/>
        <v>1.4439906651108518</v>
      </c>
      <c r="AI209" s="392">
        <f t="shared" si="11"/>
        <v>1.5973867595818816</v>
      </c>
    </row>
    <row r="210" spans="19:35" x14ac:dyDescent="0.25">
      <c r="S210" s="518">
        <v>45990</v>
      </c>
      <c r="T210" s="367">
        <v>24.8</v>
      </c>
      <c r="U210" s="367">
        <v>26.35</v>
      </c>
      <c r="V210" s="367">
        <v>23.7</v>
      </c>
      <c r="W210" s="367">
        <v>26.1</v>
      </c>
      <c r="X210" s="516">
        <v>26.1</v>
      </c>
      <c r="Y210" s="515">
        <v>694291</v>
      </c>
      <c r="Z210" s="367">
        <v>90.24</v>
      </c>
      <c r="AA210" s="367">
        <v>91.7</v>
      </c>
      <c r="AB210" s="367">
        <v>88.15</v>
      </c>
      <c r="AC210" s="367">
        <v>89.44</v>
      </c>
      <c r="AD210" s="516">
        <v>89.44</v>
      </c>
      <c r="AE210" s="515">
        <v>484200</v>
      </c>
      <c r="AF210" s="392">
        <f t="shared" si="12"/>
        <v>0.74785100286532957</v>
      </c>
      <c r="AG210" s="392">
        <f t="shared" si="13"/>
        <v>1.9033836986592891</v>
      </c>
      <c r="AH210" s="392">
        <f t="shared" si="10"/>
        <v>1.5227537922987164</v>
      </c>
      <c r="AI210" s="392">
        <f t="shared" si="11"/>
        <v>1.5581881533101045</v>
      </c>
    </row>
    <row r="211" spans="19:35" x14ac:dyDescent="0.25">
      <c r="S211" s="518">
        <v>45997</v>
      </c>
      <c r="T211" s="367">
        <v>26.1</v>
      </c>
      <c r="U211" s="367">
        <v>26.95</v>
      </c>
      <c r="V211" s="367">
        <v>24.4</v>
      </c>
      <c r="W211" s="367">
        <v>24.65</v>
      </c>
      <c r="X211" s="516">
        <v>24.65</v>
      </c>
      <c r="Y211" s="515">
        <v>415792</v>
      </c>
      <c r="Z211" s="367">
        <v>90.45</v>
      </c>
      <c r="AA211" s="367">
        <v>98.45</v>
      </c>
      <c r="AB211" s="367">
        <v>88.38</v>
      </c>
      <c r="AC211" s="367">
        <v>94.22</v>
      </c>
      <c r="AD211" s="516">
        <v>94.22</v>
      </c>
      <c r="AE211" s="515">
        <v>515100</v>
      </c>
      <c r="AF211" s="392">
        <f t="shared" si="12"/>
        <v>0.70630372492836679</v>
      </c>
      <c r="AG211" s="392">
        <f t="shared" si="13"/>
        <v>2.0051074696743987</v>
      </c>
      <c r="AH211" s="392">
        <f t="shared" si="10"/>
        <v>1.4381563593932321</v>
      </c>
      <c r="AI211" s="392">
        <f t="shared" si="11"/>
        <v>1.6414634146341465</v>
      </c>
    </row>
    <row r="212" spans="19:35" x14ac:dyDescent="0.25">
      <c r="S212" s="518">
        <v>46004</v>
      </c>
      <c r="T212" s="367">
        <v>24.75</v>
      </c>
      <c r="U212" s="367">
        <v>26.6</v>
      </c>
      <c r="V212" s="367">
        <v>23.75</v>
      </c>
      <c r="W212" s="367">
        <v>26.5</v>
      </c>
      <c r="X212" s="516">
        <v>26.5</v>
      </c>
      <c r="Y212" s="515">
        <v>747091</v>
      </c>
      <c r="Z212" s="367">
        <v>95.51</v>
      </c>
      <c r="AA212" s="367">
        <v>95.51</v>
      </c>
      <c r="AB212" s="367">
        <v>91.35</v>
      </c>
      <c r="AC212" s="367">
        <v>94.24</v>
      </c>
      <c r="AD212" s="516">
        <v>94.24</v>
      </c>
      <c r="AE212" s="515">
        <v>665700</v>
      </c>
      <c r="AF212" s="392">
        <f t="shared" si="12"/>
        <v>0.75931232091690548</v>
      </c>
      <c r="AG212" s="392">
        <f t="shared" si="13"/>
        <v>2.0055330921472652</v>
      </c>
      <c r="AH212" s="392">
        <f t="shared" si="10"/>
        <v>1.5460910151691949</v>
      </c>
      <c r="AI212" s="392">
        <f t="shared" si="11"/>
        <v>1.6418118466898954</v>
      </c>
    </row>
    <row r="213" spans="19:35" x14ac:dyDescent="0.25">
      <c r="S213" s="518">
        <v>46011</v>
      </c>
      <c r="T213" s="367">
        <v>26.6</v>
      </c>
      <c r="U213" s="367">
        <v>27.35</v>
      </c>
      <c r="V213" s="367">
        <v>25.8</v>
      </c>
      <c r="W213" s="367">
        <v>27.15</v>
      </c>
      <c r="X213" s="516">
        <v>27.15</v>
      </c>
      <c r="Y213" s="515">
        <v>209581</v>
      </c>
      <c r="Z213" s="367">
        <v>95</v>
      </c>
      <c r="AA213" s="367">
        <v>99.23</v>
      </c>
      <c r="AB213" s="367">
        <v>94.8</v>
      </c>
      <c r="AC213" s="367">
        <v>96.46</v>
      </c>
      <c r="AD213" s="516">
        <v>96.46</v>
      </c>
      <c r="AE213" s="515">
        <v>340400</v>
      </c>
      <c r="AF213" s="392">
        <f t="shared" si="12"/>
        <v>0.77793696275071633</v>
      </c>
      <c r="AG213" s="392">
        <f t="shared" si="13"/>
        <v>2.0527771866354541</v>
      </c>
      <c r="AH213" s="392">
        <f t="shared" si="10"/>
        <v>1.5840140023337221</v>
      </c>
      <c r="AI213" s="392">
        <f t="shared" si="11"/>
        <v>1.6804878048780487</v>
      </c>
    </row>
    <row r="214" spans="19:35" x14ac:dyDescent="0.25">
      <c r="S214" s="518">
        <v>46018</v>
      </c>
      <c r="T214" s="367">
        <v>27.5</v>
      </c>
      <c r="U214" s="367">
        <v>28.45</v>
      </c>
      <c r="V214" s="367">
        <v>27.5</v>
      </c>
      <c r="W214" s="367">
        <v>28.3</v>
      </c>
      <c r="X214" s="516">
        <v>28.3</v>
      </c>
      <c r="Y214" s="515">
        <v>248605</v>
      </c>
      <c r="Z214" s="367">
        <v>96.3</v>
      </c>
      <c r="AA214" s="367">
        <v>96.8</v>
      </c>
      <c r="AB214" s="367">
        <v>94</v>
      </c>
      <c r="AC214" s="367">
        <v>95.13</v>
      </c>
      <c r="AD214" s="516">
        <v>95.13</v>
      </c>
      <c r="AE214" s="515">
        <v>191200</v>
      </c>
      <c r="AF214" s="392">
        <f t="shared" si="12"/>
        <v>0.81088825214899718</v>
      </c>
      <c r="AG214" s="392">
        <f t="shared" si="13"/>
        <v>2.0244732921898274</v>
      </c>
      <c r="AH214" s="392">
        <f>X214/$X$59</f>
        <v>1.6511085180863476</v>
      </c>
      <c r="AI214" s="392">
        <f t="shared" si="11"/>
        <v>1.6573170731707316</v>
      </c>
    </row>
  </sheetData>
  <sortState xmlns:xlrd2="http://schemas.microsoft.com/office/spreadsheetml/2017/richdata2" ref="S6:AE214">
    <sortCondition ref="S6:S214"/>
  </sortState>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06B5-72C7-4ABE-9D9F-42A1A80F7C57}">
  <dimension ref="A3:J63"/>
  <sheetViews>
    <sheetView showGridLines="0" view="pageBreakPreview" topLeftCell="B1" zoomScale="115" zoomScaleNormal="115" zoomScaleSheetLayoutView="115" workbookViewId="0">
      <pane ySplit="4" topLeftCell="A43" activePane="bottomLeft" state="frozen"/>
      <selection activeCell="B1" sqref="B1"/>
      <selection pane="bottomLeft" activeCell="C62" sqref="C62"/>
    </sheetView>
  </sheetViews>
  <sheetFormatPr defaultRowHeight="12.75" x14ac:dyDescent="0.2"/>
  <cols>
    <col min="1" max="1" width="9.140625" style="521" hidden="1" customWidth="1"/>
    <col min="2" max="2" width="11.85546875" style="521" customWidth="1"/>
    <col min="3" max="9" width="11" style="521" customWidth="1"/>
    <col min="10" max="16384" width="9.140625" style="521"/>
  </cols>
  <sheetData>
    <row r="3" spans="2:9" x14ac:dyDescent="0.2">
      <c r="B3" s="519" t="s">
        <v>393</v>
      </c>
      <c r="C3" s="520"/>
      <c r="D3" s="520"/>
      <c r="E3" s="520"/>
      <c r="F3" s="520"/>
      <c r="G3" s="520"/>
      <c r="H3" s="520"/>
      <c r="I3" s="520"/>
    </row>
    <row r="4" spans="2:9" x14ac:dyDescent="0.2">
      <c r="B4" s="519"/>
      <c r="C4" s="522" t="s">
        <v>231</v>
      </c>
      <c r="D4" s="522" t="s">
        <v>107</v>
      </c>
      <c r="E4" s="522" t="s">
        <v>83</v>
      </c>
      <c r="F4" s="522" t="s">
        <v>82</v>
      </c>
      <c r="G4" s="522" t="s">
        <v>296</v>
      </c>
      <c r="H4" s="522" t="s">
        <v>698</v>
      </c>
      <c r="I4" s="522" t="s">
        <v>699</v>
      </c>
    </row>
    <row r="5" spans="2:9" x14ac:dyDescent="0.2">
      <c r="B5" s="523" t="s">
        <v>552</v>
      </c>
    </row>
    <row r="6" spans="2:9" x14ac:dyDescent="0.2">
      <c r="B6" s="524" t="s">
        <v>504</v>
      </c>
      <c r="C6" s="525">
        <v>271.20400000000001</v>
      </c>
      <c r="D6" s="525">
        <v>332.41800000000001</v>
      </c>
      <c r="E6" s="525">
        <v>402.10899999999998</v>
      </c>
      <c r="F6" s="525">
        <v>507.733</v>
      </c>
      <c r="G6" s="525">
        <v>525.31700000000001</v>
      </c>
    </row>
    <row r="7" spans="2:9" x14ac:dyDescent="0.2">
      <c r="B7" s="524" t="s">
        <v>181</v>
      </c>
      <c r="C7" s="525">
        <v>7.306</v>
      </c>
      <c r="D7" s="525">
        <v>-12.385</v>
      </c>
      <c r="E7" s="525">
        <v>32.506999999999998</v>
      </c>
      <c r="F7" s="525">
        <v>47.411000000000001</v>
      </c>
      <c r="G7" s="525">
        <v>53.106999999999999</v>
      </c>
    </row>
    <row r="8" spans="2:9" x14ac:dyDescent="0.2">
      <c r="B8" s="526" t="s">
        <v>548</v>
      </c>
      <c r="C8" s="539">
        <v>2.6939130691287737E-2</v>
      </c>
      <c r="D8" s="539">
        <v>-3.7257308569331384E-2</v>
      </c>
      <c r="E8" s="539">
        <v>8.084126443327555E-2</v>
      </c>
      <c r="F8" s="539">
        <v>9.3377818656656161E-2</v>
      </c>
      <c r="G8" s="539">
        <v>0.10109514826285843</v>
      </c>
    </row>
    <row r="10" spans="2:9" x14ac:dyDescent="0.2">
      <c r="B10" s="527" t="s">
        <v>551</v>
      </c>
    </row>
    <row r="11" spans="2:9" x14ac:dyDescent="0.2">
      <c r="B11" s="524" t="s">
        <v>504</v>
      </c>
      <c r="C11" s="525">
        <v>497.55400000000003</v>
      </c>
      <c r="D11" s="525">
        <v>606.976</v>
      </c>
      <c r="E11" s="525">
        <v>736.202</v>
      </c>
      <c r="F11" s="525">
        <v>884.52200000000005</v>
      </c>
      <c r="G11" s="525">
        <v>984.40499999999997</v>
      </c>
    </row>
    <row r="12" spans="2:9" x14ac:dyDescent="0.2">
      <c r="B12" s="524" t="s">
        <v>181</v>
      </c>
      <c r="C12" s="525">
        <v>1.52</v>
      </c>
      <c r="D12" s="525">
        <v>8.8239999999999998</v>
      </c>
      <c r="E12" s="525">
        <v>-1.1140000000000001</v>
      </c>
      <c r="F12" s="525">
        <v>2.0209999999999999</v>
      </c>
      <c r="G12" s="525">
        <v>22.548000000000002</v>
      </c>
    </row>
    <row r="13" spans="2:9" x14ac:dyDescent="0.2">
      <c r="B13" s="526" t="s">
        <v>548</v>
      </c>
      <c r="C13" s="539">
        <v>3.0549447899122506E-3</v>
      </c>
      <c r="D13" s="539">
        <v>1.4537642345002108E-2</v>
      </c>
      <c r="E13" s="539">
        <v>-1.5131716566920493E-3</v>
      </c>
      <c r="F13" s="539">
        <v>2.2848498963281864E-3</v>
      </c>
      <c r="G13" s="539">
        <v>2.2905206698462521E-2</v>
      </c>
    </row>
    <row r="15" spans="2:9" x14ac:dyDescent="0.2">
      <c r="B15" s="519"/>
      <c r="C15" s="550" t="s">
        <v>701</v>
      </c>
      <c r="D15" s="551" t="s">
        <v>702</v>
      </c>
      <c r="E15" s="551" t="s">
        <v>703</v>
      </c>
      <c r="F15" s="551" t="s">
        <v>704</v>
      </c>
      <c r="G15" s="551" t="s">
        <v>705</v>
      </c>
      <c r="H15" s="551" t="s">
        <v>706</v>
      </c>
      <c r="I15" s="551" t="s">
        <v>707</v>
      </c>
    </row>
    <row r="16" spans="2:9" x14ac:dyDescent="0.2">
      <c r="B16" s="545" t="s">
        <v>708</v>
      </c>
      <c r="C16" s="543"/>
      <c r="D16" s="543"/>
      <c r="E16" s="543"/>
      <c r="F16" s="543"/>
      <c r="G16" s="543"/>
      <c r="H16" s="543"/>
      <c r="I16" s="543"/>
    </row>
    <row r="17" spans="2:10" x14ac:dyDescent="0.2">
      <c r="B17" s="546" t="s">
        <v>504</v>
      </c>
      <c r="C17" s="544">
        <v>284.96499999999997</v>
      </c>
      <c r="D17" s="544">
        <v>636.42700000000002</v>
      </c>
      <c r="E17" s="544">
        <v>704.529</v>
      </c>
      <c r="F17" s="544">
        <v>815.61900000000003</v>
      </c>
      <c r="G17" s="544">
        <v>881.27200000000005</v>
      </c>
      <c r="H17" s="544">
        <f>Model!AL12/1000</f>
        <v>950</v>
      </c>
      <c r="I17" s="544">
        <f>Model!AM12/1000</f>
        <v>1016.5000000000001</v>
      </c>
    </row>
    <row r="18" spans="2:10" x14ac:dyDescent="0.2">
      <c r="B18" s="546" t="s">
        <v>181</v>
      </c>
      <c r="C18" s="544">
        <v>35.127000000000002</v>
      </c>
      <c r="D18" s="544">
        <v>65.707999999999998</v>
      </c>
      <c r="E18" s="544">
        <v>73.569000000000003</v>
      </c>
      <c r="F18" s="544">
        <v>127.035</v>
      </c>
      <c r="G18" s="544">
        <v>159.81100000000001</v>
      </c>
      <c r="H18" s="544">
        <f>Model!AL14/1000</f>
        <v>171</v>
      </c>
      <c r="I18" s="544">
        <f>Model!AM14/1000</f>
        <v>203.30000000000004</v>
      </c>
    </row>
    <row r="19" spans="2:10" x14ac:dyDescent="0.2">
      <c r="B19" s="547" t="s">
        <v>548</v>
      </c>
      <c r="C19" s="548">
        <v>0.12326776972610672</v>
      </c>
      <c r="D19" s="548">
        <v>0.10324514830451882</v>
      </c>
      <c r="E19" s="548">
        <v>0.10442295491030178</v>
      </c>
      <c r="F19" s="548">
        <v>0.15575286990616943</v>
      </c>
      <c r="G19" s="548">
        <v>0.18134128850116649</v>
      </c>
      <c r="H19" s="548">
        <f>H18/H17</f>
        <v>0.18</v>
      </c>
      <c r="I19" s="549">
        <f>I18/I17</f>
        <v>0.2</v>
      </c>
    </row>
    <row r="20" spans="2:10" x14ac:dyDescent="0.2">
      <c r="B20" s="527" t="s">
        <v>549</v>
      </c>
      <c r="J20" s="521">
        <v>1E-3</v>
      </c>
    </row>
    <row r="21" spans="2:10" x14ac:dyDescent="0.2">
      <c r="B21" s="524" t="s">
        <v>504</v>
      </c>
      <c r="C21" s="532">
        <f>Model!AA86/1000</f>
        <v>790.05200000000002</v>
      </c>
      <c r="D21" s="532">
        <f>Model!AB86/1000</f>
        <v>1306.134</v>
      </c>
      <c r="E21" s="532">
        <f>Model!AC86/1000</f>
        <v>1270.348</v>
      </c>
      <c r="F21" s="532">
        <f>Model!AD86/1000</f>
        <v>1493.673</v>
      </c>
      <c r="G21" s="532">
        <f>Model!AF86/1000</f>
        <v>979.33100000000002</v>
      </c>
      <c r="H21" s="532">
        <f>(Model!AL86)*0.001</f>
        <v>1050</v>
      </c>
      <c r="I21" s="532">
        <f>(Model!AM86)*0.001</f>
        <v>1119</v>
      </c>
    </row>
    <row r="22" spans="2:10" x14ac:dyDescent="0.2">
      <c r="B22" s="524" t="s">
        <v>181</v>
      </c>
      <c r="C22" s="532">
        <f>Model!AA99/1000</f>
        <v>46.052999999999997</v>
      </c>
      <c r="D22" s="532">
        <f>Model!AB99/1000</f>
        <v>126.92400000000001</v>
      </c>
      <c r="E22" s="532">
        <f>Model!AC99/1000</f>
        <v>96.902000000000001</v>
      </c>
      <c r="F22" s="532">
        <f>Model!AD99/1000</f>
        <v>160.46799999999999</v>
      </c>
      <c r="G22" s="532">
        <f>Model!AF99/1000</f>
        <v>160.59200000000001</v>
      </c>
      <c r="H22" s="532">
        <f>(Model!AL99)*0.001</f>
        <v>180</v>
      </c>
      <c r="I22" s="532">
        <f>(Model!AM99)*0.001</f>
        <v>213.55000000000004</v>
      </c>
    </row>
    <row r="23" spans="2:10" x14ac:dyDescent="0.2">
      <c r="B23" s="528" t="s">
        <v>548</v>
      </c>
      <c r="C23" s="540">
        <f>C22/C21</f>
        <v>5.8291099826340537E-2</v>
      </c>
      <c r="D23" s="540">
        <f>D22/D21</f>
        <v>9.7175328105692071E-2</v>
      </c>
      <c r="E23" s="540">
        <f>E22/E21</f>
        <v>7.627988551168656E-2</v>
      </c>
      <c r="F23" s="540">
        <f>F22/F21</f>
        <v>0.10743181405836484</v>
      </c>
      <c r="G23" s="540">
        <f>G22/G21</f>
        <v>0.16398133011208674</v>
      </c>
      <c r="H23" s="540">
        <f t="shared" ref="H23:I23" si="0">H22/H21</f>
        <v>0.17142857142857143</v>
      </c>
      <c r="I23" s="541">
        <f t="shared" si="0"/>
        <v>0.19084003574620201</v>
      </c>
    </row>
    <row r="24" spans="2:10" x14ac:dyDescent="0.2">
      <c r="B24" s="524" t="s">
        <v>18</v>
      </c>
      <c r="C24" s="542">
        <f>Model!AA133/1000</f>
        <v>-49.38</v>
      </c>
      <c r="D24" s="542">
        <f>Model!AB133/1000</f>
        <v>-36.774999999999999</v>
      </c>
      <c r="E24" s="542">
        <f>Model!AC133/1000</f>
        <v>-38.408000000000001</v>
      </c>
      <c r="F24" s="542">
        <f>Model!AD133/1000</f>
        <v>35.786999999999999</v>
      </c>
      <c r="G24" s="542">
        <f>Model!AF133/1000</f>
        <v>-3.0329999999999999</v>
      </c>
      <c r="H24" s="521">
        <f>(Model!AL130)*0.001</f>
        <v>21</v>
      </c>
      <c r="I24" s="521">
        <f>(Model!AM130)*0.001</f>
        <v>22.38</v>
      </c>
    </row>
    <row r="25" spans="2:10" ht="13.5" thickBot="1" x14ac:dyDescent="0.25">
      <c r="B25" s="529" t="s">
        <v>700</v>
      </c>
      <c r="C25" s="530">
        <f>Model!AA138</f>
        <v>-1.1733431959058898</v>
      </c>
      <c r="D25" s="530">
        <f>Model!AB138</f>
        <v>-0.5938374701543635</v>
      </c>
      <c r="E25" s="530">
        <f>Model!AC138</f>
        <v>-0.61225513404347787</v>
      </c>
      <c r="F25" s="530">
        <f>Model!AD138</f>
        <v>0.58202193604535435</v>
      </c>
      <c r="G25" s="530">
        <f>Model!AF138</f>
        <v>-4.9115071478662085E-2</v>
      </c>
      <c r="H25" s="530">
        <f>Model!AL138</f>
        <v>0.33585688735001751</v>
      </c>
      <c r="I25" s="530">
        <f>Model!AM138</f>
        <v>0.35792748280444725</v>
      </c>
    </row>
    <row r="27" spans="2:10" x14ac:dyDescent="0.2">
      <c r="C27" s="531">
        <v>44561</v>
      </c>
      <c r="D27" s="531">
        <f>EOMONTH(C27,12)</f>
        <v>44926</v>
      </c>
      <c r="E27" s="531">
        <f t="shared" ref="E27:G27" si="1">EOMONTH(D27,12)</f>
        <v>45291</v>
      </c>
      <c r="F27" s="531">
        <f t="shared" si="1"/>
        <v>45657</v>
      </c>
      <c r="G27" s="531">
        <f t="shared" si="1"/>
        <v>46022</v>
      </c>
    </row>
    <row r="28" spans="2:10" x14ac:dyDescent="0.2">
      <c r="B28" s="521" t="s">
        <v>185</v>
      </c>
      <c r="C28" s="532">
        <v>284965</v>
      </c>
      <c r="D28" s="532">
        <v>636427</v>
      </c>
      <c r="E28" s="532">
        <v>704529</v>
      </c>
      <c r="F28" s="532">
        <v>815619</v>
      </c>
      <c r="G28" s="532">
        <v>881272</v>
      </c>
      <c r="H28" s="532">
        <f>Model!AL12</f>
        <v>950000</v>
      </c>
      <c r="I28" s="532">
        <f>Model!AM12</f>
        <v>1016500.0000000001</v>
      </c>
    </row>
    <row r="29" spans="2:10" x14ac:dyDescent="0.2">
      <c r="B29" s="521" t="s">
        <v>181</v>
      </c>
      <c r="C29" s="532">
        <v>35127</v>
      </c>
      <c r="D29" s="532">
        <v>65708</v>
      </c>
      <c r="E29" s="532">
        <v>73569</v>
      </c>
      <c r="F29" s="532">
        <v>127035</v>
      </c>
      <c r="G29" s="532">
        <v>159811</v>
      </c>
    </row>
    <row r="30" spans="2:10" x14ac:dyDescent="0.2">
      <c r="B30" s="521" t="s">
        <v>182</v>
      </c>
      <c r="C30" s="532">
        <v>-54104</v>
      </c>
      <c r="D30" s="532">
        <v>-89418</v>
      </c>
      <c r="E30" s="532">
        <v>-82527</v>
      </c>
      <c r="F30" s="532">
        <v>-82999</v>
      </c>
      <c r="G30" s="532">
        <v>-87106</v>
      </c>
    </row>
    <row r="31" spans="2:10" x14ac:dyDescent="0.2">
      <c r="B31" s="521" t="s">
        <v>534</v>
      </c>
      <c r="C31" s="532">
        <v>-18977</v>
      </c>
      <c r="D31" s="532">
        <v>-23710</v>
      </c>
      <c r="E31" s="532">
        <v>-8958</v>
      </c>
      <c r="F31" s="532">
        <v>44036</v>
      </c>
      <c r="G31" s="532">
        <v>72705</v>
      </c>
    </row>
    <row r="32" spans="2:10" x14ac:dyDescent="0.2">
      <c r="B32" s="521" t="s">
        <v>183</v>
      </c>
      <c r="C32" s="532">
        <v>100787</v>
      </c>
      <c r="D32" s="532">
        <v>77222</v>
      </c>
      <c r="E32" s="532">
        <v>54020</v>
      </c>
      <c r="F32" s="532">
        <v>73282</v>
      </c>
      <c r="G32" s="532">
        <f>Model!AF20</f>
        <v>68161</v>
      </c>
      <c r="H32" s="532">
        <f>Model!AL20</f>
        <v>66500</v>
      </c>
      <c r="I32" s="532">
        <f>Model!AM20</f>
        <v>71155.000000000015</v>
      </c>
    </row>
    <row r="33" spans="2:7" x14ac:dyDescent="0.2">
      <c r="B33" s="527" t="s">
        <v>563</v>
      </c>
    </row>
    <row r="34" spans="2:7" x14ac:dyDescent="0.2">
      <c r="B34" s="521" t="s">
        <v>564</v>
      </c>
      <c r="C34" s="532"/>
      <c r="D34" s="532">
        <f>D28-C28</f>
        <v>351462</v>
      </c>
      <c r="E34" s="532">
        <f t="shared" ref="E34:G34" si="2">E28-D28</f>
        <v>68102</v>
      </c>
      <c r="F34" s="532">
        <f t="shared" si="2"/>
        <v>111090</v>
      </c>
      <c r="G34" s="532">
        <f t="shared" si="2"/>
        <v>65653</v>
      </c>
    </row>
    <row r="35" spans="2:7" x14ac:dyDescent="0.2">
      <c r="B35" s="521" t="s">
        <v>565</v>
      </c>
      <c r="C35" s="532"/>
      <c r="D35" s="532">
        <f t="shared" ref="D35:G35" si="3">D29-C29</f>
        <v>30581</v>
      </c>
      <c r="E35" s="532">
        <f t="shared" si="3"/>
        <v>7861</v>
      </c>
      <c r="F35" s="532">
        <f t="shared" si="3"/>
        <v>53466</v>
      </c>
      <c r="G35" s="532">
        <f t="shared" si="3"/>
        <v>32776</v>
      </c>
    </row>
    <row r="36" spans="2:7" x14ac:dyDescent="0.2">
      <c r="B36" s="521" t="s">
        <v>567</v>
      </c>
      <c r="C36" s="532"/>
      <c r="D36" s="532">
        <f t="shared" ref="D36:G37" si="4">D30-C30</f>
        <v>-35314</v>
      </c>
      <c r="E36" s="532">
        <f t="shared" si="4"/>
        <v>6891</v>
      </c>
      <c r="F36" s="532">
        <f>F30-E30</f>
        <v>-472</v>
      </c>
      <c r="G36" s="532">
        <f t="shared" si="4"/>
        <v>-4107</v>
      </c>
    </row>
    <row r="37" spans="2:7" x14ac:dyDescent="0.2">
      <c r="B37" s="521" t="s">
        <v>566</v>
      </c>
      <c r="C37" s="532"/>
      <c r="D37" s="532">
        <f t="shared" si="4"/>
        <v>-4733</v>
      </c>
      <c r="E37" s="532">
        <f t="shared" si="4"/>
        <v>14752</v>
      </c>
      <c r="F37" s="532">
        <f>F31-E31</f>
        <v>52994</v>
      </c>
      <c r="G37" s="532">
        <f t="shared" si="4"/>
        <v>28669</v>
      </c>
    </row>
    <row r="38" spans="2:7" x14ac:dyDescent="0.2">
      <c r="B38" s="524" t="s">
        <v>568</v>
      </c>
      <c r="D38" s="533">
        <f>D37/D34</f>
        <v>-1.3466605209097997E-2</v>
      </c>
      <c r="E38" s="533">
        <f t="shared" ref="E38:G38" si="5">E37/E34</f>
        <v>0.21661625209244956</v>
      </c>
      <c r="F38" s="533">
        <f t="shared" si="5"/>
        <v>0.47703663696102261</v>
      </c>
      <c r="G38" s="533">
        <f t="shared" si="5"/>
        <v>0.43667463786879501</v>
      </c>
    </row>
    <row r="43" spans="2:7" x14ac:dyDescent="0.2">
      <c r="B43" s="527" t="s">
        <v>562</v>
      </c>
    </row>
    <row r="44" spans="2:7" x14ac:dyDescent="0.2">
      <c r="B44" s="521" t="str">
        <f>B28</f>
        <v>Sales</v>
      </c>
      <c r="D44" s="533">
        <f>D28/C28-1</f>
        <v>1.2333514642149037</v>
      </c>
      <c r="E44" s="533">
        <f t="shared" ref="E44:G44" si="6">E28/D28-1</f>
        <v>0.10700677375409895</v>
      </c>
      <c r="F44" s="533">
        <f t="shared" si="6"/>
        <v>0.15767981161882627</v>
      </c>
      <c r="G44" s="533">
        <f t="shared" si="6"/>
        <v>8.0494691761717085E-2</v>
      </c>
    </row>
    <row r="45" spans="2:7" x14ac:dyDescent="0.2">
      <c r="B45" s="521" t="str">
        <f t="shared" ref="B45:B47" si="7">B29</f>
        <v>EBITDA</v>
      </c>
      <c r="D45" s="533">
        <f t="shared" ref="D45:G45" si="8">D29/C29-1</f>
        <v>0.87058388134483455</v>
      </c>
      <c r="E45" s="533">
        <f t="shared" si="8"/>
        <v>0.11963535642539713</v>
      </c>
      <c r="F45" s="533">
        <f t="shared" si="8"/>
        <v>0.72674631978142967</v>
      </c>
      <c r="G45" s="533">
        <f t="shared" si="8"/>
        <v>0.25800763569095131</v>
      </c>
    </row>
    <row r="46" spans="2:7" x14ac:dyDescent="0.2">
      <c r="B46" s="521" t="str">
        <f t="shared" si="7"/>
        <v>D&amp;A</v>
      </c>
      <c r="D46" s="533">
        <f t="shared" ref="D46:G46" si="9">D30/C30-1</f>
        <v>0.65270589974863236</v>
      </c>
      <c r="E46" s="533">
        <f t="shared" si="9"/>
        <v>-7.7065020465678091E-2</v>
      </c>
      <c r="F46" s="533">
        <f t="shared" si="9"/>
        <v>5.7193403371018636E-3</v>
      </c>
      <c r="G46" s="533">
        <f t="shared" si="9"/>
        <v>4.9482523885829854E-2</v>
      </c>
    </row>
    <row r="47" spans="2:7" x14ac:dyDescent="0.2">
      <c r="B47" s="521" t="str">
        <f t="shared" si="7"/>
        <v>Segment EBIT</v>
      </c>
      <c r="D47" s="533">
        <f t="shared" ref="D47:G47" si="10">D31/C31-1</f>
        <v>0.24940717710913218</v>
      </c>
      <c r="E47" s="533">
        <f t="shared" si="10"/>
        <v>-0.62218473218051451</v>
      </c>
      <c r="F47" s="533">
        <f t="shared" si="10"/>
        <v>-5.9158294262112081</v>
      </c>
      <c r="G47" s="533">
        <f t="shared" si="10"/>
        <v>0.65103551639567625</v>
      </c>
    </row>
    <row r="48" spans="2:7" x14ac:dyDescent="0.2">
      <c r="B48" s="521" t="s">
        <v>185</v>
      </c>
      <c r="D48" s="533">
        <f t="shared" ref="D48:G48" si="11">D32/C32-1</f>
        <v>-0.2338099159613839</v>
      </c>
      <c r="E48" s="533">
        <f t="shared" si="11"/>
        <v>-0.30045841858537725</v>
      </c>
      <c r="F48" s="533">
        <f t="shared" si="11"/>
        <v>0.35657164013328391</v>
      </c>
      <c r="G48" s="533">
        <f t="shared" si="11"/>
        <v>-6.9880734696105451E-2</v>
      </c>
    </row>
    <row r="49" spans="2:9" x14ac:dyDescent="0.2">
      <c r="B49" s="527" t="s">
        <v>553</v>
      </c>
    </row>
    <row r="50" spans="2:9" x14ac:dyDescent="0.2">
      <c r="B50" s="521" t="s">
        <v>181</v>
      </c>
      <c r="C50" s="533">
        <v>0.12326776972610672</v>
      </c>
      <c r="D50" s="533">
        <v>0.10324514830451882</v>
      </c>
      <c r="E50" s="533">
        <v>0.10442295491030178</v>
      </c>
      <c r="F50" s="533">
        <v>0.15575286990616943</v>
      </c>
      <c r="G50" s="533">
        <v>0.18134128850116649</v>
      </c>
    </row>
    <row r="51" spans="2:9" x14ac:dyDescent="0.2">
      <c r="B51" s="521" t="s">
        <v>534</v>
      </c>
      <c r="C51" s="533">
        <v>-6.6594143140385656E-2</v>
      </c>
      <c r="D51" s="533">
        <v>-3.7254861908749944E-2</v>
      </c>
      <c r="E51" s="533">
        <v>-1.2714877599076829E-2</v>
      </c>
      <c r="F51" s="533">
        <v>5.3990895258693092E-2</v>
      </c>
      <c r="G51" s="533">
        <v>8.2500068083406708E-2</v>
      </c>
    </row>
    <row r="52" spans="2:9" x14ac:dyDescent="0.2">
      <c r="B52" s="521" t="s">
        <v>183</v>
      </c>
      <c r="C52" s="533">
        <v>0.3536820311266296</v>
      </c>
      <c r="D52" s="533">
        <v>0.12133677546678566</v>
      </c>
      <c r="E52" s="533">
        <v>7.6675339127275102E-2</v>
      </c>
      <c r="F52" s="533">
        <v>8.9848323788435533E-2</v>
      </c>
      <c r="G52" s="533">
        <v>7.7343884748409114E-2</v>
      </c>
      <c r="H52" s="533">
        <f>H32/H28</f>
        <v>7.0000000000000007E-2</v>
      </c>
      <c r="I52" s="533">
        <f>I32/I28</f>
        <v>7.0000000000000007E-2</v>
      </c>
    </row>
    <row r="56" spans="2:9" x14ac:dyDescent="0.2">
      <c r="C56" s="521" t="s">
        <v>271</v>
      </c>
      <c r="D56" s="521" t="s">
        <v>554</v>
      </c>
      <c r="E56" s="521" t="s">
        <v>375</v>
      </c>
      <c r="F56" s="521" t="s">
        <v>555</v>
      </c>
    </row>
    <row r="57" spans="2:9" x14ac:dyDescent="0.2">
      <c r="B57" s="534" t="s">
        <v>556</v>
      </c>
      <c r="C57" s="532">
        <v>284.96499999999997</v>
      </c>
      <c r="D57" s="533">
        <v>0.12326776972610672</v>
      </c>
      <c r="E57" s="533">
        <v>-6.6594143140385656E-2</v>
      </c>
      <c r="F57" s="533">
        <v>0.3536820311266296</v>
      </c>
    </row>
    <row r="58" spans="2:9" x14ac:dyDescent="0.2">
      <c r="B58" s="534" t="s">
        <v>557</v>
      </c>
      <c r="C58" s="532">
        <v>636.42700000000002</v>
      </c>
      <c r="D58" s="533">
        <v>0.10324514830451882</v>
      </c>
      <c r="E58" s="533">
        <v>-3.7254861908749944E-2</v>
      </c>
      <c r="F58" s="533">
        <v>0.12133677546678566</v>
      </c>
    </row>
    <row r="59" spans="2:9" x14ac:dyDescent="0.2">
      <c r="B59" s="534" t="s">
        <v>558</v>
      </c>
      <c r="C59" s="532">
        <v>704.529</v>
      </c>
      <c r="D59" s="533">
        <v>0.10442295491030178</v>
      </c>
      <c r="E59" s="533">
        <v>-1.2714877599076829E-2</v>
      </c>
      <c r="F59" s="533">
        <v>7.6675339127275102E-2</v>
      </c>
    </row>
    <row r="60" spans="2:9" x14ac:dyDescent="0.2">
      <c r="B60" s="534" t="s">
        <v>559</v>
      </c>
      <c r="C60" s="532">
        <v>815.61900000000003</v>
      </c>
      <c r="D60" s="533">
        <v>0.15575286990616943</v>
      </c>
      <c r="E60" s="533">
        <v>5.3990895258693092E-2</v>
      </c>
      <c r="F60" s="533">
        <v>8.9848323788435533E-2</v>
      </c>
    </row>
    <row r="61" spans="2:9" x14ac:dyDescent="0.2">
      <c r="B61" s="535" t="s">
        <v>560</v>
      </c>
      <c r="C61" s="536">
        <v>881.27200000000005</v>
      </c>
      <c r="D61" s="537">
        <v>0.18134128850116649</v>
      </c>
      <c r="E61" s="537">
        <v>8.2500068083406708E-2</v>
      </c>
      <c r="F61" s="537">
        <v>7.7343884748409114E-2</v>
      </c>
    </row>
    <row r="62" spans="2:9" x14ac:dyDescent="0.2">
      <c r="B62" s="521" t="s">
        <v>696</v>
      </c>
      <c r="C62" s="552">
        <f>H17</f>
        <v>950</v>
      </c>
      <c r="D62" s="538">
        <f>H19</f>
        <v>0.18</v>
      </c>
      <c r="E62" s="533">
        <f>Model!AL19</f>
        <v>8.5000000000000006E-2</v>
      </c>
      <c r="F62" s="538">
        <f>H52</f>
        <v>7.0000000000000007E-2</v>
      </c>
    </row>
    <row r="63" spans="2:9" x14ac:dyDescent="0.2">
      <c r="B63" s="521" t="s">
        <v>697</v>
      </c>
      <c r="C63" s="552">
        <f>I17</f>
        <v>1016.5000000000001</v>
      </c>
      <c r="D63" s="538">
        <f>+Model!AM15</f>
        <v>0.2</v>
      </c>
      <c r="E63" s="533">
        <f>Model!AM19</f>
        <v>0.11000000000000001</v>
      </c>
      <c r="F63" s="538">
        <f>I52</f>
        <v>7.0000000000000007E-2</v>
      </c>
    </row>
  </sheetData>
  <conditionalFormatting sqref="C4:G4">
    <cfRule type="duplicateValues" dxfId="3" priority="6"/>
  </conditionalFormatting>
  <conditionalFormatting sqref="C15:G15">
    <cfRule type="duplicateValues" dxfId="2" priority="5"/>
  </conditionalFormatting>
  <conditionalFormatting sqref="H4:I4">
    <cfRule type="duplicateValues" dxfId="1" priority="2"/>
  </conditionalFormatting>
  <conditionalFormatting sqref="H15:I15">
    <cfRule type="duplicateValues" dxfId="0" priority="1"/>
  </conditionalFormatting>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5EB9-9016-4DBC-AE85-8BB76F473F70}">
  <sheetPr>
    <tabColor theme="4"/>
  </sheetPr>
  <dimension ref="B1:V77"/>
  <sheetViews>
    <sheetView showGridLines="0" tabSelected="1" zoomScale="130" zoomScaleNormal="130" workbookViewId="0">
      <pane xSplit="3" ySplit="11" topLeftCell="D15" activePane="bottomRight" state="frozen"/>
      <selection pane="topRight" activeCell="D1" sqref="D1"/>
      <selection pane="bottomLeft" activeCell="A12" sqref="A12"/>
      <selection pane="bottomRight" activeCell="E13" sqref="E13"/>
    </sheetView>
  </sheetViews>
  <sheetFormatPr defaultRowHeight="15" x14ac:dyDescent="0.25"/>
  <cols>
    <col min="1" max="1" width="3.7109375" style="143" customWidth="1"/>
    <col min="2" max="2" width="20" style="143" bestFit="1" customWidth="1"/>
    <col min="3" max="8" width="8" style="143" customWidth="1"/>
    <col min="9" max="10" width="8" customWidth="1"/>
    <col min="11" max="13" width="8" style="143" customWidth="1"/>
    <col min="14" max="14" width="1" style="143" customWidth="1"/>
    <col min="15" max="15" width="8" style="143" customWidth="1"/>
    <col min="16" max="16" width="1" style="143" customWidth="1"/>
    <col min="17" max="20" width="8" style="143" customWidth="1"/>
    <col min="21" max="21" width="3.140625" style="143" hidden="1" customWidth="1"/>
    <col min="22" max="22" width="10" style="143" hidden="1" customWidth="1"/>
    <col min="23" max="16384" width="9.140625" style="143"/>
  </cols>
  <sheetData>
    <row r="1" spans="2:22" ht="12" x14ac:dyDescent="0.2">
      <c r="B1" s="366"/>
      <c r="C1" s="366"/>
      <c r="D1" s="366"/>
      <c r="E1" s="366"/>
      <c r="F1" s="366"/>
      <c r="G1" s="366"/>
      <c r="H1" s="366"/>
      <c r="I1" s="367"/>
      <c r="J1" s="367"/>
      <c r="K1" s="366"/>
      <c r="L1" s="366"/>
      <c r="M1" s="366"/>
      <c r="N1" s="366"/>
      <c r="O1" s="366"/>
      <c r="P1" s="366"/>
      <c r="Q1" s="366"/>
      <c r="R1" s="366"/>
      <c r="S1" s="366"/>
      <c r="T1" s="366"/>
      <c r="U1" s="366"/>
      <c r="V1" s="368" t="s">
        <v>457</v>
      </c>
    </row>
    <row r="2" spans="2:22" ht="12" customHeight="1" x14ac:dyDescent="0.25">
      <c r="B2" s="369" t="s">
        <v>385</v>
      </c>
      <c r="C2" s="366"/>
      <c r="D2" s="366"/>
      <c r="F2" s="370" t="s">
        <v>624</v>
      </c>
      <c r="G2" s="370" t="s">
        <v>625</v>
      </c>
      <c r="H2" s="370" t="s">
        <v>626</v>
      </c>
      <c r="J2" s="438"/>
      <c r="K2" s="438"/>
      <c r="L2" s="438"/>
      <c r="M2" s="366"/>
      <c r="N2" s="366"/>
      <c r="O2" s="366"/>
      <c r="P2" s="366"/>
      <c r="Q2" s="366"/>
      <c r="R2" s="366"/>
      <c r="S2" s="366"/>
      <c r="T2" s="366"/>
      <c r="U2" s="366"/>
      <c r="V2" s="366"/>
    </row>
    <row r="3" spans="2:22" ht="12.75" customHeight="1" x14ac:dyDescent="0.2">
      <c r="B3" s="366" t="s">
        <v>561</v>
      </c>
      <c r="C3" s="371">
        <v>7.4999999999999997E-2</v>
      </c>
      <c r="D3" s="372" t="s">
        <v>616</v>
      </c>
      <c r="F3" s="373">
        <f>C17/C12</f>
        <v>7.6351100904597111E-2</v>
      </c>
      <c r="G3" s="371">
        <v>7.5999999999999998E-2</v>
      </c>
      <c r="H3" s="371">
        <v>7.5999999999999998E-2</v>
      </c>
      <c r="I3" s="438"/>
      <c r="J3" s="438"/>
      <c r="K3" s="438"/>
      <c r="L3" s="438"/>
      <c r="M3" s="366"/>
      <c r="N3" s="366"/>
      <c r="O3" s="366"/>
      <c r="P3" s="366"/>
      <c r="Q3" s="366"/>
      <c r="R3" s="366"/>
      <c r="S3" s="366"/>
      <c r="T3" s="366"/>
      <c r="U3" s="374" t="s">
        <v>462</v>
      </c>
      <c r="V3" s="374" t="s">
        <v>458</v>
      </c>
    </row>
    <row r="4" spans="2:22" ht="12" x14ac:dyDescent="0.2">
      <c r="B4" s="375" t="s">
        <v>383</v>
      </c>
      <c r="C4" s="376">
        <v>0.02</v>
      </c>
      <c r="D4" s="372" t="s">
        <v>617</v>
      </c>
      <c r="F4" s="373">
        <f>-C18/C12</f>
        <v>9.3713974131320252E-2</v>
      </c>
      <c r="G4" s="371">
        <v>0.09</v>
      </c>
      <c r="H4" s="371">
        <v>7.0000000000000007E-2</v>
      </c>
      <c r="I4" s="366"/>
      <c r="J4" s="367"/>
      <c r="K4" s="367"/>
      <c r="L4" s="374"/>
      <c r="M4" s="366"/>
      <c r="N4" s="366"/>
      <c r="O4" s="366"/>
      <c r="P4" s="366"/>
      <c r="Q4" s="366"/>
      <c r="R4" s="366"/>
      <c r="S4" s="366"/>
      <c r="T4" s="366"/>
      <c r="U4" s="374" t="s">
        <v>463</v>
      </c>
      <c r="V4" s="374" t="s">
        <v>459</v>
      </c>
    </row>
    <row r="5" spans="2:22" ht="12.75" thickBot="1" x14ac:dyDescent="0.25">
      <c r="B5" s="366" t="s">
        <v>382</v>
      </c>
      <c r="C5" s="377">
        <v>0.94</v>
      </c>
      <c r="D5" s="366" t="s">
        <v>618</v>
      </c>
      <c r="F5" s="373">
        <f>C20/C12</f>
        <v>-1.2082738114079918E-2</v>
      </c>
      <c r="G5" s="371">
        <v>-1.2E-2</v>
      </c>
      <c r="H5" s="371">
        <v>0.01</v>
      </c>
      <c r="I5" s="366"/>
      <c r="J5" s="367"/>
      <c r="K5" s="367"/>
      <c r="L5" s="374"/>
      <c r="M5" s="366"/>
      <c r="N5" s="366"/>
      <c r="O5" s="366"/>
      <c r="P5" s="366"/>
      <c r="Q5" s="366"/>
      <c r="R5" s="366"/>
      <c r="S5" s="366"/>
      <c r="T5" s="366"/>
      <c r="U5" s="374" t="s">
        <v>465</v>
      </c>
      <c r="V5" s="374" t="s">
        <v>460</v>
      </c>
    </row>
    <row r="6" spans="2:22" ht="21.75" customHeight="1" thickBot="1" x14ac:dyDescent="0.25">
      <c r="B6" s="366" t="s">
        <v>535</v>
      </c>
      <c r="C6" s="197">
        <f>Main!C11/1000</f>
        <v>152.34299999999999</v>
      </c>
      <c r="D6" s="565">
        <f ca="1">C47</f>
        <v>29.120626270713313</v>
      </c>
      <c r="E6" s="566"/>
      <c r="F6" s="566"/>
      <c r="G6" s="566"/>
      <c r="H6" s="567"/>
      <c r="I6" s="367"/>
      <c r="J6" s="367"/>
      <c r="K6" s="374"/>
      <c r="L6" s="374"/>
      <c r="M6" s="366"/>
      <c r="N6" s="366"/>
      <c r="O6" s="366"/>
      <c r="P6" s="366"/>
      <c r="Q6" s="366"/>
      <c r="R6" s="366"/>
      <c r="S6" s="366"/>
      <c r="T6" s="366"/>
      <c r="U6" s="374"/>
      <c r="V6" s="374"/>
    </row>
    <row r="7" spans="2:22" ht="12" x14ac:dyDescent="0.2">
      <c r="B7" s="366" t="s">
        <v>380</v>
      </c>
      <c r="C7" s="378">
        <v>0.19</v>
      </c>
      <c r="D7" s="366"/>
      <c r="E7" s="366"/>
      <c r="F7" s="366"/>
      <c r="G7" s="366"/>
      <c r="H7" s="366"/>
      <c r="I7" s="367"/>
      <c r="J7" s="367"/>
      <c r="K7" s="374"/>
      <c r="L7" s="374"/>
      <c r="M7" s="366"/>
      <c r="N7" s="366"/>
      <c r="O7" s="366"/>
      <c r="P7" s="366"/>
      <c r="Q7" s="366"/>
      <c r="R7" s="366"/>
      <c r="S7" s="366"/>
      <c r="T7" s="366"/>
      <c r="U7" s="374"/>
      <c r="V7" s="374"/>
    </row>
    <row r="8" spans="2:22" ht="12" x14ac:dyDescent="0.2">
      <c r="B8" s="366" t="s">
        <v>454</v>
      </c>
      <c r="C8" s="378">
        <v>0.12</v>
      </c>
      <c r="D8" s="366"/>
      <c r="E8" s="366"/>
      <c r="F8" s="366"/>
      <c r="G8" s="366"/>
      <c r="H8" s="366"/>
      <c r="I8" s="367"/>
      <c r="J8" s="367"/>
      <c r="K8" s="374"/>
      <c r="L8" s="374"/>
      <c r="M8" s="366"/>
      <c r="N8" s="366"/>
      <c r="O8" s="366"/>
      <c r="P8" s="366"/>
      <c r="Q8" s="366"/>
      <c r="R8" s="366"/>
      <c r="S8" s="366"/>
      <c r="T8" s="366"/>
      <c r="U8" s="374"/>
      <c r="V8" s="374"/>
    </row>
    <row r="9" spans="2:22" ht="12" x14ac:dyDescent="0.2">
      <c r="D9" s="366"/>
      <c r="E9" s="379"/>
      <c r="F9" s="366"/>
      <c r="G9" s="366"/>
      <c r="H9" s="366"/>
      <c r="I9" s="367"/>
      <c r="J9" s="367"/>
      <c r="K9" s="374"/>
      <c r="L9" s="374"/>
      <c r="M9" s="366"/>
      <c r="N9" s="366"/>
      <c r="O9" s="366"/>
      <c r="P9" s="366"/>
      <c r="Q9" s="366"/>
      <c r="R9" s="366"/>
      <c r="S9" s="366"/>
      <c r="T9" s="366"/>
      <c r="U9" s="374" t="s">
        <v>464</v>
      </c>
      <c r="V9" s="374" t="s">
        <v>461</v>
      </c>
    </row>
    <row r="10" spans="2:22" ht="12" x14ac:dyDescent="0.2">
      <c r="B10" s="366"/>
      <c r="C10" s="380">
        <v>0</v>
      </c>
      <c r="D10" s="380">
        <v>1</v>
      </c>
      <c r="E10" s="380">
        <v>2</v>
      </c>
      <c r="F10" s="380">
        <v>3</v>
      </c>
      <c r="G10" s="380">
        <v>4</v>
      </c>
      <c r="H10" s="380">
        <v>5</v>
      </c>
      <c r="I10" s="380">
        <v>6</v>
      </c>
      <c r="J10" s="380">
        <v>7</v>
      </c>
      <c r="K10" s="380">
        <v>8</v>
      </c>
      <c r="L10" s="380">
        <v>9</v>
      </c>
      <c r="M10" s="380">
        <v>10</v>
      </c>
      <c r="N10" s="366"/>
      <c r="O10" s="366"/>
      <c r="P10" s="366"/>
      <c r="Q10" s="366"/>
      <c r="R10" s="366"/>
      <c r="S10" s="366"/>
      <c r="T10" s="366"/>
      <c r="U10" s="374"/>
      <c r="V10" s="374"/>
    </row>
    <row r="11" spans="2:22" ht="12" x14ac:dyDescent="0.2">
      <c r="B11" s="381" t="s">
        <v>664</v>
      </c>
      <c r="C11" s="442">
        <v>2025</v>
      </c>
      <c r="D11" s="443">
        <v>2026</v>
      </c>
      <c r="E11" s="443">
        <f>D11+1</f>
        <v>2027</v>
      </c>
      <c r="F11" s="443">
        <f t="shared" ref="F11:M11" si="0">E11+1</f>
        <v>2028</v>
      </c>
      <c r="G11" s="443">
        <f t="shared" si="0"/>
        <v>2029</v>
      </c>
      <c r="H11" s="443">
        <f t="shared" si="0"/>
        <v>2030</v>
      </c>
      <c r="I11" s="443">
        <f t="shared" si="0"/>
        <v>2031</v>
      </c>
      <c r="J11" s="443">
        <f t="shared" si="0"/>
        <v>2032</v>
      </c>
      <c r="K11" s="443">
        <f t="shared" si="0"/>
        <v>2033</v>
      </c>
      <c r="L11" s="443">
        <f t="shared" si="0"/>
        <v>2034</v>
      </c>
      <c r="M11" s="443">
        <f t="shared" si="0"/>
        <v>2035</v>
      </c>
      <c r="N11" s="444"/>
      <c r="O11" s="441" t="s">
        <v>517</v>
      </c>
      <c r="P11" s="444"/>
      <c r="Q11" s="441" t="s">
        <v>619</v>
      </c>
      <c r="R11" s="441" t="s">
        <v>620</v>
      </c>
      <c r="S11" s="441" t="s">
        <v>623</v>
      </c>
      <c r="T11" s="441" t="s">
        <v>550</v>
      </c>
      <c r="U11" s="374"/>
      <c r="V11" s="374"/>
    </row>
    <row r="12" spans="2:22" ht="12" x14ac:dyDescent="0.2">
      <c r="B12" s="366" t="s">
        <v>376</v>
      </c>
      <c r="C12" s="384">
        <f>Model!$AF$86/1000</f>
        <v>979.33100000000002</v>
      </c>
      <c r="D12" s="385">
        <f t="shared" ref="D12:M12" si="1">C12*(1+D13)</f>
        <v>1050</v>
      </c>
      <c r="E12" s="384">
        <f t="shared" si="1"/>
        <v>1119</v>
      </c>
      <c r="F12" s="384">
        <f t="shared" si="1"/>
        <v>1182.5525000000002</v>
      </c>
      <c r="G12" s="384">
        <f t="shared" si="1"/>
        <v>1239.0535625000002</v>
      </c>
      <c r="H12" s="384">
        <f t="shared" si="1"/>
        <v>1287.0003690625003</v>
      </c>
      <c r="I12" s="384">
        <f t="shared" ca="1" si="1"/>
        <v>1336.2730443315097</v>
      </c>
      <c r="J12" s="384">
        <f t="shared" ca="1" si="1"/>
        <v>1387.4321188483559</v>
      </c>
      <c r="K12" s="384">
        <f t="shared" ca="1" si="1"/>
        <v>1440.5498132120385</v>
      </c>
      <c r="L12" s="384">
        <f t="shared" ca="1" si="1"/>
        <v>1495.7011129796783</v>
      </c>
      <c r="M12" s="384">
        <f t="shared" ca="1" si="1"/>
        <v>1552.9638745226509</v>
      </c>
      <c r="N12" s="366"/>
      <c r="O12" s="379">
        <f ca="1">M12*(1+O13)</f>
        <v>1584.023152013104</v>
      </c>
      <c r="P12" s="379"/>
      <c r="Q12" s="379">
        <f>IFERROR(SUM(D12:G12),"")</f>
        <v>4590.6060625000009</v>
      </c>
      <c r="R12" s="379">
        <f ca="1">IFERROR(SUM(H12:M12),"")</f>
        <v>8499.9203329567335</v>
      </c>
      <c r="S12" s="390">
        <f ca="1">+SUM(D12:M12)</f>
        <v>13090.526395456734</v>
      </c>
      <c r="T12" s="386">
        <f ca="1">IFERROR(((M12/C12))^(1/(2035-2025))-1,"")</f>
        <v>4.7184451239154157E-2</v>
      </c>
      <c r="U12" s="374"/>
      <c r="V12" s="374"/>
    </row>
    <row r="13" spans="2:22" ht="12" x14ac:dyDescent="0.2">
      <c r="B13" s="408" t="s">
        <v>377</v>
      </c>
      <c r="C13" s="382">
        <f>Model!$AF$87</f>
        <v>0.15076642871831036</v>
      </c>
      <c r="D13" s="383">
        <f>Model!AL87</f>
        <v>7.2160485065825508E-2</v>
      </c>
      <c r="E13" s="383">
        <f>Model!AM87</f>
        <v>6.5714285714285614E-2</v>
      </c>
      <c r="F13" s="383">
        <f>Model!AN87</f>
        <v>5.6794012511170999E-2</v>
      </c>
      <c r="G13" s="383">
        <f>Model!AO87</f>
        <v>4.777890410785135E-2</v>
      </c>
      <c r="H13" s="383">
        <f>Model!AP87</f>
        <v>3.8696314682118649E-2</v>
      </c>
      <c r="I13" s="383">
        <f ca="1">Model!AQ87</f>
        <v>3.8284895990279733E-2</v>
      </c>
      <c r="J13" s="383">
        <f ca="1">Model!AR87</f>
        <v>3.8284895990279733E-2</v>
      </c>
      <c r="K13" s="383">
        <f ca="1">Model!AS87</f>
        <v>3.8284895990279733E-2</v>
      </c>
      <c r="L13" s="383">
        <f ca="1">Model!AT87</f>
        <v>3.8284895990279733E-2</v>
      </c>
      <c r="M13" s="383">
        <f ca="1">Model!AU87</f>
        <v>3.8284895990279733E-2</v>
      </c>
      <c r="N13" s="366"/>
      <c r="O13" s="401">
        <f>C4</f>
        <v>0.02</v>
      </c>
      <c r="P13" s="451"/>
      <c r="Q13" s="366"/>
      <c r="R13" s="366"/>
      <c r="S13" s="387"/>
      <c r="T13" s="366"/>
      <c r="U13" s="374" t="s">
        <v>468</v>
      </c>
      <c r="V13" s="374" t="s">
        <v>466</v>
      </c>
    </row>
    <row r="14" spans="2:22" ht="12" x14ac:dyDescent="0.2">
      <c r="B14" s="366" t="s">
        <v>374</v>
      </c>
      <c r="C14" s="384">
        <f>Model!AF110/1000</f>
        <v>68.814999999999998</v>
      </c>
      <c r="D14" s="385">
        <f t="shared" ref="D14:M14" si="2">D12*D15</f>
        <v>86.8</v>
      </c>
      <c r="E14" s="385">
        <f t="shared" si="2"/>
        <v>119.08400000000003</v>
      </c>
      <c r="F14" s="385">
        <f t="shared" si="2"/>
        <v>126.01020250000002</v>
      </c>
      <c r="G14" s="385">
        <f t="shared" si="2"/>
        <v>137.80731481250004</v>
      </c>
      <c r="H14" s="385">
        <f t="shared" si="2"/>
        <v>149.10416731281254</v>
      </c>
      <c r="I14" s="385">
        <f t="shared" ca="1" si="2"/>
        <v>160.34981579667527</v>
      </c>
      <c r="J14" s="385">
        <f t="shared" ca="1" si="2"/>
        <v>171.40911275854569</v>
      </c>
      <c r="K14" s="385">
        <f t="shared" ca="1" si="2"/>
        <v>181.25977139389664</v>
      </c>
      <c r="L14" s="385">
        <f t="shared" ca="1" si="2"/>
        <v>184.911307125278</v>
      </c>
      <c r="M14" s="385">
        <f t="shared" ca="1" si="2"/>
        <v>188.63688200706699</v>
      </c>
      <c r="N14" s="366"/>
      <c r="O14" s="385">
        <f ca="1">O12*O15</f>
        <v>190.08277824157247</v>
      </c>
      <c r="P14" s="385"/>
      <c r="Q14" s="379">
        <f>IFERROR(SUM(D14:G14),"")</f>
        <v>469.70151731250007</v>
      </c>
      <c r="R14" s="379">
        <f ca="1">IFERROR(SUM(H14:M14),"")</f>
        <v>1035.6710563942752</v>
      </c>
      <c r="S14" s="390">
        <f ca="1">+SUM(D14:M14)</f>
        <v>1505.3725737067753</v>
      </c>
      <c r="T14" s="386">
        <f ca="1">IFERROR(((M14/C14))^(1/(2035-2025))-1,"")</f>
        <v>0.1060998909562112</v>
      </c>
      <c r="U14" s="374"/>
      <c r="V14" s="374"/>
    </row>
    <row r="15" spans="2:22" ht="12" x14ac:dyDescent="0.2">
      <c r="B15" s="409" t="s">
        <v>375</v>
      </c>
      <c r="C15" s="388">
        <f>Model!$AF$111</f>
        <v>7.0267355980766458E-2</v>
      </c>
      <c r="D15" s="389">
        <f>Model!AL111</f>
        <v>8.2666666666666666E-2</v>
      </c>
      <c r="E15" s="389">
        <f>Model!AM111</f>
        <v>0.10642001787310101</v>
      </c>
      <c r="F15" s="389">
        <f>Model!AN111</f>
        <v>0.10655780821570289</v>
      </c>
      <c r="G15" s="389">
        <f>Model!AO111</f>
        <v>0.11121982050110123</v>
      </c>
      <c r="H15" s="389">
        <f>Model!AP111</f>
        <v>0.11585402063359596</v>
      </c>
      <c r="I15" s="389">
        <f ca="1">Model!AQ111</f>
        <v>0.11999779272423521</v>
      </c>
      <c r="J15" s="389">
        <f ca="1">Model!AR111</f>
        <v>0.12354414347912356</v>
      </c>
      <c r="K15" s="389">
        <f ca="1">Model!AS111</f>
        <v>0.12582679872050806</v>
      </c>
      <c r="L15" s="389">
        <f ca="1">Model!AT111</f>
        <v>0.12362851476181949</v>
      </c>
      <c r="M15" s="389">
        <f ca="1">Model!AU111</f>
        <v>0.12146894406352503</v>
      </c>
      <c r="N15" s="366"/>
      <c r="O15" s="389">
        <f>C8</f>
        <v>0.12</v>
      </c>
      <c r="P15" s="389"/>
      <c r="Q15" s="389">
        <f>Q14/Q12</f>
        <v>0.10231797521234158</v>
      </c>
      <c r="R15" s="389">
        <f ca="1">R14/R12</f>
        <v>0.12184479569516302</v>
      </c>
      <c r="S15" s="389">
        <f ca="1">S14/S12</f>
        <v>0.11499710005773622</v>
      </c>
      <c r="T15" s="366"/>
      <c r="U15" s="374"/>
      <c r="V15" s="374" t="s">
        <v>469</v>
      </c>
    </row>
    <row r="16" spans="2:22" ht="12" x14ac:dyDescent="0.2">
      <c r="B16" s="436" t="s">
        <v>373</v>
      </c>
      <c r="C16" s="437">
        <f t="shared" ref="C16:M16" si="3">C14*(1-$C$7)</f>
        <v>55.74015</v>
      </c>
      <c r="D16" s="437">
        <f t="shared" si="3"/>
        <v>70.308000000000007</v>
      </c>
      <c r="E16" s="437">
        <f t="shared" si="3"/>
        <v>96.458040000000025</v>
      </c>
      <c r="F16" s="437">
        <f t="shared" si="3"/>
        <v>102.06826402500002</v>
      </c>
      <c r="G16" s="437">
        <f t="shared" si="3"/>
        <v>111.62392499812503</v>
      </c>
      <c r="H16" s="437">
        <f t="shared" si="3"/>
        <v>120.77437552337817</v>
      </c>
      <c r="I16" s="437">
        <f t="shared" ca="1" si="3"/>
        <v>129.88335079530697</v>
      </c>
      <c r="J16" s="437">
        <f t="shared" ca="1" si="3"/>
        <v>138.84138133442201</v>
      </c>
      <c r="K16" s="437">
        <f t="shared" ca="1" si="3"/>
        <v>146.82041482905629</v>
      </c>
      <c r="L16" s="437">
        <f t="shared" ca="1" si="3"/>
        <v>149.77815877147518</v>
      </c>
      <c r="M16" s="437">
        <f t="shared" ca="1" si="3"/>
        <v>152.79587442572426</v>
      </c>
      <c r="N16" s="387"/>
      <c r="O16" s="437">
        <f ca="1">O14*(1-$C$7)</f>
        <v>153.96705037567372</v>
      </c>
      <c r="P16" s="390"/>
      <c r="Q16" s="439">
        <f t="shared" ref="Q16:Q21" si="4">IFERROR(SUM(D16:G16),"")</f>
        <v>380.45822902312511</v>
      </c>
      <c r="R16" s="439">
        <f t="shared" ref="R16:R21" ca="1" si="5">IFERROR(SUM(H16:M16),"")</f>
        <v>838.89355567936286</v>
      </c>
      <c r="S16" s="437">
        <f t="shared" ref="S16:S21" ca="1" si="6">+SUM(D16:M16)</f>
        <v>1219.3517847024877</v>
      </c>
      <c r="T16" s="386">
        <f t="shared" ref="T16:T21" ca="1" si="7">IFERROR(((M16/C16))^(1/(2035-2025))-1,"")</f>
        <v>0.1060998909562112</v>
      </c>
      <c r="U16" s="374"/>
      <c r="V16" s="374"/>
    </row>
    <row r="17" spans="2:22" ht="12" x14ac:dyDescent="0.2">
      <c r="B17" s="391" t="s">
        <v>606</v>
      </c>
      <c r="C17" s="197">
        <f>Model!AF367</f>
        <v>74.772999999999996</v>
      </c>
      <c r="D17" s="197">
        <f>$C$17+($G$17-$C$17)*((D$11-$C$11)/($G$11-$C$11))</f>
        <v>79.621767687499997</v>
      </c>
      <c r="E17" s="197">
        <f>$C$17+($G$17-$C$17)*((E$11-$C$11)/($G$11-$C$11))</f>
        <v>84.470535374999997</v>
      </c>
      <c r="F17" s="197">
        <f>$C$17+($G$17-$C$17)*((F$11-$C$11)/($G$11-$C$11))</f>
        <v>89.319303062500012</v>
      </c>
      <c r="G17" s="197">
        <f>G12*$G$3</f>
        <v>94.168070750000012</v>
      </c>
      <c r="H17" s="197">
        <f ca="1">$G$17+(($M$17-$G$17)*(H$11-$G$11)/($M$11-$G$11))</f>
        <v>98.144268035620257</v>
      </c>
      <c r="I17" s="197">
        <f ca="1">$G$17+(($M$17-$G$17)*(I$11-$G$11)/($M$11-$G$11))</f>
        <v>102.1204653212405</v>
      </c>
      <c r="J17" s="197">
        <f ca="1">$G$17+(($M$17-$G$17)*(J$11-$G$11)/($M$11-$G$11))</f>
        <v>106.09666260686075</v>
      </c>
      <c r="K17" s="197">
        <f ca="1">$G$17+(($M$17-$G$17)*(K$11-$G$11)/($M$11-$G$11))</f>
        <v>110.07285989248098</v>
      </c>
      <c r="L17" s="197">
        <f ca="1">$G$17+(($M$17-$G$17)*(L$11-$G$11)/($M$11-$G$11))</f>
        <v>114.04905717810122</v>
      </c>
      <c r="M17" s="197">
        <f ca="1">M12*$H$3</f>
        <v>118.02525446372147</v>
      </c>
      <c r="N17" s="366"/>
      <c r="O17" s="197">
        <f ca="1">O12*$H$3</f>
        <v>120.38575955299589</v>
      </c>
      <c r="P17" s="452"/>
      <c r="Q17" s="379">
        <f t="shared" si="4"/>
        <v>347.57967687500002</v>
      </c>
      <c r="R17" s="379">
        <f t="shared" ca="1" si="5"/>
        <v>648.50856749802517</v>
      </c>
      <c r="S17" s="390">
        <f t="shared" ca="1" si="6"/>
        <v>996.08824437302519</v>
      </c>
      <c r="T17" s="386">
        <f t="shared" ca="1" si="7"/>
        <v>4.6701903573007186E-2</v>
      </c>
      <c r="U17" s="374"/>
      <c r="V17" s="374"/>
    </row>
    <row r="18" spans="2:22" ht="14.25" x14ac:dyDescent="0.35">
      <c r="B18" s="391" t="s">
        <v>182</v>
      </c>
      <c r="C18" s="393">
        <f>Model!AF368</f>
        <v>-91.777000000000001</v>
      </c>
      <c r="D18" s="393">
        <f>$C$18+($G$18-$C$18)*((D$11-$C$11)/($G$11-$C$11))</f>
        <v>-96.711455156249997</v>
      </c>
      <c r="E18" s="393">
        <f>$C$18+($G$18-$C$18)*((E$11-$C$11)/($G$11-$C$11))</f>
        <v>-101.64591031250001</v>
      </c>
      <c r="F18" s="393">
        <f>$C$18+($G$18-$C$18)*((F$11-$C$11)/($G$11-$C$11))</f>
        <v>-106.58036546875002</v>
      </c>
      <c r="G18" s="393">
        <f>-G12*$G$4</f>
        <v>-111.51482062500001</v>
      </c>
      <c r="H18" s="393">
        <f ca="1">$G$18+(($M$18-$G$18)*(H$11-$G$11)/($M$11-$G$11))</f>
        <v>-111.04692905693094</v>
      </c>
      <c r="I18" s="393">
        <f ca="1">$G$18+(($M$18-$G$18)*(I$11-$G$11)/($M$11-$G$11))</f>
        <v>-110.57903748886187</v>
      </c>
      <c r="J18" s="393">
        <f ca="1">$G$18+(($M$18-$G$18)*(J$11-$G$11)/($M$11-$G$11))</f>
        <v>-110.11114592079279</v>
      </c>
      <c r="K18" s="393">
        <f ca="1">$G$18+(($M$18-$G$18)*(K$11-$G$11)/($M$11-$G$11))</f>
        <v>-109.64325435272372</v>
      </c>
      <c r="L18" s="393">
        <f ca="1">$G$18+(($M$18-$G$18)*(L$11-$G$11)/($M$11-$G$11))</f>
        <v>-109.17536278465465</v>
      </c>
      <c r="M18" s="393">
        <f ca="1">-M12*$H$4</f>
        <v>-108.70747121658557</v>
      </c>
      <c r="N18" s="366"/>
      <c r="O18" s="393">
        <f ca="1">-O12*$H$4</f>
        <v>-110.88162064091729</v>
      </c>
      <c r="P18" s="452"/>
      <c r="Q18" s="379">
        <f t="shared" si="4"/>
        <v>-416.45255156250005</v>
      </c>
      <c r="R18" s="379">
        <f t="shared" ca="1" si="5"/>
        <v>-659.26320082054951</v>
      </c>
      <c r="S18" s="390">
        <f t="shared" ca="1" si="6"/>
        <v>-1075.7157523830497</v>
      </c>
      <c r="T18" s="386">
        <f t="shared" ca="1" si="7"/>
        <v>1.7074002863829651E-2</v>
      </c>
      <c r="U18" s="374"/>
      <c r="V18" s="374"/>
    </row>
    <row r="19" spans="2:22" ht="12" x14ac:dyDescent="0.2">
      <c r="B19" s="394" t="s">
        <v>614</v>
      </c>
      <c r="C19" s="197">
        <f>C17+C18</f>
        <v>-17.004000000000005</v>
      </c>
      <c r="D19" s="197">
        <f>D17+D18</f>
        <v>-17.08968746875</v>
      </c>
      <c r="E19" s="197">
        <f>E17+E18</f>
        <v>-17.17537493750001</v>
      </c>
      <c r="F19" s="197">
        <f t="shared" ref="F19:H19" si="8">F17+F18</f>
        <v>-17.261062406250005</v>
      </c>
      <c r="G19" s="197">
        <f t="shared" si="8"/>
        <v>-17.346749875</v>
      </c>
      <c r="H19" s="197">
        <f t="shared" ca="1" si="8"/>
        <v>-12.902661021310678</v>
      </c>
      <c r="I19" s="197">
        <f t="shared" ref="I19" ca="1" si="9">I17+I18</f>
        <v>-8.4585721676213694</v>
      </c>
      <c r="J19" s="197">
        <f t="shared" ref="J19" ca="1" si="10">J17+J18</f>
        <v>-4.0144833139320468</v>
      </c>
      <c r="K19" s="197">
        <f t="shared" ref="K19" ca="1" si="11">K17+K18</f>
        <v>0.42960553975726157</v>
      </c>
      <c r="L19" s="197">
        <f t="shared" ref="L19" ca="1" si="12">L17+L18</f>
        <v>4.87369439344657</v>
      </c>
      <c r="M19" s="197">
        <f t="shared" ref="M19:O19" ca="1" si="13">M17+M18</f>
        <v>9.3177832471358926</v>
      </c>
      <c r="N19" s="366"/>
      <c r="O19" s="197">
        <f t="shared" ca="1" si="13"/>
        <v>9.5041389120786022</v>
      </c>
      <c r="P19" s="452"/>
      <c r="Q19" s="379">
        <f t="shared" si="4"/>
        <v>-68.872874687500016</v>
      </c>
      <c r="R19" s="379">
        <f t="shared" ca="1" si="5"/>
        <v>-10.75463332252437</v>
      </c>
      <c r="S19" s="390">
        <f t="shared" ca="1" si="6"/>
        <v>-79.627508010024385</v>
      </c>
      <c r="T19" s="386" t="str">
        <f t="shared" ca="1" si="7"/>
        <v/>
      </c>
      <c r="U19" s="374"/>
      <c r="V19" s="374"/>
    </row>
    <row r="20" spans="2:22" ht="14.25" x14ac:dyDescent="0.35">
      <c r="B20" s="366" t="s">
        <v>615</v>
      </c>
      <c r="C20" s="393">
        <f>Model!AF370</f>
        <v>-11.833</v>
      </c>
      <c r="D20" s="393">
        <f>$C$20+($G$20-$C$20)*((D$11-$C$11)/($G$11-$C$11))</f>
        <v>-12.5919106875</v>
      </c>
      <c r="E20" s="393">
        <f>$C$20+($G$20-$C$20)*((E$11-$C$11)/($G$11-$C$11))</f>
        <v>-13.350821375000002</v>
      </c>
      <c r="F20" s="393">
        <f>$C$20+($G$20-$C$20)*((F$11-$C$11)/($G$11-$C$11))</f>
        <v>-14.109732062500003</v>
      </c>
      <c r="G20" s="393">
        <f>G12*$G$5</f>
        <v>-14.868642750000003</v>
      </c>
      <c r="H20" s="393">
        <f ca="1">$G$20+(($M$20-$G$20)*(H$11-$G$11)/($M$11-$G$11))</f>
        <v>-9.8022625007955853</v>
      </c>
      <c r="I20" s="393">
        <f ca="1">$G$20+(($M$20-$G$20)*(I$11-$G$11)/($M$11-$G$11))</f>
        <v>-4.7358822515911658</v>
      </c>
      <c r="J20" s="393">
        <f ca="1">$G$20+(($M$20-$G$20)*(J$11-$G$11)/($M$11-$G$11))</f>
        <v>0.3304979976132536</v>
      </c>
      <c r="K20" s="393">
        <f ca="1">$G$20+(($M$20-$G$20)*(K$11-$G$11)/($M$11-$G$11))</f>
        <v>5.3968782468176713</v>
      </c>
      <c r="L20" s="393">
        <f ca="1">$G$20+(($M$20-$G$20)*(L$11-$G$11)/($M$11-$G$11))</f>
        <v>10.463258496022092</v>
      </c>
      <c r="M20" s="393">
        <f ca="1">M12*$H$5</f>
        <v>15.52963874522651</v>
      </c>
      <c r="N20" s="366"/>
      <c r="O20" s="393">
        <f ca="1">O12*$H$5</f>
        <v>15.84023152013104</v>
      </c>
      <c r="P20" s="452"/>
      <c r="Q20" s="379">
        <f t="shared" si="4"/>
        <v>-54.921106875000007</v>
      </c>
      <c r="R20" s="379">
        <f t="shared" ca="1" si="5"/>
        <v>17.182128733292778</v>
      </c>
      <c r="S20" s="390">
        <f t="shared" ca="1" si="6"/>
        <v>-37.738978141707221</v>
      </c>
      <c r="T20" s="386" t="str">
        <f t="shared" ca="1" si="7"/>
        <v/>
      </c>
      <c r="U20" s="374"/>
      <c r="V20" s="374"/>
    </row>
    <row r="21" spans="2:22" ht="12" x14ac:dyDescent="0.2">
      <c r="B21" s="366" t="s">
        <v>371</v>
      </c>
      <c r="C21" s="390">
        <f>C19+C20</f>
        <v>-28.837000000000003</v>
      </c>
      <c r="D21" s="390">
        <f>D19+D20</f>
        <v>-29.681598156250001</v>
      </c>
      <c r="E21" s="390">
        <f>E19+E20</f>
        <v>-30.526196312500012</v>
      </c>
      <c r="F21" s="390">
        <f t="shared" ref="F21:G21" si="14">F19+F20</f>
        <v>-31.370794468750006</v>
      </c>
      <c r="G21" s="390">
        <f t="shared" si="14"/>
        <v>-32.215392625000007</v>
      </c>
      <c r="H21" s="390">
        <f ca="1">H19+H20</f>
        <v>-22.704923522106263</v>
      </c>
      <c r="I21" s="390">
        <f t="shared" ref="I21" ca="1" si="15">I19+I20</f>
        <v>-13.194454419212535</v>
      </c>
      <c r="J21" s="390">
        <f ca="1">J19+J20</f>
        <v>-3.6839853163187932</v>
      </c>
      <c r="K21" s="390">
        <f t="shared" ref="K21" ca="1" si="16">K19+K20</f>
        <v>5.8264837865749328</v>
      </c>
      <c r="L21" s="390">
        <f t="shared" ref="L21" ca="1" si="17">L19+L20</f>
        <v>15.336952889468662</v>
      </c>
      <c r="M21" s="390">
        <f t="shared" ref="M21:O21" ca="1" si="18">M19+M20</f>
        <v>24.847421992362403</v>
      </c>
      <c r="N21" s="366"/>
      <c r="O21" s="390">
        <f t="shared" ca="1" si="18"/>
        <v>25.344370432209644</v>
      </c>
      <c r="P21" s="390"/>
      <c r="Q21" s="390">
        <f t="shared" si="4"/>
        <v>-123.79398156250002</v>
      </c>
      <c r="R21" s="390">
        <f t="shared" ca="1" si="5"/>
        <v>6.4274954107684117</v>
      </c>
      <c r="S21" s="390">
        <f t="shared" ca="1" si="6"/>
        <v>-117.36648615173164</v>
      </c>
      <c r="T21" s="386" t="str">
        <f t="shared" ca="1" si="7"/>
        <v/>
      </c>
      <c r="U21" s="374"/>
      <c r="V21" s="374"/>
    </row>
    <row r="22" spans="2:22" ht="12" x14ac:dyDescent="0.2">
      <c r="B22" s="366" t="s">
        <v>372</v>
      </c>
      <c r="C22" s="392">
        <f t="shared" ref="C22:H22" si="19">C21/C16</f>
        <v>-0.51734701108626369</v>
      </c>
      <c r="D22" s="392">
        <f t="shared" si="19"/>
        <v>-0.42216530346831083</v>
      </c>
      <c r="E22" s="392">
        <f t="shared" si="19"/>
        <v>-0.31647124814582595</v>
      </c>
      <c r="F22" s="392">
        <f t="shared" si="19"/>
        <v>-0.30735111220336053</v>
      </c>
      <c r="G22" s="392">
        <f t="shared" si="19"/>
        <v>-0.28860652073953802</v>
      </c>
      <c r="H22" s="392">
        <f t="shared" ca="1" si="19"/>
        <v>-0.18799454291288217</v>
      </c>
      <c r="I22" s="392">
        <f t="shared" ref="I22:M22" ca="1" si="20">I21/I16</f>
        <v>-0.10158695736150723</v>
      </c>
      <c r="J22" s="392">
        <f t="shared" ca="1" si="20"/>
        <v>-2.6533770270156822E-2</v>
      </c>
      <c r="K22" s="392">
        <f t="shared" ca="1" si="20"/>
        <v>3.9684425312098016E-2</v>
      </c>
      <c r="L22" s="392">
        <f t="shared" ca="1" si="20"/>
        <v>0.1023977929443578</v>
      </c>
      <c r="M22" s="392">
        <f t="shared" ca="1" si="20"/>
        <v>0.16261840894428733</v>
      </c>
      <c r="N22" s="366"/>
      <c r="O22" s="392">
        <f ca="1">O21/O16</f>
        <v>0.16460905349794225</v>
      </c>
      <c r="P22" s="390"/>
      <c r="Q22" s="395">
        <f t="shared" ref="Q22:R22" si="21">Q21/Q16</f>
        <v>-0.32538126952952712</v>
      </c>
      <c r="R22" s="395">
        <f t="shared" ca="1" si="21"/>
        <v>7.6618724357266285E-3</v>
      </c>
      <c r="S22" s="395">
        <f ca="1">S21/S16</f>
        <v>-9.6253179454990623E-2</v>
      </c>
      <c r="T22" s="366"/>
      <c r="U22" s="374"/>
      <c r="V22" s="374" t="s">
        <v>470</v>
      </c>
    </row>
    <row r="23" spans="2:22" ht="12" x14ac:dyDescent="0.2">
      <c r="B23" s="387" t="s">
        <v>370</v>
      </c>
      <c r="C23" s="396">
        <f>C16-C21</f>
        <v>84.577150000000003</v>
      </c>
      <c r="D23" s="396">
        <f t="shared" ref="D23:M23" si="22">D16-D21</f>
        <v>99.989598156250011</v>
      </c>
      <c r="E23" s="396">
        <f t="shared" si="22"/>
        <v>126.98423631250003</v>
      </c>
      <c r="F23" s="396">
        <f t="shared" si="22"/>
        <v>133.43905849375003</v>
      </c>
      <c r="G23" s="396">
        <f t="shared" si="22"/>
        <v>143.83931762312505</v>
      </c>
      <c r="H23" s="396">
        <f t="shared" ca="1" si="22"/>
        <v>143.47929904548442</v>
      </c>
      <c r="I23" s="396">
        <f t="shared" ca="1" si="22"/>
        <v>143.07780521451951</v>
      </c>
      <c r="J23" s="396">
        <f t="shared" ca="1" si="22"/>
        <v>142.52536665074081</v>
      </c>
      <c r="K23" s="396">
        <f t="shared" ca="1" si="22"/>
        <v>140.99393104248136</v>
      </c>
      <c r="L23" s="396">
        <f t="shared" ca="1" si="22"/>
        <v>134.4412058820065</v>
      </c>
      <c r="M23" s="396">
        <f t="shared" ca="1" si="22"/>
        <v>127.94845243336187</v>
      </c>
      <c r="N23" s="366"/>
      <c r="O23" s="397">
        <f ca="1">O16-O21</f>
        <v>128.62267994346408</v>
      </c>
      <c r="P23" s="390"/>
      <c r="Q23" s="379">
        <f>IFERROR(SUM(D23:G23),"")</f>
        <v>504.25221058562516</v>
      </c>
      <c r="R23" s="379">
        <f ca="1">IFERROR(SUM(H23:M23),"")</f>
        <v>832.46606026859445</v>
      </c>
      <c r="S23" s="390">
        <f ca="1">+SUM(D23:M23)</f>
        <v>1336.7182708542196</v>
      </c>
      <c r="T23" s="386">
        <f ca="1">IFERROR(((M23/C23))^(1/(2035-2025))-1,"")</f>
        <v>4.2265107949374769E-2</v>
      </c>
      <c r="U23" s="374"/>
      <c r="V23" s="374"/>
    </row>
    <row r="24" spans="2:22" ht="12" x14ac:dyDescent="0.2">
      <c r="B24" s="391" t="s">
        <v>391</v>
      </c>
      <c r="C24" s="398"/>
      <c r="D24" s="399">
        <f>D23/C23-1</f>
        <v>0.18222945743915475</v>
      </c>
      <c r="E24" s="399">
        <f t="shared" ref="E24:H24" si="23">E23/D23-1</f>
        <v>0.26997446388439839</v>
      </c>
      <c r="F24" s="399">
        <f t="shared" si="23"/>
        <v>5.0831680913252075E-2</v>
      </c>
      <c r="G24" s="399">
        <f t="shared" si="23"/>
        <v>7.794014171541952E-2</v>
      </c>
      <c r="H24" s="399">
        <f t="shared" ca="1" si="23"/>
        <v>-2.5029218963894539E-3</v>
      </c>
      <c r="I24" s="399">
        <f t="shared" ref="I24" ca="1" si="24">I23/H23-1</f>
        <v>-2.7982700893850465E-3</v>
      </c>
      <c r="J24" s="399">
        <f t="shared" ref="J24" ca="1" si="25">J23/I23-1</f>
        <v>-3.8611059412774207E-3</v>
      </c>
      <c r="K24" s="399">
        <f t="shared" ref="K24" ca="1" si="26">K23/J23-1</f>
        <v>-1.0745003814038534E-2</v>
      </c>
      <c r="L24" s="399">
        <f ca="1">L23/K23-1</f>
        <v>-4.6475228486966058E-2</v>
      </c>
      <c r="M24" s="399">
        <f t="shared" ref="M24" ca="1" si="27">M23/L23-1</f>
        <v>-4.8294370807288489E-2</v>
      </c>
      <c r="N24" s="366"/>
      <c r="O24" s="399">
        <f ca="1">O23/M23-1</f>
        <v>5.2695245411691349E-3</v>
      </c>
      <c r="P24" s="390"/>
      <c r="Q24" s="366"/>
      <c r="R24" s="366"/>
      <c r="S24" s="366"/>
      <c r="T24" s="366"/>
      <c r="U24" s="366"/>
      <c r="V24" s="366"/>
    </row>
    <row r="25" spans="2:22" ht="12" x14ac:dyDescent="0.2">
      <c r="B25" s="391" t="s">
        <v>495</v>
      </c>
      <c r="C25" s="398"/>
      <c r="D25" s="400">
        <v>7.4999999999999997E-2</v>
      </c>
      <c r="E25" s="399">
        <f>D25</f>
        <v>7.4999999999999997E-2</v>
      </c>
      <c r="F25" s="399">
        <f>E25</f>
        <v>7.4999999999999997E-2</v>
      </c>
      <c r="G25" s="399">
        <f t="shared" ref="G25:H25" si="28">F25</f>
        <v>7.4999999999999997E-2</v>
      </c>
      <c r="H25" s="399">
        <f t="shared" si="28"/>
        <v>7.4999999999999997E-2</v>
      </c>
      <c r="I25" s="399">
        <f>H25-($H$25-$M$25)/5</f>
        <v>7.3999999999999996E-2</v>
      </c>
      <c r="J25" s="399">
        <f t="shared" ref="J25:L25" si="29">I25-($H$25-$M$25)/5</f>
        <v>7.2999999999999995E-2</v>
      </c>
      <c r="K25" s="399">
        <f t="shared" si="29"/>
        <v>7.1999999999999995E-2</v>
      </c>
      <c r="L25" s="399">
        <f t="shared" si="29"/>
        <v>7.0999999999999994E-2</v>
      </c>
      <c r="M25" s="399">
        <v>7.0000000000000007E-2</v>
      </c>
      <c r="N25" s="366"/>
      <c r="O25" s="401">
        <f>C3</f>
        <v>7.4999999999999997E-2</v>
      </c>
      <c r="P25" s="401"/>
      <c r="Q25" s="366"/>
      <c r="R25" s="366"/>
      <c r="S25" s="366"/>
      <c r="T25" s="366"/>
      <c r="U25" s="366"/>
      <c r="V25" s="366"/>
    </row>
    <row r="26" spans="2:22" s="141" customFormat="1" ht="12" x14ac:dyDescent="0.2">
      <c r="B26" s="402" t="s">
        <v>369</v>
      </c>
      <c r="C26" s="402"/>
      <c r="D26" s="445">
        <f t="shared" ref="D26:M26" si="30">1/((1+D25)^D10)</f>
        <v>0.93023255813953487</v>
      </c>
      <c r="E26" s="445">
        <f t="shared" si="30"/>
        <v>0.86533261222282321</v>
      </c>
      <c r="F26" s="445">
        <f t="shared" si="30"/>
        <v>0.80496056950960304</v>
      </c>
      <c r="G26" s="445">
        <f t="shared" si="30"/>
        <v>0.7488005297763749</v>
      </c>
      <c r="H26" s="445">
        <f t="shared" si="30"/>
        <v>0.69655863235011617</v>
      </c>
      <c r="I26" s="445">
        <f t="shared" si="30"/>
        <v>0.65158985188743546</v>
      </c>
      <c r="J26" s="445">
        <f t="shared" si="30"/>
        <v>0.61066347708742152</v>
      </c>
      <c r="K26" s="445">
        <f t="shared" si="30"/>
        <v>0.57337891322658319</v>
      </c>
      <c r="L26" s="445">
        <f t="shared" si="30"/>
        <v>0.53937990507370936</v>
      </c>
      <c r="M26" s="445">
        <f t="shared" si="30"/>
        <v>0.5083492921347178</v>
      </c>
      <c r="N26" s="366"/>
      <c r="O26" s="403"/>
      <c r="P26" s="403"/>
      <c r="Q26" s="402"/>
      <c r="R26" s="402"/>
      <c r="S26" s="402"/>
      <c r="T26" s="402"/>
      <c r="U26" s="402"/>
      <c r="V26" s="402"/>
    </row>
    <row r="27" spans="2:22" ht="12.75" thickBot="1" x14ac:dyDescent="0.25">
      <c r="B27" s="404" t="s">
        <v>368</v>
      </c>
      <c r="C27" s="404"/>
      <c r="D27" s="405">
        <f t="shared" ref="D27:M27" si="31">D23*D26</f>
        <v>93.013579680232567</v>
      </c>
      <c r="E27" s="405">
        <f t="shared" si="31"/>
        <v>109.88360091941594</v>
      </c>
      <c r="F27" s="405">
        <f t="shared" si="31"/>
        <v>107.41318051995425</v>
      </c>
      <c r="G27" s="405">
        <f t="shared" si="31"/>
        <v>107.7069572388683</v>
      </c>
      <c r="H27" s="405">
        <f t="shared" ca="1" si="31"/>
        <v>99.941744313675954</v>
      </c>
      <c r="I27" s="405">
        <f t="shared" ca="1" si="31"/>
        <v>93.228045908108115</v>
      </c>
      <c r="J27" s="405">
        <f t="shared" ca="1" si="31"/>
        <v>87.035035972101014</v>
      </c>
      <c r="K27" s="405">
        <f t="shared" ca="1" si="31"/>
        <v>80.842946952681771</v>
      </c>
      <c r="L27" s="405">
        <f t="shared" ca="1" si="31"/>
        <v>72.514884866631689</v>
      </c>
      <c r="M27" s="405">
        <f t="shared" ca="1" si="31"/>
        <v>65.042505224232116</v>
      </c>
      <c r="N27" s="366"/>
      <c r="O27" s="405">
        <f ca="1">O23*O26</f>
        <v>0</v>
      </c>
      <c r="P27" s="406"/>
      <c r="Q27" s="366"/>
      <c r="R27" s="366"/>
      <c r="S27" s="366"/>
      <c r="T27" s="366"/>
      <c r="U27" s="406"/>
      <c r="V27" s="366"/>
    </row>
    <row r="28" spans="2:22" ht="12.75" thickTop="1" x14ac:dyDescent="0.2">
      <c r="B28" s="366" t="s">
        <v>411</v>
      </c>
      <c r="C28" s="407">
        <f>Model!AF341/1000</f>
        <v>1098.4829999999999</v>
      </c>
      <c r="D28" s="379">
        <f t="shared" ref="D28:M28" si="32">C28+D21</f>
        <v>1068.80140184375</v>
      </c>
      <c r="E28" s="379">
        <f t="shared" si="32"/>
        <v>1038.2752055312501</v>
      </c>
      <c r="F28" s="379">
        <f t="shared" si="32"/>
        <v>1006.9044110625001</v>
      </c>
      <c r="G28" s="379">
        <f t="shared" si="32"/>
        <v>974.68901843750007</v>
      </c>
      <c r="H28" s="379">
        <f t="shared" ca="1" si="32"/>
        <v>951.98409491539383</v>
      </c>
      <c r="I28" s="379">
        <f t="shared" ca="1" si="32"/>
        <v>938.78964049618128</v>
      </c>
      <c r="J28" s="379">
        <f t="shared" ca="1" si="32"/>
        <v>935.10565517986254</v>
      </c>
      <c r="K28" s="379">
        <f t="shared" ca="1" si="32"/>
        <v>940.93213896643749</v>
      </c>
      <c r="L28" s="379">
        <f t="shared" ca="1" si="32"/>
        <v>956.26909185590614</v>
      </c>
      <c r="M28" s="379">
        <f t="shared" ca="1" si="32"/>
        <v>981.1165138482686</v>
      </c>
      <c r="N28" s="366"/>
      <c r="O28" s="379">
        <f ca="1">M28+O21</f>
        <v>1006.4608842804782</v>
      </c>
      <c r="P28" s="379"/>
      <c r="Q28" s="390">
        <f>G28-D28</f>
        <v>-94.112383406249933</v>
      </c>
      <c r="R28" s="390">
        <f ca="1">M28-H28</f>
        <v>29.132418932874771</v>
      </c>
      <c r="S28" s="390">
        <f ca="1">M28-C28</f>
        <v>-117.36648615173135</v>
      </c>
      <c r="T28" s="386">
        <f ca="1">IFERROR(((M28/C28))^(1/(2035-2025))-1,"")</f>
        <v>-1.1235820635353111E-2</v>
      </c>
      <c r="U28" s="366"/>
      <c r="V28" s="366"/>
    </row>
    <row r="29" spans="2:22" ht="12" x14ac:dyDescent="0.2">
      <c r="B29" s="366" t="s">
        <v>622</v>
      </c>
      <c r="C29" s="407"/>
      <c r="D29" s="379">
        <f>D28-C28</f>
        <v>-29.681598156249947</v>
      </c>
      <c r="E29" s="379">
        <f t="shared" ref="E29:M29" si="33">E28-D28</f>
        <v>-30.526196312499906</v>
      </c>
      <c r="F29" s="379">
        <f t="shared" si="33"/>
        <v>-31.370794468749978</v>
      </c>
      <c r="G29" s="379">
        <f t="shared" si="33"/>
        <v>-32.21539262500005</v>
      </c>
      <c r="H29" s="379">
        <f t="shared" ca="1" si="33"/>
        <v>-22.704923522106242</v>
      </c>
      <c r="I29" s="379">
        <f t="shared" ca="1" si="33"/>
        <v>-13.194454419212548</v>
      </c>
      <c r="J29" s="379">
        <f t="shared" ca="1" si="33"/>
        <v>-3.6839853163187399</v>
      </c>
      <c r="K29" s="379">
        <f t="shared" ca="1" si="33"/>
        <v>5.8264837865749541</v>
      </c>
      <c r="L29" s="379">
        <f t="shared" ca="1" si="33"/>
        <v>15.336952889468648</v>
      </c>
      <c r="M29" s="379">
        <f t="shared" ca="1" si="33"/>
        <v>24.847421992362456</v>
      </c>
      <c r="N29" s="366"/>
      <c r="O29" s="379"/>
      <c r="P29" s="379"/>
      <c r="Q29" s="390">
        <f>G29-D29</f>
        <v>-2.5337944687501022</v>
      </c>
      <c r="R29" s="390">
        <f ca="1">M29-H29</f>
        <v>47.552345514468698</v>
      </c>
      <c r="S29" s="390">
        <f ca="1">M29-D29</f>
        <v>54.529020148612403</v>
      </c>
      <c r="T29" s="366"/>
      <c r="U29" s="366"/>
      <c r="V29" s="366"/>
    </row>
    <row r="30" spans="2:22" ht="12" x14ac:dyDescent="0.2">
      <c r="B30" s="143" t="s">
        <v>628</v>
      </c>
      <c r="D30" s="379">
        <f>D14-D18</f>
        <v>183.51145515625001</v>
      </c>
      <c r="E30" s="379">
        <f t="shared" ref="E30:M30" si="34">E14-E18</f>
        <v>220.72991031250004</v>
      </c>
      <c r="F30" s="379">
        <f t="shared" si="34"/>
        <v>232.59056796875004</v>
      </c>
      <c r="G30" s="379">
        <f t="shared" si="34"/>
        <v>249.32213543750004</v>
      </c>
      <c r="H30" s="379">
        <f t="shared" ca="1" si="34"/>
        <v>260.15109636974347</v>
      </c>
      <c r="I30" s="379">
        <f t="shared" ca="1" si="34"/>
        <v>270.92885328553712</v>
      </c>
      <c r="J30" s="379">
        <f t="shared" ca="1" si="34"/>
        <v>281.5202586793385</v>
      </c>
      <c r="K30" s="379">
        <f t="shared" ca="1" si="34"/>
        <v>290.90302574662036</v>
      </c>
      <c r="L30" s="379">
        <f t="shared" ca="1" si="34"/>
        <v>294.08666990993265</v>
      </c>
      <c r="M30" s="379">
        <f t="shared" ca="1" si="34"/>
        <v>297.34435322365255</v>
      </c>
      <c r="N30" s="366"/>
      <c r="O30" s="366"/>
      <c r="P30" s="452"/>
    </row>
    <row r="31" spans="2:22" ht="12" x14ac:dyDescent="0.2">
      <c r="B31" s="143" t="s">
        <v>629</v>
      </c>
      <c r="D31" s="392">
        <f>D30/D12</f>
        <v>0.1747728144345238</v>
      </c>
      <c r="E31" s="392">
        <f t="shared" ref="E31:M31" si="35">E30/E12</f>
        <v>0.19725639884941915</v>
      </c>
      <c r="F31" s="392">
        <f t="shared" si="35"/>
        <v>0.19668519407700713</v>
      </c>
      <c r="G31" s="392">
        <f t="shared" si="35"/>
        <v>0.20121982050110121</v>
      </c>
      <c r="H31" s="392">
        <f t="shared" ca="1" si="35"/>
        <v>0.20213754605155812</v>
      </c>
      <c r="I31" s="392">
        <f t="shared" ca="1" si="35"/>
        <v>0.20274962099611407</v>
      </c>
      <c r="J31" s="392">
        <f t="shared" ca="1" si="35"/>
        <v>0.20290741064363971</v>
      </c>
      <c r="K31" s="392">
        <f t="shared" ca="1" si="35"/>
        <v>0.20193888686013908</v>
      </c>
      <c r="L31" s="392">
        <f t="shared" ca="1" si="35"/>
        <v>0.19662128172390303</v>
      </c>
      <c r="M31" s="392">
        <f t="shared" ca="1" si="35"/>
        <v>0.19146894406352502</v>
      </c>
      <c r="N31" s="366"/>
      <c r="O31" s="366"/>
      <c r="P31" s="452"/>
    </row>
    <row r="32" spans="2:22" ht="12" x14ac:dyDescent="0.2">
      <c r="B32" s="143" t="s">
        <v>630</v>
      </c>
      <c r="D32" s="392">
        <f>D23/D30</f>
        <v>0.54486842835568117</v>
      </c>
      <c r="E32" s="392">
        <f t="shared" ref="E32:M32" si="36">E23/E30</f>
        <v>0.57529238394887738</v>
      </c>
      <c r="F32" s="392">
        <f t="shared" si="36"/>
        <v>0.57370795238643713</v>
      </c>
      <c r="G32" s="392">
        <f t="shared" si="36"/>
        <v>0.57692156924102167</v>
      </c>
      <c r="H32" s="392">
        <f t="shared" ca="1" si="36"/>
        <v>0.55152294588665662</v>
      </c>
      <c r="I32" s="392">
        <f t="shared" ca="1" si="36"/>
        <v>0.52810102534087455</v>
      </c>
      <c r="J32" s="392">
        <f t="shared" ca="1" si="36"/>
        <v>0.50627037400204378</v>
      </c>
      <c r="K32" s="392">
        <f t="shared" ca="1" si="36"/>
        <v>0.48467674298200181</v>
      </c>
      <c r="L32" s="392">
        <f t="shared" ca="1" si="36"/>
        <v>0.45714824790658015</v>
      </c>
      <c r="M32" s="392">
        <f t="shared" ca="1" si="36"/>
        <v>0.43030395918473452</v>
      </c>
      <c r="N32" s="366"/>
      <c r="O32" s="366"/>
      <c r="P32" s="452"/>
    </row>
    <row r="33" spans="2:21" ht="12" x14ac:dyDescent="0.2">
      <c r="B33" s="143" t="s">
        <v>367</v>
      </c>
      <c r="C33" s="151">
        <f ca="1">SUM(C27:M27)</f>
        <v>916.62248159590195</v>
      </c>
      <c r="D33" s="440"/>
      <c r="E33" s="440"/>
      <c r="F33" s="440"/>
      <c r="G33" s="440"/>
      <c r="H33" s="440"/>
      <c r="I33" s="440"/>
      <c r="J33" s="440"/>
      <c r="K33" s="440"/>
      <c r="L33" s="440"/>
      <c r="M33" s="440"/>
    </row>
    <row r="34" spans="2:21" ht="12" x14ac:dyDescent="0.2">
      <c r="B34" s="156" t="s">
        <v>366</v>
      </c>
      <c r="C34" s="151">
        <f ca="1">O23</f>
        <v>128.62267994346408</v>
      </c>
      <c r="D34" s="440"/>
      <c r="E34" s="440"/>
      <c r="F34" s="440"/>
      <c r="G34" s="440"/>
      <c r="H34" s="440"/>
      <c r="I34" s="440"/>
      <c r="J34" s="440"/>
      <c r="K34" s="440"/>
      <c r="L34" s="440"/>
      <c r="M34" s="440"/>
    </row>
    <row r="35" spans="2:21" ht="12" x14ac:dyDescent="0.2">
      <c r="B35" s="156" t="s">
        <v>365</v>
      </c>
      <c r="C35" s="157">
        <f>O25</f>
        <v>7.4999999999999997E-2</v>
      </c>
      <c r="D35" s="440"/>
      <c r="E35" s="440"/>
      <c r="F35" s="440"/>
      <c r="G35" s="440"/>
      <c r="H35" s="440"/>
      <c r="I35" s="440"/>
      <c r="J35" s="440"/>
      <c r="K35" s="440"/>
      <c r="L35" s="440"/>
      <c r="M35" s="440"/>
    </row>
    <row r="36" spans="2:21" x14ac:dyDescent="0.25">
      <c r="B36" s="156" t="s">
        <v>364</v>
      </c>
      <c r="C36" s="151">
        <f ca="1">C34/(C35-C4)</f>
        <v>2338.5941807902564</v>
      </c>
    </row>
    <row r="37" spans="2:21" ht="16.5" x14ac:dyDescent="0.35">
      <c r="B37" s="143" t="s">
        <v>363</v>
      </c>
      <c r="C37" s="153">
        <f ca="1">C36*M26</f>
        <v>1188.8226963950972</v>
      </c>
      <c r="D37" s="365"/>
      <c r="E37" s="171"/>
      <c r="F37" s="171"/>
      <c r="G37" s="171"/>
      <c r="H37" s="171"/>
    </row>
    <row r="38" spans="2:21" x14ac:dyDescent="0.25">
      <c r="B38" s="152" t="s">
        <v>362</v>
      </c>
      <c r="C38" s="158">
        <f ca="1">C37+C33</f>
        <v>2105.4451779909991</v>
      </c>
      <c r="D38" s="365"/>
      <c r="E38" s="165"/>
      <c r="F38" s="165"/>
      <c r="G38" s="165"/>
      <c r="H38" s="165"/>
    </row>
    <row r="39" spans="2:21" x14ac:dyDescent="0.25">
      <c r="B39" s="143" t="s">
        <v>361</v>
      </c>
      <c r="C39" s="364">
        <v>0.01</v>
      </c>
      <c r="D39" s="365"/>
      <c r="E39" s="165"/>
      <c r="F39" s="165"/>
      <c r="G39" s="165"/>
      <c r="H39" s="165"/>
    </row>
    <row r="40" spans="2:21" x14ac:dyDescent="0.25">
      <c r="B40" s="143" t="s">
        <v>455</v>
      </c>
      <c r="C40" s="151">
        <f>Model!$AF$178*0.5/1000</f>
        <v>498.91699999999997</v>
      </c>
      <c r="D40" s="365"/>
      <c r="E40" s="165"/>
      <c r="F40" s="165"/>
      <c r="G40" s="165"/>
      <c r="H40" s="165"/>
    </row>
    <row r="41" spans="2:21" x14ac:dyDescent="0.25">
      <c r="B41" s="152" t="s">
        <v>360</v>
      </c>
      <c r="C41" s="158">
        <f ca="1">C38*(1-C39)+C40*C39</f>
        <v>2089.3798962110891</v>
      </c>
      <c r="D41" s="287"/>
      <c r="E41" s="215"/>
      <c r="F41" s="215"/>
      <c r="G41" s="215"/>
      <c r="H41" s="215"/>
    </row>
    <row r="42" spans="2:21" x14ac:dyDescent="0.25">
      <c r="B42" s="143" t="s">
        <v>343</v>
      </c>
      <c r="C42" s="151">
        <f>C6</f>
        <v>152.34299999999999</v>
      </c>
    </row>
    <row r="43" spans="2:21" x14ac:dyDescent="0.25">
      <c r="B43" s="143" t="s">
        <v>359</v>
      </c>
      <c r="C43" s="151">
        <f ca="1">C41-C42</f>
        <v>1937.036896211089</v>
      </c>
      <c r="D43" s="215"/>
      <c r="E43" s="213"/>
      <c r="F43" s="213"/>
      <c r="G43" s="213"/>
      <c r="H43" s="213"/>
      <c r="U43" s="213"/>
    </row>
    <row r="44" spans="2:21" x14ac:dyDescent="0.25">
      <c r="B44" s="143" t="s">
        <v>358</v>
      </c>
      <c r="C44" s="151">
        <v>0</v>
      </c>
      <c r="D44" s="157"/>
      <c r="E44" s="165"/>
      <c r="F44" s="165"/>
      <c r="G44" s="165"/>
      <c r="H44" s="165"/>
      <c r="U44" s="165"/>
    </row>
    <row r="45" spans="2:21" x14ac:dyDescent="0.25">
      <c r="B45" s="143" t="s">
        <v>357</v>
      </c>
      <c r="C45" s="151">
        <f ca="1">C43-C44</f>
        <v>1937.036896211089</v>
      </c>
      <c r="D45" s="213"/>
      <c r="E45" s="165"/>
      <c r="F45" s="165"/>
      <c r="G45" s="165"/>
      <c r="H45" s="165"/>
      <c r="U45" s="165"/>
    </row>
    <row r="46" spans="2:21" ht="15.75" thickBot="1" x14ac:dyDescent="0.3">
      <c r="B46" s="143" t="s">
        <v>356</v>
      </c>
      <c r="C46" s="151">
        <f>Main!$C$5/1000</f>
        <v>62.526631999999999</v>
      </c>
      <c r="D46" s="157"/>
      <c r="E46" s="165"/>
      <c r="F46" s="165"/>
      <c r="G46" s="165"/>
      <c r="H46" s="165"/>
      <c r="U46" s="165"/>
    </row>
    <row r="47" spans="2:21" ht="15.75" thickBot="1" x14ac:dyDescent="0.3">
      <c r="B47" s="159" t="s">
        <v>355</v>
      </c>
      <c r="C47" s="160">
        <f ca="1">(C45/C46)*C5</f>
        <v>29.120626270713313</v>
      </c>
      <c r="D47" s="213"/>
      <c r="E47" s="165"/>
      <c r="F47" s="165"/>
      <c r="G47" s="165"/>
      <c r="H47" s="165"/>
      <c r="U47" s="165"/>
    </row>
    <row r="48" spans="2:21" ht="15.75" thickBot="1" x14ac:dyDescent="0.3">
      <c r="B48" s="316" t="s">
        <v>522</v>
      </c>
      <c r="C48" s="317">
        <f ca="1">(C47/Main!C3)-1</f>
        <v>0.37038241273944994</v>
      </c>
      <c r="D48" s="157"/>
      <c r="E48" s="165"/>
      <c r="F48" s="165"/>
      <c r="G48" s="165"/>
      <c r="H48" s="165"/>
      <c r="U48" s="165"/>
    </row>
    <row r="49" spans="2:21" x14ac:dyDescent="0.25">
      <c r="C49" s="24"/>
      <c r="D49" s="157"/>
      <c r="E49" s="165"/>
      <c r="F49" s="165"/>
      <c r="G49" s="165"/>
      <c r="H49" s="165"/>
      <c r="U49" s="165"/>
    </row>
    <row r="50" spans="2:21" x14ac:dyDescent="0.25">
      <c r="B50" s="143" t="s">
        <v>497</v>
      </c>
      <c r="D50" s="154">
        <f>C28</f>
        <v>1098.4829999999999</v>
      </c>
      <c r="E50" s="165"/>
      <c r="F50" s="165"/>
      <c r="G50" s="165"/>
      <c r="H50" s="165"/>
      <c r="U50" s="165"/>
    </row>
    <row r="51" spans="2:21" ht="16.5" x14ac:dyDescent="0.35">
      <c r="B51" s="143" t="s">
        <v>498</v>
      </c>
      <c r="D51" s="295">
        <f ca="1">M28</f>
        <v>981.1165138482686</v>
      </c>
      <c r="E51" s="165"/>
      <c r="F51" s="165"/>
      <c r="G51" s="165"/>
      <c r="H51" s="165"/>
      <c r="U51" s="165"/>
    </row>
    <row r="52" spans="2:21" x14ac:dyDescent="0.25">
      <c r="B52" s="342" t="s">
        <v>499</v>
      </c>
      <c r="C52" s="343"/>
      <c r="D52" s="344">
        <f ca="1">D51-D50</f>
        <v>-117.36648615173135</v>
      </c>
      <c r="E52" s="165"/>
      <c r="F52" s="165"/>
      <c r="G52" s="165"/>
      <c r="H52" s="165"/>
      <c r="U52" s="165"/>
    </row>
    <row r="53" spans="2:21" x14ac:dyDescent="0.25">
      <c r="B53" s="143" t="s">
        <v>500</v>
      </c>
      <c r="D53" s="154">
        <f ca="1">M16-C16</f>
        <v>97.055724425724264</v>
      </c>
    </row>
    <row r="54" spans="2:21" x14ac:dyDescent="0.25">
      <c r="B54" s="143" t="s">
        <v>501</v>
      </c>
      <c r="D54" s="24">
        <f ca="1">D53/D52</f>
        <v>-0.82694581398859179</v>
      </c>
    </row>
    <row r="55" spans="2:21" x14ac:dyDescent="0.25">
      <c r="B55" s="143" t="s">
        <v>502</v>
      </c>
      <c r="D55" s="213" t="e">
        <f>#REF!</f>
        <v>#REF!</v>
      </c>
    </row>
    <row r="56" spans="2:21" x14ac:dyDescent="0.25">
      <c r="B56" s="143" t="s">
        <v>503</v>
      </c>
      <c r="D56" s="24">
        <v>0.08</v>
      </c>
    </row>
    <row r="58" spans="2:21" x14ac:dyDescent="0.25">
      <c r="B58" s="309"/>
      <c r="C58" s="305" t="s">
        <v>505</v>
      </c>
      <c r="D58" s="305" t="s">
        <v>506</v>
      </c>
      <c r="E58" s="305" t="s">
        <v>507</v>
      </c>
      <c r="F58" s="305"/>
      <c r="G58" s="305" t="s">
        <v>508</v>
      </c>
      <c r="H58" s="305" t="s">
        <v>516</v>
      </c>
    </row>
    <row r="59" spans="2:21" x14ac:dyDescent="0.25">
      <c r="B59" s="296" t="s">
        <v>504</v>
      </c>
      <c r="C59" s="297">
        <f>C12</f>
        <v>979.33100000000002</v>
      </c>
      <c r="D59" s="298">
        <f>((H12/D12)^(1/(H10-D10))-1)</f>
        <v>5.2197687779384827E-2</v>
      </c>
      <c r="E59" s="298">
        <f ca="1">((M12/I12)^(1/(M10-I10))-1)</f>
        <v>3.8284895990279733E-2</v>
      </c>
      <c r="F59" s="296"/>
      <c r="G59" s="299">
        <f>C4</f>
        <v>0.02</v>
      </c>
      <c r="H59" s="319" t="s">
        <v>518</v>
      </c>
    </row>
    <row r="60" spans="2:21" x14ac:dyDescent="0.25">
      <c r="B60" s="296" t="s">
        <v>509</v>
      </c>
      <c r="C60" s="300">
        <f>C15</f>
        <v>7.0267355980766458E-2</v>
      </c>
      <c r="D60" s="300">
        <f>AVERAGE(D15:H15)</f>
        <v>0.10454366677803355</v>
      </c>
      <c r="E60" s="300">
        <f ca="1">AVERAGE(I15:M15)</f>
        <v>0.12289323874984226</v>
      </c>
      <c r="F60" s="296"/>
      <c r="G60" s="300">
        <f>O15</f>
        <v>0.12</v>
      </c>
      <c r="H60" s="319" t="s">
        <v>519</v>
      </c>
    </row>
    <row r="61" spans="2:21" x14ac:dyDescent="0.25">
      <c r="B61" s="296" t="s">
        <v>510</v>
      </c>
      <c r="C61" s="300">
        <f>$C$7</f>
        <v>0.19</v>
      </c>
      <c r="D61" s="300">
        <f>$C$7</f>
        <v>0.19</v>
      </c>
      <c r="E61" s="300">
        <f>$C$7</f>
        <v>0.19</v>
      </c>
      <c r="F61" s="296"/>
      <c r="G61" s="300">
        <f>$C$7</f>
        <v>0.19</v>
      </c>
      <c r="H61" s="319" t="s">
        <v>523</v>
      </c>
    </row>
    <row r="62" spans="2:21" x14ac:dyDescent="0.25">
      <c r="B62" s="314"/>
      <c r="D62" s="143" t="s">
        <v>511</v>
      </c>
      <c r="E62" s="310" t="e">
        <f>AVERAGE(#REF!)</f>
        <v>#REF!</v>
      </c>
      <c r="H62" s="320"/>
    </row>
    <row r="63" spans="2:21" x14ac:dyDescent="0.25">
      <c r="B63" s="314" t="s">
        <v>512</v>
      </c>
      <c r="C63" s="213" t="e">
        <f>#REF!</f>
        <v>#REF!</v>
      </c>
      <c r="D63" s="143" t="s">
        <v>513</v>
      </c>
      <c r="E63" s="213">
        <f ca="1">D54</f>
        <v>-0.82694581398859179</v>
      </c>
      <c r="H63" s="320" t="s">
        <v>520</v>
      </c>
    </row>
    <row r="64" spans="2:21" x14ac:dyDescent="0.25">
      <c r="B64" s="296" t="s">
        <v>495</v>
      </c>
      <c r="C64" s="296"/>
      <c r="D64" s="300">
        <f>AVERAGE(D25:H25)</f>
        <v>7.4999999999999997E-2</v>
      </c>
      <c r="E64" s="300">
        <f>AVERAGE(I25:M25)</f>
        <v>7.1999999999999995E-2</v>
      </c>
      <c r="F64" s="296"/>
      <c r="G64" s="300">
        <f>O25</f>
        <v>7.4999999999999997E-2</v>
      </c>
      <c r="H64" s="319" t="s">
        <v>521</v>
      </c>
    </row>
    <row r="66" spans="2:9" x14ac:dyDescent="0.25">
      <c r="B66" s="309"/>
      <c r="C66" s="305" t="s">
        <v>504</v>
      </c>
      <c r="D66" s="305" t="s">
        <v>515</v>
      </c>
      <c r="E66" s="305" t="s">
        <v>374</v>
      </c>
      <c r="F66" s="305" t="s">
        <v>373</v>
      </c>
      <c r="G66" s="305" t="s">
        <v>371</v>
      </c>
      <c r="H66" s="305" t="s">
        <v>370</v>
      </c>
      <c r="I66">
        <v>1000</v>
      </c>
    </row>
    <row r="67" spans="2:9" x14ac:dyDescent="0.25">
      <c r="B67" s="301">
        <v>1</v>
      </c>
      <c r="C67" s="448">
        <f>D12</f>
        <v>1050</v>
      </c>
      <c r="D67" s="302">
        <f>D15</f>
        <v>8.2666666666666666E-2</v>
      </c>
      <c r="E67" s="448">
        <f>(D14/1000)*1000</f>
        <v>86.8</v>
      </c>
      <c r="F67" s="448">
        <f>(D16/1000)*1000</f>
        <v>70.308000000000007</v>
      </c>
      <c r="G67" s="448">
        <f>(D21/1000)*1000</f>
        <v>-29.681598156250001</v>
      </c>
      <c r="H67" s="446">
        <f>F67-G67</f>
        <v>99.989598156250011</v>
      </c>
    </row>
    <row r="68" spans="2:9" x14ac:dyDescent="0.25">
      <c r="B68" s="301">
        <v>2</v>
      </c>
      <c r="C68" s="448">
        <f>E12</f>
        <v>1119</v>
      </c>
      <c r="D68" s="302">
        <f>E15</f>
        <v>0.10642001787310101</v>
      </c>
      <c r="E68" s="448">
        <f>(E14/1000)*1000</f>
        <v>119.08400000000003</v>
      </c>
      <c r="F68" s="448">
        <f>(E16/1000)*1000</f>
        <v>96.458040000000025</v>
      </c>
      <c r="G68" s="448">
        <f>(E21/1000)*1000</f>
        <v>-30.526196312500012</v>
      </c>
      <c r="H68" s="446">
        <f t="shared" ref="H68:H77" si="37">F68-G68</f>
        <v>126.98423631250003</v>
      </c>
    </row>
    <row r="69" spans="2:9" x14ac:dyDescent="0.25">
      <c r="B69" s="301">
        <v>3</v>
      </c>
      <c r="C69" s="448">
        <f>F12</f>
        <v>1182.5525000000002</v>
      </c>
      <c r="D69" s="302">
        <f>F15</f>
        <v>0.10655780821570289</v>
      </c>
      <c r="E69" s="448">
        <f>(F14/1000)*1000</f>
        <v>126.01020250000003</v>
      </c>
      <c r="F69" s="448">
        <f>(F16/1000)*1000</f>
        <v>102.06826402500002</v>
      </c>
      <c r="G69" s="448">
        <f>(F21/1000)*1000</f>
        <v>-31.370794468750006</v>
      </c>
      <c r="H69" s="446">
        <f t="shared" si="37"/>
        <v>133.43905849375003</v>
      </c>
    </row>
    <row r="70" spans="2:9" x14ac:dyDescent="0.25">
      <c r="B70" s="301">
        <v>4</v>
      </c>
      <c r="C70" s="448">
        <f>G12</f>
        <v>1239.0535625000002</v>
      </c>
      <c r="D70" s="302">
        <f>G15</f>
        <v>0.11121982050110123</v>
      </c>
      <c r="E70" s="448">
        <f>(G14/1000)*1000</f>
        <v>137.80731481250004</v>
      </c>
      <c r="F70" s="448">
        <f>(G16/1000)*1000</f>
        <v>111.62392499812503</v>
      </c>
      <c r="G70" s="448">
        <f>(G21/1000)*1000</f>
        <v>-32.215392625000007</v>
      </c>
      <c r="H70" s="446">
        <f t="shared" si="37"/>
        <v>143.83931762312505</v>
      </c>
    </row>
    <row r="71" spans="2:9" x14ac:dyDescent="0.25">
      <c r="B71" s="301">
        <v>5</v>
      </c>
      <c r="C71" s="448">
        <f>H12</f>
        <v>1287.0003690625003</v>
      </c>
      <c r="D71" s="302">
        <f>H15</f>
        <v>0.11585402063359596</v>
      </c>
      <c r="E71" s="448">
        <f>(H14/1000)*1000</f>
        <v>149.10416731281254</v>
      </c>
      <c r="F71" s="448">
        <f>(H16/1000)*1000</f>
        <v>120.77437552337817</v>
      </c>
      <c r="G71" s="448">
        <f ca="1">(H21/1000)*1000</f>
        <v>-22.704923522106263</v>
      </c>
      <c r="H71" s="446">
        <f t="shared" ca="1" si="37"/>
        <v>143.47929904548442</v>
      </c>
    </row>
    <row r="72" spans="2:9" x14ac:dyDescent="0.25">
      <c r="B72" s="301">
        <v>6</v>
      </c>
      <c r="C72" s="448">
        <f ca="1">I12</f>
        <v>1336.2730443315097</v>
      </c>
      <c r="D72" s="302">
        <f ca="1">I15</f>
        <v>0.11999779272423521</v>
      </c>
      <c r="E72" s="448">
        <f ca="1">(I14/1000)*1000</f>
        <v>160.34981579667527</v>
      </c>
      <c r="F72" s="448">
        <f ca="1">(I16/1000)*1000</f>
        <v>129.88335079530697</v>
      </c>
      <c r="G72" s="448">
        <f ca="1">(I21/1000)*1000</f>
        <v>-13.194454419212535</v>
      </c>
      <c r="H72" s="446">
        <f t="shared" ca="1" si="37"/>
        <v>143.07780521451951</v>
      </c>
    </row>
    <row r="73" spans="2:9" x14ac:dyDescent="0.25">
      <c r="B73" s="301">
        <v>7</v>
      </c>
      <c r="C73" s="448">
        <f ca="1">J12</f>
        <v>1387.4321188483559</v>
      </c>
      <c r="D73" s="302">
        <f ca="1">J15</f>
        <v>0.12354414347912356</v>
      </c>
      <c r="E73" s="448">
        <f ca="1">(J14/1000)*1000</f>
        <v>171.40911275854569</v>
      </c>
      <c r="F73" s="448">
        <f ca="1">(J16/1000)*1000</f>
        <v>138.84138133442201</v>
      </c>
      <c r="G73" s="448">
        <f ca="1">(J21/1000)*1000</f>
        <v>-3.6839853163187932</v>
      </c>
      <c r="H73" s="446">
        <f t="shared" ca="1" si="37"/>
        <v>142.52536665074081</v>
      </c>
    </row>
    <row r="74" spans="2:9" x14ac:dyDescent="0.25">
      <c r="B74" s="301">
        <v>8</v>
      </c>
      <c r="C74" s="448">
        <f ca="1">K12</f>
        <v>1440.5498132120385</v>
      </c>
      <c r="D74" s="302">
        <f ca="1">K15</f>
        <v>0.12582679872050806</v>
      </c>
      <c r="E74" s="448">
        <f ca="1">(K14/1000)*1000</f>
        <v>181.25977139389664</v>
      </c>
      <c r="F74" s="448">
        <f ca="1">(K16/1000)*1000</f>
        <v>146.82041482905629</v>
      </c>
      <c r="G74" s="448">
        <f ca="1">(K21/1000)*1000</f>
        <v>5.8264837865749328</v>
      </c>
      <c r="H74" s="446">
        <f t="shared" ca="1" si="37"/>
        <v>140.99393104248136</v>
      </c>
    </row>
    <row r="75" spans="2:9" x14ac:dyDescent="0.25">
      <c r="B75" s="301">
        <v>9</v>
      </c>
      <c r="C75" s="448">
        <f ca="1">L12</f>
        <v>1495.7011129796783</v>
      </c>
      <c r="D75" s="302">
        <f ca="1">L15</f>
        <v>0.12362851476181949</v>
      </c>
      <c r="E75" s="448">
        <f ca="1">(L14/1000)*1000</f>
        <v>184.911307125278</v>
      </c>
      <c r="F75" s="448">
        <f ca="1">(L16/1000)*1000</f>
        <v>149.77815877147518</v>
      </c>
      <c r="G75" s="448">
        <f ca="1">(L21/1000)*1000</f>
        <v>15.336952889468662</v>
      </c>
      <c r="H75" s="446">
        <f t="shared" ca="1" si="37"/>
        <v>134.4412058820065</v>
      </c>
    </row>
    <row r="76" spans="2:9" x14ac:dyDescent="0.25">
      <c r="B76" s="301">
        <v>10</v>
      </c>
      <c r="C76" s="448">
        <f ca="1">M12</f>
        <v>1552.9638745226509</v>
      </c>
      <c r="D76" s="302">
        <f ca="1">M15</f>
        <v>0.12146894406352503</v>
      </c>
      <c r="E76" s="448">
        <f ca="1">(M14/1000)*1000</f>
        <v>188.63688200706699</v>
      </c>
      <c r="F76" s="448">
        <f ca="1">(M16/1000)*1000</f>
        <v>152.79587442572426</v>
      </c>
      <c r="G76" s="448">
        <f ca="1">(M21/1000)*1000</f>
        <v>24.847421992362403</v>
      </c>
      <c r="H76" s="446">
        <f t="shared" ca="1" si="37"/>
        <v>127.94845243336187</v>
      </c>
    </row>
    <row r="77" spans="2:9" x14ac:dyDescent="0.25">
      <c r="B77" s="306" t="s">
        <v>514</v>
      </c>
      <c r="C77" s="449">
        <f ca="1">O12</f>
        <v>1584.023152013104</v>
      </c>
      <c r="D77" s="308">
        <f>O15</f>
        <v>0.12</v>
      </c>
      <c r="E77" s="449">
        <f ca="1">(O14/1000)*1000</f>
        <v>190.08277824157247</v>
      </c>
      <c r="F77" s="449">
        <f ca="1">(O16/1000)*1000</f>
        <v>153.96705037567372</v>
      </c>
      <c r="G77" s="449">
        <f ca="1">(O21/1000)*1000</f>
        <v>25.344370432209644</v>
      </c>
      <c r="H77" s="447">
        <f t="shared" ca="1" si="37"/>
        <v>128.62267994346408</v>
      </c>
    </row>
  </sheetData>
  <mergeCells count="1">
    <mergeCell ref="D6:H6"/>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CFA0-04B4-4EE2-973A-2BC196DB56CC}">
  <sheetPr>
    <tabColor theme="5"/>
  </sheetPr>
  <dimension ref="B1:V77"/>
  <sheetViews>
    <sheetView showGridLines="0" zoomScale="145" zoomScaleNormal="145" workbookViewId="0">
      <pane xSplit="3" ySplit="11" topLeftCell="D15" activePane="bottomRight" state="frozen"/>
      <selection pane="topRight" activeCell="D1" sqref="D1"/>
      <selection pane="bottomLeft" activeCell="A12" sqref="A12"/>
      <selection pane="bottomRight" activeCell="Q50" sqref="Q50"/>
    </sheetView>
  </sheetViews>
  <sheetFormatPr defaultRowHeight="15" x14ac:dyDescent="0.25"/>
  <cols>
    <col min="1" max="1" width="3.7109375" style="143" customWidth="1"/>
    <col min="2" max="2" width="20" style="143" bestFit="1" customWidth="1"/>
    <col min="3" max="8" width="8" style="143" customWidth="1"/>
    <col min="9" max="10" width="8" customWidth="1"/>
    <col min="11" max="13" width="8" style="143" customWidth="1"/>
    <col min="14" max="14" width="1" style="143" customWidth="1"/>
    <col min="15" max="15" width="8" style="143" customWidth="1"/>
    <col min="16" max="16" width="1" style="143" customWidth="1"/>
    <col min="17" max="20" width="8" style="143" customWidth="1"/>
    <col min="21" max="21" width="3.140625" style="143" hidden="1" customWidth="1"/>
    <col min="22" max="22" width="10" style="143" hidden="1" customWidth="1"/>
    <col min="23" max="16384" width="9.140625" style="143"/>
  </cols>
  <sheetData>
    <row r="1" spans="2:22" ht="12" x14ac:dyDescent="0.2">
      <c r="B1" s="366"/>
      <c r="C1" s="366"/>
      <c r="D1" s="366"/>
      <c r="E1" s="366"/>
      <c r="F1" s="366"/>
      <c r="G1" s="366"/>
      <c r="H1" s="366"/>
      <c r="I1" s="367"/>
      <c r="J1" s="367"/>
      <c r="K1" s="366"/>
      <c r="L1" s="366"/>
      <c r="M1" s="366"/>
      <c r="N1" s="366"/>
      <c r="O1" s="366"/>
      <c r="P1" s="366"/>
      <c r="Q1" s="366"/>
      <c r="R1" s="366"/>
      <c r="S1" s="366"/>
      <c r="T1" s="366"/>
      <c r="U1" s="366"/>
      <c r="V1" s="368" t="s">
        <v>457</v>
      </c>
    </row>
    <row r="2" spans="2:22" ht="12" customHeight="1" x14ac:dyDescent="0.25">
      <c r="B2" s="369" t="s">
        <v>385</v>
      </c>
      <c r="C2" s="366"/>
      <c r="D2" s="366"/>
      <c r="F2" s="370" t="s">
        <v>624</v>
      </c>
      <c r="G2" s="370" t="s">
        <v>625</v>
      </c>
      <c r="H2" s="370" t="s">
        <v>626</v>
      </c>
      <c r="J2" s="438"/>
      <c r="K2" s="438"/>
      <c r="L2" s="438"/>
      <c r="M2" s="366"/>
      <c r="N2" s="366"/>
      <c r="O2" s="366"/>
      <c r="P2" s="366"/>
      <c r="Q2" s="366"/>
      <c r="R2" s="366"/>
      <c r="S2" s="366"/>
      <c r="T2" s="366"/>
      <c r="U2" s="366"/>
      <c r="V2" s="366"/>
    </row>
    <row r="3" spans="2:22" ht="12.75" customHeight="1" x14ac:dyDescent="0.2">
      <c r="B3" s="366" t="s">
        <v>561</v>
      </c>
      <c r="C3" s="371">
        <v>0.09</v>
      </c>
      <c r="D3" s="372" t="s">
        <v>616</v>
      </c>
      <c r="F3" s="373">
        <f>C17/C12</f>
        <v>7.6351100904597111E-2</v>
      </c>
      <c r="G3" s="371">
        <v>7.0000000000000007E-2</v>
      </c>
      <c r="H3" s="371">
        <v>0.1</v>
      </c>
      <c r="I3" s="438"/>
      <c r="J3" s="438"/>
      <c r="K3" s="438"/>
      <c r="L3" s="438"/>
      <c r="M3" s="366"/>
      <c r="N3" s="366"/>
      <c r="O3" s="366"/>
      <c r="P3" s="366"/>
      <c r="Q3" s="366"/>
      <c r="R3" s="366"/>
      <c r="S3" s="366"/>
      <c r="T3" s="366"/>
      <c r="U3" s="374" t="s">
        <v>462</v>
      </c>
      <c r="V3" s="374" t="s">
        <v>458</v>
      </c>
    </row>
    <row r="4" spans="2:22" ht="12" x14ac:dyDescent="0.2">
      <c r="B4" s="375" t="s">
        <v>383</v>
      </c>
      <c r="C4" s="376">
        <v>0.02</v>
      </c>
      <c r="D4" s="372" t="s">
        <v>617</v>
      </c>
      <c r="F4" s="373">
        <f>-C18/C12</f>
        <v>9.3713974131320252E-2</v>
      </c>
      <c r="G4" s="371">
        <v>0.09</v>
      </c>
      <c r="H4" s="371">
        <v>7.0000000000000007E-2</v>
      </c>
      <c r="I4" s="366"/>
      <c r="J4" s="367"/>
      <c r="K4" s="367"/>
      <c r="L4" s="374"/>
      <c r="M4" s="366"/>
      <c r="N4" s="366"/>
      <c r="O4" s="366"/>
      <c r="P4" s="366"/>
      <c r="Q4" s="366"/>
      <c r="R4" s="366"/>
      <c r="S4" s="366"/>
      <c r="T4" s="366"/>
      <c r="U4" s="374" t="s">
        <v>463</v>
      </c>
      <c r="V4" s="374" t="s">
        <v>459</v>
      </c>
    </row>
    <row r="5" spans="2:22" ht="12.75" thickBot="1" x14ac:dyDescent="0.25">
      <c r="B5" s="366" t="s">
        <v>382</v>
      </c>
      <c r="C5" s="377">
        <v>0.94</v>
      </c>
      <c r="D5" s="366" t="s">
        <v>618</v>
      </c>
      <c r="F5" s="373">
        <f>C20/C12</f>
        <v>-1.2082738114079918E-2</v>
      </c>
      <c r="G5" s="371">
        <v>-1.2E-2</v>
      </c>
      <c r="H5" s="371">
        <v>0.02</v>
      </c>
      <c r="I5" s="366"/>
      <c r="J5" s="367"/>
      <c r="K5" s="367"/>
      <c r="L5" s="374"/>
      <c r="M5" s="366"/>
      <c r="N5" s="366"/>
      <c r="O5" s="366"/>
      <c r="P5" s="366"/>
      <c r="Q5" s="366"/>
      <c r="R5" s="366"/>
      <c r="S5" s="366"/>
      <c r="T5" s="366"/>
      <c r="U5" s="374" t="s">
        <v>465</v>
      </c>
      <c r="V5" s="374" t="s">
        <v>460</v>
      </c>
    </row>
    <row r="6" spans="2:22" ht="21.75" customHeight="1" thickBot="1" x14ac:dyDescent="0.25">
      <c r="B6" s="366" t="s">
        <v>535</v>
      </c>
      <c r="C6" s="197">
        <f>Main!C11/1000</f>
        <v>152.34299999999999</v>
      </c>
      <c r="D6" s="565">
        <f ca="1">C47</f>
        <v>18.353547669365998</v>
      </c>
      <c r="E6" s="566"/>
      <c r="F6" s="566"/>
      <c r="G6" s="566"/>
      <c r="H6" s="567"/>
      <c r="I6" s="367"/>
      <c r="J6" s="367"/>
      <c r="K6" s="374"/>
      <c r="L6" s="374"/>
      <c r="M6" s="366"/>
      <c r="N6" s="366"/>
      <c r="O6" s="366"/>
      <c r="P6" s="366"/>
      <c r="Q6" s="366"/>
      <c r="R6" s="366"/>
      <c r="S6" s="366"/>
      <c r="T6" s="366"/>
      <c r="U6" s="374"/>
      <c r="V6" s="374"/>
    </row>
    <row r="7" spans="2:22" ht="12" x14ac:dyDescent="0.2">
      <c r="B7" s="366" t="s">
        <v>380</v>
      </c>
      <c r="C7" s="378">
        <v>0.19</v>
      </c>
      <c r="D7" s="366"/>
      <c r="E7" s="366"/>
      <c r="F7" s="366"/>
      <c r="G7" s="366"/>
      <c r="H7" s="366"/>
      <c r="I7" s="367"/>
      <c r="J7" s="367"/>
      <c r="K7" s="374"/>
      <c r="L7" s="374"/>
      <c r="M7" s="366"/>
      <c r="N7" s="366"/>
      <c r="O7" s="366"/>
      <c r="P7" s="366"/>
      <c r="Q7" s="366"/>
      <c r="R7" s="366"/>
      <c r="S7" s="366"/>
      <c r="T7" s="366"/>
      <c r="U7" s="374"/>
      <c r="V7" s="374"/>
    </row>
    <row r="8" spans="2:22" ht="12" x14ac:dyDescent="0.2">
      <c r="B8" s="366" t="s">
        <v>454</v>
      </c>
      <c r="C8" s="378">
        <v>0.12</v>
      </c>
      <c r="D8" s="366"/>
      <c r="E8" s="366"/>
      <c r="F8" s="366"/>
      <c r="G8" s="366"/>
      <c r="H8" s="366"/>
      <c r="I8" s="367"/>
      <c r="J8" s="367"/>
      <c r="K8" s="374"/>
      <c r="L8" s="374"/>
      <c r="M8" s="366"/>
      <c r="N8" s="366"/>
      <c r="O8" s="366"/>
      <c r="P8" s="366"/>
      <c r="Q8" s="366"/>
      <c r="R8" s="366"/>
      <c r="S8" s="366"/>
      <c r="T8" s="366"/>
      <c r="U8" s="374"/>
      <c r="V8" s="374"/>
    </row>
    <row r="9" spans="2:22" ht="12" x14ac:dyDescent="0.2">
      <c r="D9" s="366"/>
      <c r="E9" s="379"/>
      <c r="F9" s="366"/>
      <c r="G9" s="366"/>
      <c r="H9" s="366"/>
      <c r="I9" s="367"/>
      <c r="J9" s="367"/>
      <c r="K9" s="374"/>
      <c r="L9" s="374"/>
      <c r="M9" s="366"/>
      <c r="N9" s="366"/>
      <c r="O9" s="366"/>
      <c r="P9" s="366"/>
      <c r="Q9" s="366"/>
      <c r="R9" s="366"/>
      <c r="S9" s="366"/>
      <c r="T9" s="366"/>
      <c r="U9" s="374" t="s">
        <v>464</v>
      </c>
      <c r="V9" s="374" t="s">
        <v>461</v>
      </c>
    </row>
    <row r="10" spans="2:22" ht="12" x14ac:dyDescent="0.2">
      <c r="B10" s="366"/>
      <c r="C10" s="380">
        <v>0</v>
      </c>
      <c r="D10" s="380">
        <v>1</v>
      </c>
      <c r="E10" s="380">
        <v>2</v>
      </c>
      <c r="F10" s="380">
        <v>3</v>
      </c>
      <c r="G10" s="380">
        <v>4</v>
      </c>
      <c r="H10" s="380">
        <v>5</v>
      </c>
      <c r="I10" s="380">
        <v>6</v>
      </c>
      <c r="J10" s="380">
        <v>7</v>
      </c>
      <c r="K10" s="380">
        <v>8</v>
      </c>
      <c r="L10" s="380">
        <v>9</v>
      </c>
      <c r="M10" s="380">
        <v>10</v>
      </c>
      <c r="N10" s="366"/>
      <c r="O10" s="366"/>
      <c r="P10" s="366"/>
      <c r="Q10" s="366"/>
      <c r="R10" s="366"/>
      <c r="S10" s="366"/>
      <c r="T10" s="366"/>
      <c r="U10" s="374"/>
      <c r="V10" s="374"/>
    </row>
    <row r="11" spans="2:22" ht="12" x14ac:dyDescent="0.2">
      <c r="B11" s="381" t="s">
        <v>664</v>
      </c>
      <c r="C11" s="442">
        <v>2025</v>
      </c>
      <c r="D11" s="443">
        <v>2026</v>
      </c>
      <c r="E11" s="443">
        <f>D11+1</f>
        <v>2027</v>
      </c>
      <c r="F11" s="443">
        <f t="shared" ref="F11:M11" si="0">E11+1</f>
        <v>2028</v>
      </c>
      <c r="G11" s="443">
        <f t="shared" si="0"/>
        <v>2029</v>
      </c>
      <c r="H11" s="443">
        <f t="shared" si="0"/>
        <v>2030</v>
      </c>
      <c r="I11" s="443">
        <f t="shared" si="0"/>
        <v>2031</v>
      </c>
      <c r="J11" s="443">
        <f t="shared" si="0"/>
        <v>2032</v>
      </c>
      <c r="K11" s="443">
        <f t="shared" si="0"/>
        <v>2033</v>
      </c>
      <c r="L11" s="443">
        <f t="shared" si="0"/>
        <v>2034</v>
      </c>
      <c r="M11" s="443">
        <f t="shared" si="0"/>
        <v>2035</v>
      </c>
      <c r="N11" s="444"/>
      <c r="O11" s="441" t="s">
        <v>517</v>
      </c>
      <c r="P11" s="444"/>
      <c r="Q11" s="441" t="s">
        <v>619</v>
      </c>
      <c r="R11" s="441" t="s">
        <v>620</v>
      </c>
      <c r="S11" s="441" t="s">
        <v>623</v>
      </c>
      <c r="T11" s="441" t="s">
        <v>550</v>
      </c>
      <c r="U11" s="374"/>
      <c r="V11" s="374"/>
    </row>
    <row r="12" spans="2:22" ht="12" x14ac:dyDescent="0.2">
      <c r="B12" s="366" t="s">
        <v>376</v>
      </c>
      <c r="C12" s="384">
        <f>Model!$AF$86/1000</f>
        <v>979.33100000000002</v>
      </c>
      <c r="D12" s="385">
        <f t="shared" ref="D12:M12" si="1">C12*(1+D13)</f>
        <v>1050</v>
      </c>
      <c r="E12" s="384">
        <f t="shared" si="1"/>
        <v>1119</v>
      </c>
      <c r="F12" s="384">
        <f t="shared" si="1"/>
        <v>1182.5525000000002</v>
      </c>
      <c r="G12" s="384">
        <f t="shared" si="1"/>
        <v>1239.0535625000002</v>
      </c>
      <c r="H12" s="384">
        <f t="shared" si="1"/>
        <v>1287.0003690625003</v>
      </c>
      <c r="I12" s="384">
        <f t="shared" ca="1" si="1"/>
        <v>1336.2730443315097</v>
      </c>
      <c r="J12" s="384">
        <f t="shared" ca="1" si="1"/>
        <v>1387.4321188483559</v>
      </c>
      <c r="K12" s="384">
        <f t="shared" ca="1" si="1"/>
        <v>1440.5498132120385</v>
      </c>
      <c r="L12" s="384">
        <f t="shared" ca="1" si="1"/>
        <v>1495.7011129796783</v>
      </c>
      <c r="M12" s="384">
        <f t="shared" ca="1" si="1"/>
        <v>1552.9638745226509</v>
      </c>
      <c r="N12" s="366"/>
      <c r="O12" s="379">
        <f ca="1">M12*(1+O13)</f>
        <v>1584.023152013104</v>
      </c>
      <c r="P12" s="379"/>
      <c r="Q12" s="379">
        <f>IFERROR(SUM(D12:G12),"")</f>
        <v>4590.6060625000009</v>
      </c>
      <c r="R12" s="379">
        <f ca="1">IFERROR(SUM(H12:M12),"")</f>
        <v>8499.9203329567335</v>
      </c>
      <c r="S12" s="390">
        <f ca="1">+SUM(D12:M12)</f>
        <v>13090.526395456734</v>
      </c>
      <c r="T12" s="386">
        <f ca="1">IFERROR(((M12/C12))^(1/(2035-2025))-1,"")</f>
        <v>4.7184451239154157E-2</v>
      </c>
      <c r="U12" s="374"/>
      <c r="V12" s="374"/>
    </row>
    <row r="13" spans="2:22" ht="12" x14ac:dyDescent="0.2">
      <c r="B13" s="408" t="s">
        <v>377</v>
      </c>
      <c r="C13" s="382">
        <f>Model!$AF$87</f>
        <v>0.15076642871831036</v>
      </c>
      <c r="D13" s="383">
        <f>Model!AL87</f>
        <v>7.2160485065825508E-2</v>
      </c>
      <c r="E13" s="383">
        <f>Model!AM87</f>
        <v>6.5714285714285614E-2</v>
      </c>
      <c r="F13" s="383">
        <f>Model!AN87</f>
        <v>5.6794012511170999E-2</v>
      </c>
      <c r="G13" s="383">
        <f>Model!AO87</f>
        <v>4.777890410785135E-2</v>
      </c>
      <c r="H13" s="383">
        <f>Model!AP87</f>
        <v>3.8696314682118649E-2</v>
      </c>
      <c r="I13" s="383">
        <f ca="1">Model!AQ87</f>
        <v>3.8284895990279733E-2</v>
      </c>
      <c r="J13" s="383">
        <f ca="1">Model!AR87</f>
        <v>3.8284895990279733E-2</v>
      </c>
      <c r="K13" s="383">
        <f ca="1">Model!AS87</f>
        <v>3.8284895990279733E-2</v>
      </c>
      <c r="L13" s="383">
        <f ca="1">Model!AT87</f>
        <v>3.8284895990279733E-2</v>
      </c>
      <c r="M13" s="383">
        <f ca="1">Model!AU87</f>
        <v>3.8284895990279733E-2</v>
      </c>
      <c r="N13" s="366"/>
      <c r="O13" s="401">
        <f>C4</f>
        <v>0.02</v>
      </c>
      <c r="P13" s="451"/>
      <c r="Q13" s="366"/>
      <c r="R13" s="366"/>
      <c r="S13" s="387"/>
      <c r="T13" s="366"/>
      <c r="U13" s="374" t="s">
        <v>468</v>
      </c>
      <c r="V13" s="374" t="s">
        <v>466</v>
      </c>
    </row>
    <row r="14" spans="2:22" ht="12" x14ac:dyDescent="0.2">
      <c r="B14" s="366" t="s">
        <v>374</v>
      </c>
      <c r="C14" s="384">
        <f>Model!AF110/1000</f>
        <v>68.814999999999998</v>
      </c>
      <c r="D14" s="385">
        <f t="shared" ref="D14:M14" si="2">D12*D15</f>
        <v>86.8</v>
      </c>
      <c r="E14" s="385">
        <f t="shared" si="2"/>
        <v>119.08400000000003</v>
      </c>
      <c r="F14" s="385">
        <f t="shared" si="2"/>
        <v>126.01020250000002</v>
      </c>
      <c r="G14" s="385">
        <f t="shared" si="2"/>
        <v>137.80731481250004</v>
      </c>
      <c r="H14" s="385">
        <f t="shared" si="2"/>
        <v>149.10416731281254</v>
      </c>
      <c r="I14" s="385">
        <f t="shared" ca="1" si="2"/>
        <v>160.34981579667527</v>
      </c>
      <c r="J14" s="385">
        <f t="shared" ca="1" si="2"/>
        <v>171.40911275854569</v>
      </c>
      <c r="K14" s="385">
        <f t="shared" ca="1" si="2"/>
        <v>181.25977139389664</v>
      </c>
      <c r="L14" s="385">
        <f t="shared" ca="1" si="2"/>
        <v>184.911307125278</v>
      </c>
      <c r="M14" s="385">
        <f t="shared" ca="1" si="2"/>
        <v>188.63688200706699</v>
      </c>
      <c r="N14" s="366"/>
      <c r="O14" s="385">
        <f ca="1">O12*O15</f>
        <v>190.08277824157247</v>
      </c>
      <c r="P14" s="385"/>
      <c r="Q14" s="379">
        <f>IFERROR(SUM(D14:G14),"")</f>
        <v>469.70151731250007</v>
      </c>
      <c r="R14" s="379">
        <f ca="1">IFERROR(SUM(H14:M14),"")</f>
        <v>1035.6710563942752</v>
      </c>
      <c r="S14" s="390">
        <f ca="1">+SUM(D14:M14)</f>
        <v>1505.3725737067753</v>
      </c>
      <c r="T14" s="386">
        <f ca="1">IFERROR(((M14/C14))^(1/(2035-2025))-1,"")</f>
        <v>0.1060998909562112</v>
      </c>
      <c r="U14" s="374"/>
      <c r="V14" s="374"/>
    </row>
    <row r="15" spans="2:22" ht="12" x14ac:dyDescent="0.2">
      <c r="B15" s="409" t="s">
        <v>375</v>
      </c>
      <c r="C15" s="388">
        <f>Model!$AF$111</f>
        <v>7.0267355980766458E-2</v>
      </c>
      <c r="D15" s="389">
        <f>Model!AL111</f>
        <v>8.2666666666666666E-2</v>
      </c>
      <c r="E15" s="389">
        <f>Model!AM111</f>
        <v>0.10642001787310101</v>
      </c>
      <c r="F15" s="389">
        <f>Model!AN111</f>
        <v>0.10655780821570289</v>
      </c>
      <c r="G15" s="389">
        <f>Model!AO111</f>
        <v>0.11121982050110123</v>
      </c>
      <c r="H15" s="389">
        <f>Model!AP111</f>
        <v>0.11585402063359596</v>
      </c>
      <c r="I15" s="389">
        <f ca="1">Model!AQ111</f>
        <v>0.11999779272423521</v>
      </c>
      <c r="J15" s="389">
        <f ca="1">Model!AR111</f>
        <v>0.12354414347912356</v>
      </c>
      <c r="K15" s="389">
        <f ca="1">Model!AS111</f>
        <v>0.12582679872050806</v>
      </c>
      <c r="L15" s="389">
        <f ca="1">Model!AT111</f>
        <v>0.12362851476181949</v>
      </c>
      <c r="M15" s="389">
        <f ca="1">Model!AU111</f>
        <v>0.12146894406352503</v>
      </c>
      <c r="N15" s="366"/>
      <c r="O15" s="389">
        <f>C8</f>
        <v>0.12</v>
      </c>
      <c r="P15" s="389"/>
      <c r="Q15" s="389">
        <f>Q14/Q12</f>
        <v>0.10231797521234158</v>
      </c>
      <c r="R15" s="389">
        <f ca="1">R14/R12</f>
        <v>0.12184479569516302</v>
      </c>
      <c r="S15" s="389">
        <f ca="1">S14/S12</f>
        <v>0.11499710005773622</v>
      </c>
      <c r="T15" s="366"/>
      <c r="U15" s="374"/>
      <c r="V15" s="374" t="s">
        <v>469</v>
      </c>
    </row>
    <row r="16" spans="2:22" ht="12" x14ac:dyDescent="0.2">
      <c r="B16" s="436" t="s">
        <v>373</v>
      </c>
      <c r="C16" s="437">
        <f t="shared" ref="C16:M16" si="3">C14*(1-$C$7)</f>
        <v>55.74015</v>
      </c>
      <c r="D16" s="437">
        <f t="shared" si="3"/>
        <v>70.308000000000007</v>
      </c>
      <c r="E16" s="437">
        <f t="shared" si="3"/>
        <v>96.458040000000025</v>
      </c>
      <c r="F16" s="437">
        <f t="shared" si="3"/>
        <v>102.06826402500002</v>
      </c>
      <c r="G16" s="437">
        <f t="shared" si="3"/>
        <v>111.62392499812503</v>
      </c>
      <c r="H16" s="437">
        <f t="shared" si="3"/>
        <v>120.77437552337817</v>
      </c>
      <c r="I16" s="437">
        <f t="shared" ca="1" si="3"/>
        <v>129.88335079530697</v>
      </c>
      <c r="J16" s="437">
        <f t="shared" ca="1" si="3"/>
        <v>138.84138133442201</v>
      </c>
      <c r="K16" s="437">
        <f t="shared" ca="1" si="3"/>
        <v>146.82041482905629</v>
      </c>
      <c r="L16" s="437">
        <f t="shared" ca="1" si="3"/>
        <v>149.77815877147518</v>
      </c>
      <c r="M16" s="437">
        <f t="shared" ca="1" si="3"/>
        <v>152.79587442572426</v>
      </c>
      <c r="N16" s="387"/>
      <c r="O16" s="437">
        <f ca="1">O14*(1-$C$7)</f>
        <v>153.96705037567372</v>
      </c>
      <c r="P16" s="390"/>
      <c r="Q16" s="439">
        <f t="shared" ref="Q16:Q21" si="4">IFERROR(SUM(D16:G16),"")</f>
        <v>380.45822902312511</v>
      </c>
      <c r="R16" s="439">
        <f t="shared" ref="R16:R21" ca="1" si="5">IFERROR(SUM(H16:M16),"")</f>
        <v>838.89355567936286</v>
      </c>
      <c r="S16" s="437">
        <f t="shared" ref="S16:S21" ca="1" si="6">+SUM(D16:M16)</f>
        <v>1219.3517847024877</v>
      </c>
      <c r="T16" s="386">
        <f t="shared" ref="T16:T21" ca="1" si="7">IFERROR(((M16/C16))^(1/(2035-2025))-1,"")</f>
        <v>0.1060998909562112</v>
      </c>
      <c r="U16" s="374"/>
      <c r="V16" s="374"/>
    </row>
    <row r="17" spans="2:22" ht="12" x14ac:dyDescent="0.2">
      <c r="B17" s="391" t="s">
        <v>606</v>
      </c>
      <c r="C17" s="197">
        <f>Model!AF367</f>
        <v>74.772999999999996</v>
      </c>
      <c r="D17" s="197">
        <f>$C$17+($G$17-$C$17)*((D$11-$C$11)/($G$11-$C$11))</f>
        <v>77.763187343750005</v>
      </c>
      <c r="E17" s="197">
        <f>$C$17+($G$17-$C$17)*((E$11-$C$11)/($G$11-$C$11))</f>
        <v>80.753374687500013</v>
      </c>
      <c r="F17" s="197">
        <f>$C$17+($G$17-$C$17)*((F$11-$C$11)/($G$11-$C$11))</f>
        <v>83.743562031250022</v>
      </c>
      <c r="G17" s="197">
        <f>G12*$G$3</f>
        <v>86.733749375000031</v>
      </c>
      <c r="H17" s="197">
        <f ca="1">$G$17+(($M$17-$G$17)*(H$11-$G$11)/($M$11-$G$11))</f>
        <v>98.160855721210879</v>
      </c>
      <c r="I17" s="197">
        <f ca="1">$G$17+(($M$17-$G$17)*(I$11-$G$11)/($M$11-$G$11))</f>
        <v>109.58796206742171</v>
      </c>
      <c r="J17" s="197">
        <f ca="1">$G$17+(($M$17-$G$17)*(J$11-$G$11)/($M$11-$G$11))</f>
        <v>121.01506841363256</v>
      </c>
      <c r="K17" s="197">
        <f ca="1">$G$17+(($M$17-$G$17)*(K$11-$G$11)/($M$11-$G$11))</f>
        <v>132.4421747598434</v>
      </c>
      <c r="L17" s="197">
        <f ca="1">$G$17+(($M$17-$G$17)*(L$11-$G$11)/($M$11-$G$11))</f>
        <v>143.86928110605425</v>
      </c>
      <c r="M17" s="197">
        <f ca="1">M12*$H$3</f>
        <v>155.29638745226509</v>
      </c>
      <c r="N17" s="366"/>
      <c r="O17" s="197">
        <f ca="1">O12*$H$3</f>
        <v>158.40231520131042</v>
      </c>
      <c r="P17" s="452"/>
      <c r="Q17" s="379">
        <f t="shared" si="4"/>
        <v>328.99387343750004</v>
      </c>
      <c r="R17" s="379">
        <f t="shared" ca="1" si="5"/>
        <v>760.37172952042795</v>
      </c>
      <c r="S17" s="390">
        <f t="shared" ca="1" si="6"/>
        <v>1089.3656029579279</v>
      </c>
      <c r="T17" s="386">
        <f t="shared" ca="1" si="7"/>
        <v>7.58250559240361E-2</v>
      </c>
      <c r="U17" s="374"/>
      <c r="V17" s="374"/>
    </row>
    <row r="18" spans="2:22" ht="14.25" x14ac:dyDescent="0.35">
      <c r="B18" s="391" t="s">
        <v>182</v>
      </c>
      <c r="C18" s="393">
        <f>Model!AF368</f>
        <v>-91.777000000000001</v>
      </c>
      <c r="D18" s="393">
        <f>$C$18+($G$18-$C$18)*((D$11-$C$11)/($G$11-$C$11))</f>
        <v>-96.711455156249997</v>
      </c>
      <c r="E18" s="393">
        <f>$C$18+($G$18-$C$18)*((E$11-$C$11)/($G$11-$C$11))</f>
        <v>-101.64591031250001</v>
      </c>
      <c r="F18" s="393">
        <f>$C$18+($G$18-$C$18)*((F$11-$C$11)/($G$11-$C$11))</f>
        <v>-106.58036546875002</v>
      </c>
      <c r="G18" s="393">
        <f>-G12*$G$4</f>
        <v>-111.51482062500001</v>
      </c>
      <c r="H18" s="393">
        <f ca="1">$G$18+(($M$18-$G$18)*(H$11-$G$11)/($M$11-$G$11))</f>
        <v>-111.04692905693094</v>
      </c>
      <c r="I18" s="393">
        <f ca="1">$G$18+(($M$18-$G$18)*(I$11-$G$11)/($M$11-$G$11))</f>
        <v>-110.57903748886187</v>
      </c>
      <c r="J18" s="393">
        <f ca="1">$G$18+(($M$18-$G$18)*(J$11-$G$11)/($M$11-$G$11))</f>
        <v>-110.11114592079279</v>
      </c>
      <c r="K18" s="393">
        <f ca="1">$G$18+(($M$18-$G$18)*(K$11-$G$11)/($M$11-$G$11))</f>
        <v>-109.64325435272372</v>
      </c>
      <c r="L18" s="393">
        <f ca="1">$G$18+(($M$18-$G$18)*(L$11-$G$11)/($M$11-$G$11))</f>
        <v>-109.17536278465465</v>
      </c>
      <c r="M18" s="393">
        <f ca="1">-M12*$H$4</f>
        <v>-108.70747121658557</v>
      </c>
      <c r="N18" s="366"/>
      <c r="O18" s="393">
        <f ca="1">-O12*$H$4</f>
        <v>-110.88162064091729</v>
      </c>
      <c r="P18" s="452"/>
      <c r="Q18" s="379">
        <f t="shared" si="4"/>
        <v>-416.45255156250005</v>
      </c>
      <c r="R18" s="379">
        <f t="shared" ca="1" si="5"/>
        <v>-659.26320082054951</v>
      </c>
      <c r="S18" s="390">
        <f t="shared" ca="1" si="6"/>
        <v>-1075.7157523830497</v>
      </c>
      <c r="T18" s="386">
        <f t="shared" ca="1" si="7"/>
        <v>1.7074002863829651E-2</v>
      </c>
      <c r="U18" s="374"/>
      <c r="V18" s="374"/>
    </row>
    <row r="19" spans="2:22" ht="12" x14ac:dyDescent="0.2">
      <c r="B19" s="394" t="s">
        <v>614</v>
      </c>
      <c r="C19" s="197">
        <f>C17+C18</f>
        <v>-17.004000000000005</v>
      </c>
      <c r="D19" s="197">
        <f>D17+D18</f>
        <v>-18.948267812499992</v>
      </c>
      <c r="E19" s="197">
        <f>E17+E18</f>
        <v>-20.892535624999994</v>
      </c>
      <c r="F19" s="197">
        <f t="shared" ref="F19:O19" si="8">F17+F18</f>
        <v>-22.836803437499995</v>
      </c>
      <c r="G19" s="197">
        <f t="shared" si="8"/>
        <v>-24.781071249999982</v>
      </c>
      <c r="H19" s="197">
        <f t="shared" ca="1" si="8"/>
        <v>-12.886073335720056</v>
      </c>
      <c r="I19" s="197">
        <f t="shared" ca="1" si="8"/>
        <v>-0.99107542144015781</v>
      </c>
      <c r="J19" s="197">
        <f t="shared" ca="1" si="8"/>
        <v>10.903922492839769</v>
      </c>
      <c r="K19" s="197">
        <f t="shared" ca="1" si="8"/>
        <v>22.798920407119681</v>
      </c>
      <c r="L19" s="197">
        <f t="shared" ca="1" si="8"/>
        <v>34.693918321399593</v>
      </c>
      <c r="M19" s="197">
        <f t="shared" ca="1" si="8"/>
        <v>46.58891623567952</v>
      </c>
      <c r="N19" s="366"/>
      <c r="O19" s="197">
        <f t="shared" ca="1" si="8"/>
        <v>47.520694560393125</v>
      </c>
      <c r="P19" s="452"/>
      <c r="Q19" s="379">
        <f t="shared" si="4"/>
        <v>-87.458678124999963</v>
      </c>
      <c r="R19" s="379">
        <f t="shared" ca="1" si="5"/>
        <v>101.10852869987835</v>
      </c>
      <c r="S19" s="390">
        <f t="shared" ca="1" si="6"/>
        <v>13.649850574878386</v>
      </c>
      <c r="T19" s="386" t="str">
        <f t="shared" ca="1" si="7"/>
        <v/>
      </c>
      <c r="U19" s="374"/>
      <c r="V19" s="374"/>
    </row>
    <row r="20" spans="2:22" ht="14.25" x14ac:dyDescent="0.35">
      <c r="B20" s="366" t="s">
        <v>615</v>
      </c>
      <c r="C20" s="393">
        <f>Model!AF370</f>
        <v>-11.833</v>
      </c>
      <c r="D20" s="393">
        <f>$C$20+($G$20-$C$20)*((D$11-$C$11)/($G$11-$C$11))</f>
        <v>-12.5919106875</v>
      </c>
      <c r="E20" s="393">
        <f>$C$20+($G$20-$C$20)*((E$11-$C$11)/($G$11-$C$11))</f>
        <v>-13.350821375000002</v>
      </c>
      <c r="F20" s="393">
        <f>$C$20+($G$20-$C$20)*((F$11-$C$11)/($G$11-$C$11))</f>
        <v>-14.109732062500003</v>
      </c>
      <c r="G20" s="393">
        <f>G12*$G$5</f>
        <v>-14.868642750000003</v>
      </c>
      <c r="H20" s="393">
        <f ca="1">$G$20+(($M$20-$G$20)*(H$11-$G$11)/($M$11-$G$11))</f>
        <v>-7.213989376591166</v>
      </c>
      <c r="I20" s="393">
        <f ca="1">$G$20+(($M$20-$G$20)*(I$11-$G$11)/($M$11-$G$11))</f>
        <v>0.44066399681767088</v>
      </c>
      <c r="J20" s="393">
        <f ca="1">$G$20+(($M$20-$G$20)*(J$11-$G$11)/($M$11-$G$11))</f>
        <v>8.0953173702265033</v>
      </c>
      <c r="K20" s="393">
        <f ca="1">$G$20+(($M$20-$G$20)*(K$11-$G$11)/($M$11-$G$11))</f>
        <v>15.749970743635345</v>
      </c>
      <c r="L20" s="393">
        <f ca="1">$G$20+(($M$20-$G$20)*(L$11-$G$11)/($M$11-$G$11))</f>
        <v>23.404624117044182</v>
      </c>
      <c r="M20" s="393">
        <f ca="1">M12*$H$5</f>
        <v>31.05927749045302</v>
      </c>
      <c r="N20" s="366"/>
      <c r="O20" s="393">
        <f ca="1">O12*$H$5</f>
        <v>31.680463040262079</v>
      </c>
      <c r="P20" s="452"/>
      <c r="Q20" s="379">
        <f t="shared" si="4"/>
        <v>-54.921106875000007</v>
      </c>
      <c r="R20" s="379">
        <f t="shared" ca="1" si="5"/>
        <v>71.535864341585551</v>
      </c>
      <c r="S20" s="390">
        <f t="shared" ca="1" si="6"/>
        <v>16.614757466585548</v>
      </c>
      <c r="T20" s="386" t="str">
        <f t="shared" ca="1" si="7"/>
        <v/>
      </c>
      <c r="U20" s="374"/>
      <c r="V20" s="374"/>
    </row>
    <row r="21" spans="2:22" ht="12" x14ac:dyDescent="0.2">
      <c r="B21" s="366" t="s">
        <v>371</v>
      </c>
      <c r="C21" s="390">
        <f>C19+C20</f>
        <v>-28.837000000000003</v>
      </c>
      <c r="D21" s="390">
        <f>D19+D20</f>
        <v>-31.540178499999993</v>
      </c>
      <c r="E21" s="390">
        <f>E19+E20</f>
        <v>-34.243356999999996</v>
      </c>
      <c r="F21" s="390">
        <f t="shared" ref="F21:G21" si="9">F19+F20</f>
        <v>-36.946535499999996</v>
      </c>
      <c r="G21" s="390">
        <f t="shared" si="9"/>
        <v>-39.649713999999989</v>
      </c>
      <c r="H21" s="390">
        <f ca="1">H19+H20</f>
        <v>-20.100062712311221</v>
      </c>
      <c r="I21" s="390">
        <f t="shared" ref="I21" ca="1" si="10">I19+I20</f>
        <v>-0.55041142462248693</v>
      </c>
      <c r="J21" s="390">
        <f ca="1">J19+J20</f>
        <v>18.999239863066272</v>
      </c>
      <c r="K21" s="390">
        <f t="shared" ref="K21:O21" ca="1" si="11">K19+K20</f>
        <v>38.548891150755026</v>
      </c>
      <c r="L21" s="390">
        <f t="shared" ca="1" si="11"/>
        <v>58.098542438443772</v>
      </c>
      <c r="M21" s="390">
        <f t="shared" ca="1" si="11"/>
        <v>77.648193726132547</v>
      </c>
      <c r="N21" s="366"/>
      <c r="O21" s="390">
        <f t="shared" ca="1" si="11"/>
        <v>79.201157600655208</v>
      </c>
      <c r="P21" s="390"/>
      <c r="Q21" s="390">
        <f t="shared" si="4"/>
        <v>-142.37978499999997</v>
      </c>
      <c r="R21" s="390">
        <f t="shared" ca="1" si="5"/>
        <v>172.6443930414639</v>
      </c>
      <c r="S21" s="390">
        <f t="shared" ca="1" si="6"/>
        <v>30.264608041463916</v>
      </c>
      <c r="T21" s="386" t="str">
        <f t="shared" ca="1" si="7"/>
        <v/>
      </c>
      <c r="U21" s="374"/>
      <c r="V21" s="374"/>
    </row>
    <row r="22" spans="2:22" ht="12" x14ac:dyDescent="0.2">
      <c r="B22" s="366" t="s">
        <v>372</v>
      </c>
      <c r="C22" s="392">
        <f t="shared" ref="C22:M22" si="12">C21/C16</f>
        <v>-0.51734701108626369</v>
      </c>
      <c r="D22" s="392">
        <f t="shared" si="12"/>
        <v>-0.44860013796438514</v>
      </c>
      <c r="E22" s="392">
        <f t="shared" si="12"/>
        <v>-0.35500780442978092</v>
      </c>
      <c r="F22" s="392">
        <f t="shared" si="12"/>
        <v>-0.36197868017967388</v>
      </c>
      <c r="G22" s="392">
        <f t="shared" si="12"/>
        <v>-0.35520802552558506</v>
      </c>
      <c r="H22" s="392">
        <f t="shared" ca="1" si="12"/>
        <v>-0.16642655054275543</v>
      </c>
      <c r="I22" s="392">
        <f t="shared" ca="1" si="12"/>
        <v>-4.237736563248373E-3</v>
      </c>
      <c r="J22" s="392">
        <f t="shared" ca="1" si="12"/>
        <v>0.13684133419346728</v>
      </c>
      <c r="K22" s="392">
        <f t="shared" ca="1" si="12"/>
        <v>0.26255811356777381</v>
      </c>
      <c r="L22" s="392">
        <f t="shared" ca="1" si="12"/>
        <v>0.38789729367075432</v>
      </c>
      <c r="M22" s="392">
        <f t="shared" ca="1" si="12"/>
        <v>0.50818252795089813</v>
      </c>
      <c r="N22" s="366"/>
      <c r="O22" s="392">
        <f ca="1">O21/O16</f>
        <v>0.51440329218106995</v>
      </c>
      <c r="P22" s="390"/>
      <c r="Q22" s="395">
        <f t="shared" ref="Q22:R22" si="13">Q21/Q16</f>
        <v>-0.37423237070092602</v>
      </c>
      <c r="R22" s="395">
        <f t="shared" ca="1" si="13"/>
        <v>0.20580011834952164</v>
      </c>
      <c r="S22" s="395">
        <f ca="1">S21/S16</f>
        <v>2.4820243363032631E-2</v>
      </c>
      <c r="T22" s="366"/>
      <c r="U22" s="374"/>
      <c r="V22" s="374" t="s">
        <v>470</v>
      </c>
    </row>
    <row r="23" spans="2:22" ht="12" x14ac:dyDescent="0.2">
      <c r="B23" s="387" t="s">
        <v>370</v>
      </c>
      <c r="C23" s="396">
        <f>C16-C21</f>
        <v>84.577150000000003</v>
      </c>
      <c r="D23" s="396">
        <f t="shared" ref="D23:M23" si="14">D16-D21</f>
        <v>101.8481785</v>
      </c>
      <c r="E23" s="396">
        <f t="shared" si="14"/>
        <v>130.70139700000001</v>
      </c>
      <c r="F23" s="396">
        <f t="shared" si="14"/>
        <v>139.014799525</v>
      </c>
      <c r="G23" s="396">
        <f t="shared" si="14"/>
        <v>151.27363899812502</v>
      </c>
      <c r="H23" s="396">
        <f t="shared" ca="1" si="14"/>
        <v>140.87443823568938</v>
      </c>
      <c r="I23" s="396">
        <f t="shared" ca="1" si="14"/>
        <v>130.43376221992946</v>
      </c>
      <c r="J23" s="396">
        <f t="shared" ca="1" si="14"/>
        <v>119.84214147135575</v>
      </c>
      <c r="K23" s="396">
        <f t="shared" ca="1" si="14"/>
        <v>108.27152367830126</v>
      </c>
      <c r="L23" s="396">
        <f t="shared" ca="1" si="14"/>
        <v>91.679616333031404</v>
      </c>
      <c r="M23" s="396">
        <f t="shared" ca="1" si="14"/>
        <v>75.147680699591717</v>
      </c>
      <c r="N23" s="366"/>
      <c r="O23" s="397">
        <f ca="1">O16-O21</f>
        <v>74.765892775018514</v>
      </c>
      <c r="P23" s="390"/>
      <c r="Q23" s="379">
        <f>IFERROR(SUM(D23:G23),"")</f>
        <v>522.83801402312497</v>
      </c>
      <c r="R23" s="379">
        <f ca="1">IFERROR(SUM(H23:M23),"")</f>
        <v>666.24916263789896</v>
      </c>
      <c r="S23" s="390">
        <f ca="1">+SUM(D23:M23)</f>
        <v>1189.0871766610239</v>
      </c>
      <c r="T23" s="386">
        <f ca="1">IFERROR(((M23/C23))^(1/(2035-2025))-1,"")</f>
        <v>-1.1751295997330491E-2</v>
      </c>
      <c r="U23" s="374"/>
      <c r="V23" s="374"/>
    </row>
    <row r="24" spans="2:22" ht="12" x14ac:dyDescent="0.2">
      <c r="B24" s="391" t="s">
        <v>391</v>
      </c>
      <c r="C24" s="398"/>
      <c r="D24" s="399">
        <f>D23/C23-1</f>
        <v>0.20420442755519663</v>
      </c>
      <c r="E24" s="399">
        <f t="shared" ref="E24:K24" si="15">E23/D23-1</f>
        <v>0.28329636253632184</v>
      </c>
      <c r="F24" s="399">
        <f t="shared" si="15"/>
        <v>6.3606072435476557E-2</v>
      </c>
      <c r="G24" s="399">
        <f t="shared" si="15"/>
        <v>8.8183700692388678E-2</v>
      </c>
      <c r="H24" s="399">
        <f t="shared" ca="1" si="15"/>
        <v>-6.8744302254568845E-2</v>
      </c>
      <c r="I24" s="399">
        <f t="shared" ca="1" si="15"/>
        <v>-7.4113346228874999E-2</v>
      </c>
      <c r="J24" s="399">
        <f t="shared" ca="1" si="15"/>
        <v>-8.1203060989031184E-2</v>
      </c>
      <c r="K24" s="399">
        <f t="shared" ca="1" si="15"/>
        <v>-9.6548823735931433E-2</v>
      </c>
      <c r="L24" s="399">
        <f ca="1">L23/K23-1</f>
        <v>-0.15324350098339889</v>
      </c>
      <c r="M24" s="399">
        <f t="shared" ref="M24" ca="1" si="16">M23/L23-1</f>
        <v>-0.18032291467480066</v>
      </c>
      <c r="N24" s="366"/>
      <c r="O24" s="399">
        <f ca="1">O23/M23-1</f>
        <v>-5.0805017669065533E-3</v>
      </c>
      <c r="P24" s="390"/>
      <c r="Q24" s="366"/>
      <c r="R24" s="366"/>
      <c r="S24" s="366"/>
      <c r="T24" s="366"/>
      <c r="U24" s="366"/>
      <c r="V24" s="366"/>
    </row>
    <row r="25" spans="2:22" ht="12" x14ac:dyDescent="0.2">
      <c r="B25" s="391" t="s">
        <v>495</v>
      </c>
      <c r="C25" s="398"/>
      <c r="D25" s="400">
        <v>7.4999999999999997E-2</v>
      </c>
      <c r="E25" s="399">
        <f>D25</f>
        <v>7.4999999999999997E-2</v>
      </c>
      <c r="F25" s="399">
        <f>E25</f>
        <v>7.4999999999999997E-2</v>
      </c>
      <c r="G25" s="399">
        <f t="shared" ref="G25:H25" si="17">F25</f>
        <v>7.4999999999999997E-2</v>
      </c>
      <c r="H25" s="399">
        <f t="shared" si="17"/>
        <v>7.4999999999999997E-2</v>
      </c>
      <c r="I25" s="399">
        <f>H25-($H$25-$M$25)/5</f>
        <v>7.3999999999999996E-2</v>
      </c>
      <c r="J25" s="399">
        <f t="shared" ref="J25:L25" si="18">I25-($H$25-$M$25)/5</f>
        <v>7.2999999999999995E-2</v>
      </c>
      <c r="K25" s="399">
        <f t="shared" si="18"/>
        <v>7.1999999999999995E-2</v>
      </c>
      <c r="L25" s="399">
        <f t="shared" si="18"/>
        <v>7.0999999999999994E-2</v>
      </c>
      <c r="M25" s="399">
        <v>7.0000000000000007E-2</v>
      </c>
      <c r="N25" s="366"/>
      <c r="O25" s="401">
        <f>C3</f>
        <v>0.09</v>
      </c>
      <c r="P25" s="401"/>
      <c r="Q25" s="366"/>
      <c r="R25" s="366"/>
      <c r="S25" s="366"/>
      <c r="T25" s="366"/>
      <c r="U25" s="366"/>
      <c r="V25" s="366"/>
    </row>
    <row r="26" spans="2:22" s="141" customFormat="1" ht="12" x14ac:dyDescent="0.2">
      <c r="B26" s="402" t="s">
        <v>369</v>
      </c>
      <c r="C26" s="402"/>
      <c r="D26" s="445">
        <f t="shared" ref="D26:M26" si="19">1/((1+D25)^D10)</f>
        <v>0.93023255813953487</v>
      </c>
      <c r="E26" s="445">
        <f t="shared" si="19"/>
        <v>0.86533261222282321</v>
      </c>
      <c r="F26" s="445">
        <f t="shared" si="19"/>
        <v>0.80496056950960304</v>
      </c>
      <c r="G26" s="445">
        <f t="shared" si="19"/>
        <v>0.7488005297763749</v>
      </c>
      <c r="H26" s="445">
        <f t="shared" si="19"/>
        <v>0.69655863235011617</v>
      </c>
      <c r="I26" s="445">
        <f t="shared" si="19"/>
        <v>0.65158985188743546</v>
      </c>
      <c r="J26" s="445">
        <f t="shared" si="19"/>
        <v>0.61066347708742152</v>
      </c>
      <c r="K26" s="445">
        <f t="shared" si="19"/>
        <v>0.57337891322658319</v>
      </c>
      <c r="L26" s="445">
        <f t="shared" si="19"/>
        <v>0.53937990507370936</v>
      </c>
      <c r="M26" s="445">
        <f t="shared" si="19"/>
        <v>0.5083492921347178</v>
      </c>
      <c r="N26" s="366"/>
      <c r="O26" s="403"/>
      <c r="P26" s="403"/>
      <c r="Q26" s="402"/>
      <c r="R26" s="402"/>
      <c r="S26" s="402"/>
      <c r="T26" s="402"/>
      <c r="U26" s="402"/>
      <c r="V26" s="402"/>
    </row>
    <row r="27" spans="2:22" ht="12.75" thickBot="1" x14ac:dyDescent="0.25">
      <c r="B27" s="404" t="s">
        <v>368</v>
      </c>
      <c r="C27" s="404"/>
      <c r="D27" s="405">
        <f t="shared" ref="D27:M27" si="20">D23*D26</f>
        <v>94.742491627906972</v>
      </c>
      <c r="E27" s="405">
        <f t="shared" si="20"/>
        <v>113.10018128718228</v>
      </c>
      <c r="F27" s="405">
        <f t="shared" si="20"/>
        <v>111.90143219590729</v>
      </c>
      <c r="G27" s="405">
        <f t="shared" si="20"/>
        <v>113.2737810229961</v>
      </c>
      <c r="H27" s="405">
        <f t="shared" ca="1" si="20"/>
        <v>98.127306030542712</v>
      </c>
      <c r="I27" s="405">
        <f t="shared" ca="1" si="20"/>
        <v>84.989315806004811</v>
      </c>
      <c r="J27" s="405">
        <f t="shared" ca="1" si="20"/>
        <v>73.183218812500783</v>
      </c>
      <c r="K27" s="405">
        <f t="shared" ca="1" si="20"/>
        <v>62.080608580050651</v>
      </c>
      <c r="L27" s="405">
        <f t="shared" ca="1" si="20"/>
        <v>49.450142754904576</v>
      </c>
      <c r="M27" s="405">
        <f t="shared" ca="1" si="20"/>
        <v>38.201270289203244</v>
      </c>
      <c r="N27" s="366"/>
      <c r="O27" s="405">
        <f ca="1">O23*O26</f>
        <v>0</v>
      </c>
      <c r="P27" s="406"/>
      <c r="Q27" s="366"/>
      <c r="R27" s="366"/>
      <c r="S27" s="366"/>
      <c r="T27" s="366"/>
      <c r="U27" s="406"/>
      <c r="V27" s="366"/>
    </row>
    <row r="28" spans="2:22" ht="12.75" thickTop="1" x14ac:dyDescent="0.2">
      <c r="B28" s="366" t="s">
        <v>411</v>
      </c>
      <c r="C28" s="407">
        <f>Model!AF341/1000</f>
        <v>1098.4829999999999</v>
      </c>
      <c r="D28" s="379">
        <f t="shared" ref="D28:M28" si="21">C28+D21</f>
        <v>1066.9428215</v>
      </c>
      <c r="E28" s="379">
        <f t="shared" si="21"/>
        <v>1032.6994645</v>
      </c>
      <c r="F28" s="379">
        <f t="shared" si="21"/>
        <v>995.75292899999999</v>
      </c>
      <c r="G28" s="379">
        <f t="shared" si="21"/>
        <v>956.10321499999998</v>
      </c>
      <c r="H28" s="379">
        <f t="shared" ca="1" si="21"/>
        <v>936.00315228768875</v>
      </c>
      <c r="I28" s="379">
        <f t="shared" ca="1" si="21"/>
        <v>935.45274086306631</v>
      </c>
      <c r="J28" s="379">
        <f t="shared" ca="1" si="21"/>
        <v>954.45198072613255</v>
      </c>
      <c r="K28" s="379">
        <f t="shared" ca="1" si="21"/>
        <v>993.00087187688757</v>
      </c>
      <c r="L28" s="379">
        <f t="shared" ca="1" si="21"/>
        <v>1051.0994143153314</v>
      </c>
      <c r="M28" s="379">
        <f t="shared" ca="1" si="21"/>
        <v>1128.747608041464</v>
      </c>
      <c r="N28" s="366"/>
      <c r="O28" s="379">
        <f ca="1">M28+O21</f>
        <v>1207.9487656421193</v>
      </c>
      <c r="P28" s="379"/>
      <c r="Q28" s="390">
        <f>G28-D28</f>
        <v>-110.83960650000006</v>
      </c>
      <c r="R28" s="390">
        <f ca="1">M28-H28</f>
        <v>192.74445575377524</v>
      </c>
      <c r="S28" s="390">
        <f ca="1">M28-C28</f>
        <v>30.264608041464044</v>
      </c>
      <c r="T28" s="386">
        <f ca="1">IFERROR(((M28/C28))^(1/(2035-2025))-1,"")</f>
        <v>2.7215536766109771E-3</v>
      </c>
      <c r="U28" s="366"/>
      <c r="V28" s="366"/>
    </row>
    <row r="29" spans="2:22" ht="12" x14ac:dyDescent="0.2">
      <c r="B29" s="366" t="s">
        <v>622</v>
      </c>
      <c r="C29" s="407"/>
      <c r="D29" s="379">
        <f>D28-C28</f>
        <v>-31.540178499999911</v>
      </c>
      <c r="E29" s="379">
        <f t="shared" ref="E29:M29" si="22">E28-D28</f>
        <v>-34.24335700000006</v>
      </c>
      <c r="F29" s="379">
        <f t="shared" si="22"/>
        <v>-36.946535499999982</v>
      </c>
      <c r="G29" s="379">
        <f t="shared" si="22"/>
        <v>-39.649714000000017</v>
      </c>
      <c r="H29" s="379">
        <f t="shared" ca="1" si="22"/>
        <v>-20.100062712311228</v>
      </c>
      <c r="I29" s="379">
        <f t="shared" ca="1" si="22"/>
        <v>-0.55041142462243897</v>
      </c>
      <c r="J29" s="379">
        <f t="shared" ca="1" si="22"/>
        <v>18.999239863066236</v>
      </c>
      <c r="K29" s="379">
        <f t="shared" ca="1" si="22"/>
        <v>38.548891150755026</v>
      </c>
      <c r="L29" s="379">
        <f t="shared" ca="1" si="22"/>
        <v>58.098542438443815</v>
      </c>
      <c r="M29" s="379">
        <f t="shared" ca="1" si="22"/>
        <v>77.648193726132604</v>
      </c>
      <c r="N29" s="366"/>
      <c r="O29" s="379"/>
      <c r="P29" s="379"/>
      <c r="Q29" s="390">
        <f>G29-D29</f>
        <v>-8.1095355000001064</v>
      </c>
      <c r="R29" s="390">
        <f ca="1">M29-H29</f>
        <v>97.748256438443832</v>
      </c>
      <c r="S29" s="390">
        <f ca="1">M29-D29</f>
        <v>109.18837222613251</v>
      </c>
      <c r="T29" s="366"/>
      <c r="U29" s="366"/>
      <c r="V29" s="366"/>
    </row>
    <row r="30" spans="2:22" ht="12" x14ac:dyDescent="0.2">
      <c r="B30" s="143" t="s">
        <v>628</v>
      </c>
      <c r="D30" s="154">
        <f>D14-D18</f>
        <v>183.51145515625001</v>
      </c>
      <c r="E30" s="154">
        <f t="shared" ref="E30:M30" si="23">E14-E18</f>
        <v>220.72991031250004</v>
      </c>
      <c r="F30" s="154">
        <f t="shared" si="23"/>
        <v>232.59056796875004</v>
      </c>
      <c r="G30" s="154">
        <f t="shared" si="23"/>
        <v>249.32213543750004</v>
      </c>
      <c r="H30" s="154">
        <f t="shared" ca="1" si="23"/>
        <v>260.15109636974347</v>
      </c>
      <c r="I30" s="154">
        <f t="shared" ca="1" si="23"/>
        <v>270.92885328553712</v>
      </c>
      <c r="J30" s="154">
        <f t="shared" ca="1" si="23"/>
        <v>281.5202586793385</v>
      </c>
      <c r="K30" s="154">
        <f t="shared" ca="1" si="23"/>
        <v>290.90302574662036</v>
      </c>
      <c r="L30" s="154">
        <f t="shared" ca="1" si="23"/>
        <v>294.08666990993265</v>
      </c>
      <c r="M30" s="154">
        <f t="shared" ca="1" si="23"/>
        <v>297.34435322365255</v>
      </c>
      <c r="P30" s="452"/>
    </row>
    <row r="31" spans="2:22" ht="12" x14ac:dyDescent="0.2">
      <c r="B31" s="143" t="s">
        <v>629</v>
      </c>
      <c r="D31" s="24">
        <f>D30/D12</f>
        <v>0.1747728144345238</v>
      </c>
      <c r="E31" s="24">
        <f t="shared" ref="E31:M31" si="24">E30/E12</f>
        <v>0.19725639884941915</v>
      </c>
      <c r="F31" s="24">
        <f t="shared" si="24"/>
        <v>0.19668519407700713</v>
      </c>
      <c r="G31" s="24">
        <f t="shared" si="24"/>
        <v>0.20121982050110121</v>
      </c>
      <c r="H31" s="24">
        <f t="shared" ca="1" si="24"/>
        <v>0.20213754605155812</v>
      </c>
      <c r="I31" s="24">
        <f t="shared" ca="1" si="24"/>
        <v>0.20274962099611407</v>
      </c>
      <c r="J31" s="24">
        <f t="shared" ca="1" si="24"/>
        <v>0.20290741064363971</v>
      </c>
      <c r="K31" s="24">
        <f t="shared" ca="1" si="24"/>
        <v>0.20193888686013908</v>
      </c>
      <c r="L31" s="24">
        <f t="shared" ca="1" si="24"/>
        <v>0.19662128172390303</v>
      </c>
      <c r="M31" s="24">
        <f t="shared" ca="1" si="24"/>
        <v>0.19146894406352502</v>
      </c>
      <c r="P31" s="452"/>
    </row>
    <row r="32" spans="2:22" ht="12" x14ac:dyDescent="0.2">
      <c r="B32" s="143" t="s">
        <v>630</v>
      </c>
      <c r="D32" s="24">
        <f>D23/D30</f>
        <v>0.55499629934971539</v>
      </c>
      <c r="E32" s="24">
        <f t="shared" ref="E32:M32" si="25">E23/E30</f>
        <v>0.59213269653831024</v>
      </c>
      <c r="F32" s="24">
        <f t="shared" si="25"/>
        <v>0.59768029606289752</v>
      </c>
      <c r="G32" s="24">
        <f t="shared" si="25"/>
        <v>0.60673970537223409</v>
      </c>
      <c r="H32" s="24">
        <f t="shared" ca="1" si="25"/>
        <v>0.54151006934627544</v>
      </c>
      <c r="I32" s="24">
        <f t="shared" ca="1" si="25"/>
        <v>0.48143178785931234</v>
      </c>
      <c r="J32" s="24">
        <f t="shared" ca="1" si="25"/>
        <v>0.4256963318858703</v>
      </c>
      <c r="K32" s="24">
        <f t="shared" ca="1" si="25"/>
        <v>0.37219112245538111</v>
      </c>
      <c r="L32" s="24">
        <f t="shared" ca="1" si="25"/>
        <v>0.3117435290797414</v>
      </c>
      <c r="M32" s="24">
        <f t="shared" ca="1" si="25"/>
        <v>0.25272946967002979</v>
      </c>
      <c r="P32" s="452"/>
    </row>
    <row r="33" spans="2:21" ht="12" x14ac:dyDescent="0.2">
      <c r="B33" s="143" t="s">
        <v>367</v>
      </c>
      <c r="C33" s="151">
        <f ca="1">SUM(C27:M27)</f>
        <v>839.04974840719944</v>
      </c>
      <c r="D33" s="440"/>
      <c r="E33" s="440"/>
      <c r="F33" s="440"/>
      <c r="G33" s="440"/>
      <c r="H33" s="440"/>
      <c r="I33" s="440"/>
      <c r="J33" s="440"/>
      <c r="K33" s="440"/>
      <c r="L33" s="440"/>
      <c r="M33" s="440"/>
    </row>
    <row r="34" spans="2:21" ht="12" x14ac:dyDescent="0.2">
      <c r="B34" s="156" t="s">
        <v>366</v>
      </c>
      <c r="C34" s="151">
        <f ca="1">O23</f>
        <v>74.765892775018514</v>
      </c>
      <c r="D34" s="440"/>
      <c r="E34" s="440"/>
      <c r="F34" s="440"/>
      <c r="G34" s="440"/>
      <c r="H34" s="440"/>
      <c r="I34" s="440"/>
      <c r="J34" s="440"/>
      <c r="K34" s="440"/>
      <c r="L34" s="440"/>
      <c r="M34" s="440"/>
    </row>
    <row r="35" spans="2:21" ht="12" x14ac:dyDescent="0.2">
      <c r="B35" s="156" t="s">
        <v>365</v>
      </c>
      <c r="C35" s="157">
        <f>O25</f>
        <v>0.09</v>
      </c>
      <c r="D35" s="440"/>
      <c r="E35" s="440"/>
      <c r="F35" s="440"/>
      <c r="G35" s="440"/>
      <c r="H35" s="440"/>
      <c r="I35" s="440"/>
      <c r="J35" s="440"/>
      <c r="K35" s="440"/>
      <c r="L35" s="440"/>
      <c r="M35" s="440"/>
    </row>
    <row r="36" spans="2:21" x14ac:dyDescent="0.25">
      <c r="B36" s="156" t="s">
        <v>364</v>
      </c>
      <c r="C36" s="151">
        <f ca="1">C34/(C35-C4)</f>
        <v>1068.0841825002647</v>
      </c>
    </row>
    <row r="37" spans="2:21" ht="16.5" x14ac:dyDescent="0.35">
      <c r="B37" s="143" t="s">
        <v>363</v>
      </c>
      <c r="C37" s="153">
        <f ca="1">C36*M26</f>
        <v>542.95983811429824</v>
      </c>
      <c r="D37" s="365"/>
      <c r="E37" s="171"/>
      <c r="F37" s="171"/>
      <c r="G37" s="171"/>
      <c r="H37" s="171"/>
    </row>
    <row r="38" spans="2:21" x14ac:dyDescent="0.25">
      <c r="B38" s="152" t="s">
        <v>362</v>
      </c>
      <c r="C38" s="158">
        <f ca="1">C37+C33</f>
        <v>1382.0095865214976</v>
      </c>
      <c r="D38" s="365"/>
      <c r="E38" s="165"/>
      <c r="F38" s="165"/>
      <c r="G38" s="165"/>
      <c r="H38" s="165"/>
    </row>
    <row r="39" spans="2:21" x14ac:dyDescent="0.25">
      <c r="B39" s="143" t="s">
        <v>361</v>
      </c>
      <c r="C39" s="364">
        <v>0.01</v>
      </c>
      <c r="D39" s="365"/>
      <c r="E39" s="165"/>
      <c r="F39" s="165"/>
      <c r="G39" s="165"/>
      <c r="H39" s="165"/>
    </row>
    <row r="40" spans="2:21" x14ac:dyDescent="0.25">
      <c r="B40" s="143" t="s">
        <v>455</v>
      </c>
      <c r="C40" s="151">
        <f>Model!$AF$178*0.5/1000</f>
        <v>498.91699999999997</v>
      </c>
      <c r="D40" s="365"/>
      <c r="E40" s="165"/>
      <c r="F40" s="165"/>
      <c r="G40" s="165"/>
      <c r="H40" s="165"/>
    </row>
    <row r="41" spans="2:21" x14ac:dyDescent="0.25">
      <c r="B41" s="152" t="s">
        <v>360</v>
      </c>
      <c r="C41" s="158">
        <f ca="1">C38*(1-C39)+C40*C39</f>
        <v>1373.1786606562825</v>
      </c>
      <c r="D41" s="287"/>
      <c r="E41" s="215"/>
      <c r="F41" s="215"/>
      <c r="G41" s="215"/>
      <c r="H41" s="215"/>
    </row>
    <row r="42" spans="2:21" x14ac:dyDescent="0.25">
      <c r="B42" s="143" t="s">
        <v>343</v>
      </c>
      <c r="C42" s="151">
        <f>C6</f>
        <v>152.34299999999999</v>
      </c>
    </row>
    <row r="43" spans="2:21" x14ac:dyDescent="0.25">
      <c r="B43" s="143" t="s">
        <v>359</v>
      </c>
      <c r="C43" s="151">
        <f ca="1">C41-C42</f>
        <v>1220.8356606562825</v>
      </c>
      <c r="D43" s="215"/>
      <c r="E43" s="213"/>
      <c r="F43" s="213"/>
      <c r="G43" s="213"/>
      <c r="H43" s="213"/>
      <c r="U43" s="213"/>
    </row>
    <row r="44" spans="2:21" x14ac:dyDescent="0.25">
      <c r="B44" s="143" t="s">
        <v>358</v>
      </c>
      <c r="C44" s="151">
        <v>0</v>
      </c>
      <c r="D44" s="157"/>
      <c r="E44" s="165"/>
      <c r="F44" s="165"/>
      <c r="G44" s="165"/>
      <c r="H44" s="165"/>
      <c r="U44" s="165"/>
    </row>
    <row r="45" spans="2:21" x14ac:dyDescent="0.25">
      <c r="B45" s="143" t="s">
        <v>357</v>
      </c>
      <c r="C45" s="151">
        <f ca="1">C43-C44</f>
        <v>1220.8356606562825</v>
      </c>
      <c r="D45" s="213"/>
      <c r="E45" s="165"/>
      <c r="F45" s="165"/>
      <c r="G45" s="165"/>
      <c r="H45" s="165"/>
      <c r="U45" s="165"/>
    </row>
    <row r="46" spans="2:21" ht="15.75" thickBot="1" x14ac:dyDescent="0.3">
      <c r="B46" s="143" t="s">
        <v>356</v>
      </c>
      <c r="C46" s="151">
        <f>Main!$C$5/1000</f>
        <v>62.526631999999999</v>
      </c>
      <c r="D46" s="157"/>
      <c r="E46" s="165"/>
      <c r="F46" s="165"/>
      <c r="G46" s="165"/>
      <c r="H46" s="165"/>
      <c r="U46" s="165"/>
    </row>
    <row r="47" spans="2:21" ht="15.75" thickBot="1" x14ac:dyDescent="0.3">
      <c r="B47" s="159" t="s">
        <v>355</v>
      </c>
      <c r="C47" s="160">
        <f ca="1">(C45/C46)*C5</f>
        <v>18.353547669365998</v>
      </c>
      <c r="D47" s="213"/>
      <c r="E47" s="165"/>
      <c r="F47" s="165"/>
      <c r="G47" s="165"/>
      <c r="H47" s="165"/>
      <c r="U47" s="165"/>
    </row>
    <row r="48" spans="2:21" ht="15.75" thickBot="1" x14ac:dyDescent="0.3">
      <c r="B48" s="316" t="s">
        <v>522</v>
      </c>
      <c r="C48" s="317">
        <f ca="1">(C47/Main!C3)-1</f>
        <v>-0.13630363908865895</v>
      </c>
      <c r="D48" s="157"/>
      <c r="E48" s="165"/>
      <c r="F48" s="165"/>
      <c r="G48" s="165"/>
      <c r="H48" s="165"/>
      <c r="U48" s="165"/>
    </row>
    <row r="49" spans="2:21" x14ac:dyDescent="0.25">
      <c r="C49" s="24"/>
      <c r="D49" s="157"/>
      <c r="E49" s="165"/>
      <c r="F49" s="165"/>
      <c r="G49" s="165"/>
      <c r="H49" s="165"/>
      <c r="U49" s="165"/>
    </row>
    <row r="50" spans="2:21" x14ac:dyDescent="0.25">
      <c r="B50" s="143" t="s">
        <v>497</v>
      </c>
      <c r="D50" s="154">
        <f>C28</f>
        <v>1098.4829999999999</v>
      </c>
      <c r="E50" s="165"/>
      <c r="F50" s="165"/>
      <c r="G50" s="165"/>
      <c r="H50" s="165"/>
      <c r="U50" s="165"/>
    </row>
    <row r="51" spans="2:21" ht="16.5" x14ac:dyDescent="0.35">
      <c r="B51" s="143" t="s">
        <v>498</v>
      </c>
      <c r="D51" s="295">
        <f ca="1">M28</f>
        <v>1128.747608041464</v>
      </c>
      <c r="E51" s="165"/>
      <c r="F51" s="165"/>
      <c r="G51" s="165"/>
      <c r="H51" s="165"/>
      <c r="U51" s="165"/>
    </row>
    <row r="52" spans="2:21" x14ac:dyDescent="0.25">
      <c r="B52" s="342" t="s">
        <v>499</v>
      </c>
      <c r="C52" s="343"/>
      <c r="D52" s="344">
        <f ca="1">D51-D50</f>
        <v>30.264608041464044</v>
      </c>
      <c r="E52" s="165"/>
      <c r="F52" s="165"/>
      <c r="G52" s="165"/>
      <c r="H52" s="165"/>
      <c r="U52" s="165"/>
    </row>
    <row r="53" spans="2:21" x14ac:dyDescent="0.25">
      <c r="B53" s="143" t="s">
        <v>500</v>
      </c>
      <c r="D53" s="154">
        <f ca="1">M16-C16</f>
        <v>97.055724425724264</v>
      </c>
    </row>
    <row r="54" spans="2:21" x14ac:dyDescent="0.25">
      <c r="B54" s="143" t="s">
        <v>501</v>
      </c>
      <c r="D54" s="24">
        <f ca="1">D53/D52</f>
        <v>3.2069050520248936</v>
      </c>
    </row>
    <row r="55" spans="2:21" x14ac:dyDescent="0.25">
      <c r="B55" s="143" t="s">
        <v>502</v>
      </c>
      <c r="D55" s="213" t="e">
        <f>#REF!</f>
        <v>#REF!</v>
      </c>
    </row>
    <row r="56" spans="2:21" x14ac:dyDescent="0.25">
      <c r="B56" s="143" t="s">
        <v>503</v>
      </c>
      <c r="D56" s="24">
        <v>0.08</v>
      </c>
    </row>
    <row r="58" spans="2:21" x14ac:dyDescent="0.25">
      <c r="B58" s="309"/>
      <c r="C58" s="305" t="s">
        <v>505</v>
      </c>
      <c r="D58" s="305" t="s">
        <v>506</v>
      </c>
      <c r="E58" s="305" t="s">
        <v>507</v>
      </c>
      <c r="F58" s="305"/>
      <c r="G58" s="305" t="s">
        <v>508</v>
      </c>
      <c r="H58" s="305" t="s">
        <v>516</v>
      </c>
    </row>
    <row r="59" spans="2:21" x14ac:dyDescent="0.25">
      <c r="B59" s="296" t="s">
        <v>504</v>
      </c>
      <c r="C59" s="297">
        <f>C12</f>
        <v>979.33100000000002</v>
      </c>
      <c r="D59" s="298">
        <f>((H12/D12)^(1/(H10-D10))-1)</f>
        <v>5.2197687779384827E-2</v>
      </c>
      <c r="E59" s="298">
        <f ca="1">((M12/I12)^(1/(M10-I10))-1)</f>
        <v>3.8284895990279733E-2</v>
      </c>
      <c r="F59" s="296"/>
      <c r="G59" s="299">
        <f>C4</f>
        <v>0.02</v>
      </c>
      <c r="H59" s="319"/>
    </row>
    <row r="60" spans="2:21" x14ac:dyDescent="0.25">
      <c r="B60" s="296" t="s">
        <v>509</v>
      </c>
      <c r="C60" s="300">
        <f>C15</f>
        <v>7.0267355980766458E-2</v>
      </c>
      <c r="D60" s="300">
        <f>AVERAGE(D15:H15)</f>
        <v>0.10454366677803355</v>
      </c>
      <c r="E60" s="300">
        <f ca="1">AVERAGE(I15:M15)</f>
        <v>0.12289323874984226</v>
      </c>
      <c r="F60" s="296"/>
      <c r="G60" s="300">
        <f>O15</f>
        <v>0.12</v>
      </c>
      <c r="H60" s="319"/>
    </row>
    <row r="61" spans="2:21" x14ac:dyDescent="0.25">
      <c r="B61" s="296" t="s">
        <v>510</v>
      </c>
      <c r="C61" s="300">
        <f>$C$7</f>
        <v>0.19</v>
      </c>
      <c r="D61" s="300">
        <f>$C$7</f>
        <v>0.19</v>
      </c>
      <c r="E61" s="300">
        <f>$C$7</f>
        <v>0.19</v>
      </c>
      <c r="F61" s="296"/>
      <c r="G61" s="300">
        <f>$C$7</f>
        <v>0.19</v>
      </c>
      <c r="H61" s="319"/>
    </row>
    <row r="62" spans="2:21" x14ac:dyDescent="0.25">
      <c r="B62" s="314"/>
      <c r="D62" s="143" t="s">
        <v>511</v>
      </c>
      <c r="E62" s="310" t="e">
        <f>AVERAGE(#REF!)</f>
        <v>#REF!</v>
      </c>
      <c r="H62" s="320"/>
    </row>
    <row r="63" spans="2:21" x14ac:dyDescent="0.25">
      <c r="B63" s="314" t="s">
        <v>512</v>
      </c>
      <c r="C63" s="213" t="e">
        <f>#REF!</f>
        <v>#REF!</v>
      </c>
      <c r="D63" s="143" t="s">
        <v>513</v>
      </c>
      <c r="E63" s="213">
        <f ca="1">D54</f>
        <v>3.2069050520248936</v>
      </c>
      <c r="H63" s="320"/>
    </row>
    <row r="64" spans="2:21" x14ac:dyDescent="0.25">
      <c r="B64" s="296" t="s">
        <v>495</v>
      </c>
      <c r="C64" s="296"/>
      <c r="D64" s="300">
        <f>AVERAGE(D25:H25)</f>
        <v>7.4999999999999997E-2</v>
      </c>
      <c r="E64" s="300">
        <f>AVERAGE(I25:M25)</f>
        <v>7.1999999999999995E-2</v>
      </c>
      <c r="F64" s="296"/>
      <c r="G64" s="300">
        <f>O25</f>
        <v>0.09</v>
      </c>
      <c r="H64" s="319"/>
    </row>
    <row r="66" spans="2:9" x14ac:dyDescent="0.25">
      <c r="B66" s="309"/>
      <c r="C66" s="305" t="s">
        <v>504</v>
      </c>
      <c r="D66" s="305" t="s">
        <v>515</v>
      </c>
      <c r="E66" s="305" t="s">
        <v>374</v>
      </c>
      <c r="F66" s="305" t="s">
        <v>373</v>
      </c>
      <c r="G66" s="305" t="s">
        <v>371</v>
      </c>
      <c r="H66" s="305" t="s">
        <v>370</v>
      </c>
      <c r="I66">
        <v>1000</v>
      </c>
    </row>
    <row r="67" spans="2:9" x14ac:dyDescent="0.25">
      <c r="B67" s="301">
        <v>1</v>
      </c>
      <c r="C67" s="448">
        <f>D12</f>
        <v>1050</v>
      </c>
      <c r="D67" s="302">
        <f>D15</f>
        <v>8.2666666666666666E-2</v>
      </c>
      <c r="E67" s="448">
        <f>(D14/1000)*1000</f>
        <v>86.8</v>
      </c>
      <c r="F67" s="448">
        <f>(D16/1000)*1000</f>
        <v>70.308000000000007</v>
      </c>
      <c r="G67" s="448">
        <f>(D21/1000)*1000</f>
        <v>-31.540178499999996</v>
      </c>
      <c r="H67" s="446">
        <f>F67-G67</f>
        <v>101.8481785</v>
      </c>
    </row>
    <row r="68" spans="2:9" x14ac:dyDescent="0.25">
      <c r="B68" s="301">
        <v>2</v>
      </c>
      <c r="C68" s="448">
        <f>E12</f>
        <v>1119</v>
      </c>
      <c r="D68" s="302">
        <f>E15</f>
        <v>0.10642001787310101</v>
      </c>
      <c r="E68" s="448">
        <f>(E14/1000)*1000</f>
        <v>119.08400000000003</v>
      </c>
      <c r="F68" s="448">
        <f>(E16/1000)*1000</f>
        <v>96.458040000000025</v>
      </c>
      <c r="G68" s="448">
        <f>(E21/1000)*1000</f>
        <v>-34.243356999999996</v>
      </c>
      <c r="H68" s="446">
        <f t="shared" ref="H68:H77" si="26">F68-G68</f>
        <v>130.70139700000001</v>
      </c>
    </row>
    <row r="69" spans="2:9" x14ac:dyDescent="0.25">
      <c r="B69" s="301">
        <v>3</v>
      </c>
      <c r="C69" s="448">
        <f>F12</f>
        <v>1182.5525000000002</v>
      </c>
      <c r="D69" s="302">
        <f>F15</f>
        <v>0.10655780821570289</v>
      </c>
      <c r="E69" s="448">
        <f>(F14/1000)*1000</f>
        <v>126.01020250000003</v>
      </c>
      <c r="F69" s="448">
        <f>(F16/1000)*1000</f>
        <v>102.06826402500002</v>
      </c>
      <c r="G69" s="448">
        <f>(F21/1000)*1000</f>
        <v>-36.946535499999996</v>
      </c>
      <c r="H69" s="446">
        <f t="shared" si="26"/>
        <v>139.014799525</v>
      </c>
    </row>
    <row r="70" spans="2:9" x14ac:dyDescent="0.25">
      <c r="B70" s="301">
        <v>4</v>
      </c>
      <c r="C70" s="448">
        <f>G12</f>
        <v>1239.0535625000002</v>
      </c>
      <c r="D70" s="302">
        <f>G15</f>
        <v>0.11121982050110123</v>
      </c>
      <c r="E70" s="448">
        <f>(G14/1000)*1000</f>
        <v>137.80731481250004</v>
      </c>
      <c r="F70" s="448">
        <f>(G16/1000)*1000</f>
        <v>111.62392499812503</v>
      </c>
      <c r="G70" s="448">
        <f>(G21/1000)*1000</f>
        <v>-39.649713999999989</v>
      </c>
      <c r="H70" s="446">
        <f t="shared" si="26"/>
        <v>151.27363899812502</v>
      </c>
    </row>
    <row r="71" spans="2:9" x14ac:dyDescent="0.25">
      <c r="B71" s="301">
        <v>5</v>
      </c>
      <c r="C71" s="448">
        <f>H12</f>
        <v>1287.0003690625003</v>
      </c>
      <c r="D71" s="302">
        <f>H15</f>
        <v>0.11585402063359596</v>
      </c>
      <c r="E71" s="448">
        <f>(H14/1000)*1000</f>
        <v>149.10416731281254</v>
      </c>
      <c r="F71" s="448">
        <f>(H16/1000)*1000</f>
        <v>120.77437552337817</v>
      </c>
      <c r="G71" s="448">
        <f ca="1">(H21/1000)*1000</f>
        <v>-20.100062712311221</v>
      </c>
      <c r="H71" s="446">
        <f t="shared" ca="1" si="26"/>
        <v>140.87443823568938</v>
      </c>
    </row>
    <row r="72" spans="2:9" x14ac:dyDescent="0.25">
      <c r="B72" s="301">
        <v>6</v>
      </c>
      <c r="C72" s="448">
        <f ca="1">I12</f>
        <v>1336.2730443315097</v>
      </c>
      <c r="D72" s="302">
        <f ca="1">I15</f>
        <v>0.11999779272423521</v>
      </c>
      <c r="E72" s="448">
        <f ca="1">(I14/1000)*1000</f>
        <v>160.34981579667527</v>
      </c>
      <c r="F72" s="448">
        <f ca="1">(I16/1000)*1000</f>
        <v>129.88335079530697</v>
      </c>
      <c r="G72" s="448">
        <f ca="1">(I21/1000)*1000</f>
        <v>-0.55041142462248693</v>
      </c>
      <c r="H72" s="446">
        <f t="shared" ca="1" si="26"/>
        <v>130.43376221992946</v>
      </c>
    </row>
    <row r="73" spans="2:9" x14ac:dyDescent="0.25">
      <c r="B73" s="301">
        <v>7</v>
      </c>
      <c r="C73" s="448">
        <f ca="1">J12</f>
        <v>1387.4321188483559</v>
      </c>
      <c r="D73" s="302">
        <f ca="1">J15</f>
        <v>0.12354414347912356</v>
      </c>
      <c r="E73" s="448">
        <f ca="1">(J14/1000)*1000</f>
        <v>171.40911275854569</v>
      </c>
      <c r="F73" s="448">
        <f ca="1">(J16/1000)*1000</f>
        <v>138.84138133442201</v>
      </c>
      <c r="G73" s="448">
        <f ca="1">(J21/1000)*1000</f>
        <v>18.999239863066272</v>
      </c>
      <c r="H73" s="446">
        <f t="shared" ca="1" si="26"/>
        <v>119.84214147135575</v>
      </c>
    </row>
    <row r="74" spans="2:9" x14ac:dyDescent="0.25">
      <c r="B74" s="301">
        <v>8</v>
      </c>
      <c r="C74" s="448">
        <f ca="1">K12</f>
        <v>1440.5498132120385</v>
      </c>
      <c r="D74" s="302">
        <f ca="1">K15</f>
        <v>0.12582679872050806</v>
      </c>
      <c r="E74" s="448">
        <f ca="1">(K14/1000)*1000</f>
        <v>181.25977139389664</v>
      </c>
      <c r="F74" s="448">
        <f ca="1">(K16/1000)*1000</f>
        <v>146.82041482905629</v>
      </c>
      <c r="G74" s="448">
        <f ca="1">(K21/1000)*1000</f>
        <v>38.548891150755026</v>
      </c>
      <c r="H74" s="446">
        <f t="shared" ca="1" si="26"/>
        <v>108.27152367830126</v>
      </c>
    </row>
    <row r="75" spans="2:9" x14ac:dyDescent="0.25">
      <c r="B75" s="301">
        <v>9</v>
      </c>
      <c r="C75" s="448">
        <f ca="1">L12</f>
        <v>1495.7011129796783</v>
      </c>
      <c r="D75" s="302">
        <f ca="1">L15</f>
        <v>0.12362851476181949</v>
      </c>
      <c r="E75" s="448">
        <f ca="1">(L14/1000)*1000</f>
        <v>184.911307125278</v>
      </c>
      <c r="F75" s="448">
        <f ca="1">(L16/1000)*1000</f>
        <v>149.77815877147518</v>
      </c>
      <c r="G75" s="448">
        <f ca="1">(L21/1000)*1000</f>
        <v>58.098542438443772</v>
      </c>
      <c r="H75" s="446">
        <f t="shared" ca="1" si="26"/>
        <v>91.679616333031404</v>
      </c>
    </row>
    <row r="76" spans="2:9" x14ac:dyDescent="0.25">
      <c r="B76" s="301">
        <v>10</v>
      </c>
      <c r="C76" s="448">
        <f ca="1">M12</f>
        <v>1552.9638745226509</v>
      </c>
      <c r="D76" s="302">
        <f ca="1">M15</f>
        <v>0.12146894406352503</v>
      </c>
      <c r="E76" s="448">
        <f ca="1">(M14/1000)*1000</f>
        <v>188.63688200706699</v>
      </c>
      <c r="F76" s="448">
        <f ca="1">(M16/1000)*1000</f>
        <v>152.79587442572426</v>
      </c>
      <c r="G76" s="448">
        <f ca="1">(M21/1000)*1000</f>
        <v>77.648193726132547</v>
      </c>
      <c r="H76" s="446">
        <f t="shared" ca="1" si="26"/>
        <v>75.147680699591717</v>
      </c>
    </row>
    <row r="77" spans="2:9" x14ac:dyDescent="0.25">
      <c r="B77" s="306" t="s">
        <v>514</v>
      </c>
      <c r="C77" s="449">
        <f ca="1">O12</f>
        <v>1584.023152013104</v>
      </c>
      <c r="D77" s="308">
        <f>O15</f>
        <v>0.12</v>
      </c>
      <c r="E77" s="449">
        <f ca="1">(O14/1000)*1000</f>
        <v>190.08277824157247</v>
      </c>
      <c r="F77" s="449">
        <f ca="1">(O16/1000)*1000</f>
        <v>153.96705037567372</v>
      </c>
      <c r="G77" s="449">
        <f ca="1">(O21/1000)*1000</f>
        <v>79.201157600655208</v>
      </c>
      <c r="H77" s="447">
        <f t="shared" ca="1" si="26"/>
        <v>74.765892775018514</v>
      </c>
    </row>
  </sheetData>
  <mergeCells count="1">
    <mergeCell ref="D6:H6"/>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0025B-933F-4C8D-BD1D-7F87D5076358}">
  <dimension ref="B1:R48"/>
  <sheetViews>
    <sheetView showGridLines="0" zoomScale="115" zoomScaleNormal="115" workbookViewId="0">
      <selection activeCell="C20" sqref="C20"/>
    </sheetView>
  </sheetViews>
  <sheetFormatPr defaultRowHeight="15" x14ac:dyDescent="0.25"/>
  <cols>
    <col min="1" max="1" width="3.7109375" style="143" customWidth="1"/>
    <col min="2" max="2" width="20" style="143" bestFit="1" customWidth="1"/>
    <col min="3" max="3" width="11" style="143" bestFit="1" customWidth="1"/>
    <col min="4" max="8" width="12.5703125" style="143" customWidth="1"/>
    <col min="9" max="10" width="12.5703125" customWidth="1"/>
    <col min="11" max="13" width="12.5703125" style="143" customWidth="1"/>
    <col min="14" max="16" width="9.140625" style="143"/>
    <col min="17" max="17" width="3.140625" style="143" bestFit="1" customWidth="1"/>
    <col min="18" max="18" width="10" style="143" bestFit="1" customWidth="1"/>
    <col min="19" max="16384" width="9.140625" style="143"/>
  </cols>
  <sheetData>
    <row r="1" spans="2:18" ht="15.75" thickBot="1" x14ac:dyDescent="0.3">
      <c r="R1" s="226" t="s">
        <v>457</v>
      </c>
    </row>
    <row r="2" spans="2:18" x14ac:dyDescent="0.25">
      <c r="B2" s="144" t="s">
        <v>385</v>
      </c>
      <c r="D2" s="568">
        <f ca="1">C43</f>
        <v>19.350265028401502</v>
      </c>
      <c r="E2" s="569"/>
    </row>
    <row r="3" spans="2:18" ht="15.75" thickBot="1" x14ac:dyDescent="0.3">
      <c r="B3" s="143" t="s">
        <v>384</v>
      </c>
      <c r="C3" s="145">
        <v>0.08</v>
      </c>
      <c r="D3" s="570"/>
      <c r="E3" s="571"/>
      <c r="K3" s="227"/>
      <c r="L3" s="227"/>
      <c r="Q3" s="227" t="s">
        <v>462</v>
      </c>
      <c r="R3" s="227" t="s">
        <v>458</v>
      </c>
    </row>
    <row r="4" spans="2:18" x14ac:dyDescent="0.25">
      <c r="B4" s="161" t="s">
        <v>383</v>
      </c>
      <c r="C4" s="162">
        <v>2.5000000000000001E-2</v>
      </c>
      <c r="K4" s="227"/>
      <c r="L4" s="227"/>
      <c r="Q4" s="227" t="s">
        <v>463</v>
      </c>
      <c r="R4" s="227" t="s">
        <v>459</v>
      </c>
    </row>
    <row r="5" spans="2:18" x14ac:dyDescent="0.25">
      <c r="B5" s="211" t="s">
        <v>453</v>
      </c>
      <c r="C5" s="212">
        <f ca="1">C4/M19</f>
        <v>9.2404487993413179E-2</v>
      </c>
      <c r="K5" s="227"/>
      <c r="L5" s="227"/>
      <c r="Q5" s="227" t="s">
        <v>465</v>
      </c>
      <c r="R5" s="227" t="s">
        <v>460</v>
      </c>
    </row>
    <row r="6" spans="2:18" x14ac:dyDescent="0.25">
      <c r="B6" s="143" t="s">
        <v>382</v>
      </c>
      <c r="C6" s="147">
        <v>0.94</v>
      </c>
      <c r="K6" s="227"/>
      <c r="L6" s="227"/>
      <c r="Q6" s="227"/>
      <c r="R6" s="227"/>
    </row>
    <row r="7" spans="2:18" x14ac:dyDescent="0.25">
      <c r="B7" s="143" t="s">
        <v>381</v>
      </c>
      <c r="C7" s="19">
        <f>Main!C11</f>
        <v>152343</v>
      </c>
      <c r="K7" s="227"/>
      <c r="L7" s="227"/>
      <c r="Q7" s="227"/>
      <c r="R7" s="227"/>
    </row>
    <row r="8" spans="2:18" x14ac:dyDescent="0.25">
      <c r="B8" s="143" t="s">
        <v>380</v>
      </c>
      <c r="C8" s="146">
        <v>0.17399999999999999</v>
      </c>
      <c r="K8" s="227"/>
      <c r="L8" s="227"/>
      <c r="Q8" s="227"/>
      <c r="R8" s="227"/>
    </row>
    <row r="9" spans="2:18" x14ac:dyDescent="0.25">
      <c r="B9" s="143" t="s">
        <v>454</v>
      </c>
      <c r="C9" s="216">
        <f>H16</f>
        <v>0.1</v>
      </c>
      <c r="K9" s="227"/>
      <c r="L9" s="227"/>
      <c r="Q9" s="227" t="s">
        <v>464</v>
      </c>
      <c r="R9" s="227" t="s">
        <v>461</v>
      </c>
    </row>
    <row r="10" spans="2:18" x14ac:dyDescent="0.25">
      <c r="C10" s="146"/>
      <c r="K10" s="227"/>
      <c r="L10" s="227"/>
      <c r="Q10" s="227"/>
      <c r="R10" s="227"/>
    </row>
    <row r="11" spans="2:18" x14ac:dyDescent="0.25">
      <c r="K11" s="227"/>
      <c r="L11" s="227"/>
      <c r="Q11" s="227"/>
      <c r="R11" s="227"/>
    </row>
    <row r="12" spans="2:18" ht="12" x14ac:dyDescent="0.2">
      <c r="C12" s="143">
        <v>0</v>
      </c>
      <c r="D12" s="143">
        <v>1</v>
      </c>
      <c r="E12" s="143">
        <v>2</v>
      </c>
      <c r="F12" s="143">
        <v>3</v>
      </c>
      <c r="G12" s="143">
        <v>4</v>
      </c>
      <c r="H12" s="143">
        <v>5</v>
      </c>
      <c r="I12" s="143">
        <v>6</v>
      </c>
      <c r="J12" s="143">
        <v>7</v>
      </c>
      <c r="K12" s="288">
        <v>8</v>
      </c>
      <c r="L12" s="288">
        <v>9</v>
      </c>
      <c r="M12" s="288">
        <v>10</v>
      </c>
      <c r="Q12" s="227"/>
      <c r="R12" s="227"/>
    </row>
    <row r="13" spans="2:18" ht="12" x14ac:dyDescent="0.2">
      <c r="B13" s="148" t="s">
        <v>379</v>
      </c>
      <c r="C13" s="149" t="s">
        <v>378</v>
      </c>
      <c r="D13" s="286">
        <v>2026</v>
      </c>
      <c r="E13" s="286">
        <f>D13+1</f>
        <v>2027</v>
      </c>
      <c r="F13" s="286">
        <f t="shared" ref="F13:M13" si="0">E13+1</f>
        <v>2028</v>
      </c>
      <c r="G13" s="286">
        <f t="shared" si="0"/>
        <v>2029</v>
      </c>
      <c r="H13" s="286">
        <f t="shared" si="0"/>
        <v>2030</v>
      </c>
      <c r="I13" s="286">
        <f t="shared" si="0"/>
        <v>2031</v>
      </c>
      <c r="J13" s="286">
        <f t="shared" si="0"/>
        <v>2032</v>
      </c>
      <c r="K13" s="286">
        <f t="shared" si="0"/>
        <v>2033</v>
      </c>
      <c r="L13" s="286">
        <f t="shared" si="0"/>
        <v>2034</v>
      </c>
      <c r="M13" s="286">
        <f t="shared" si="0"/>
        <v>2035</v>
      </c>
      <c r="Q13" s="227"/>
      <c r="R13" s="227"/>
    </row>
    <row r="14" spans="2:18" ht="12" x14ac:dyDescent="0.2">
      <c r="B14" s="143" t="s">
        <v>377</v>
      </c>
      <c r="C14" s="150">
        <f>Model!$AF$87</f>
        <v>0.15076642871831036</v>
      </c>
      <c r="D14" s="221">
        <v>0.1</v>
      </c>
      <c r="E14" s="220">
        <v>0.08</v>
      </c>
      <c r="F14" s="220">
        <v>7.0000000000000007E-2</v>
      </c>
      <c r="G14" s="220">
        <v>0.06</v>
      </c>
      <c r="H14" s="220">
        <v>0.06</v>
      </c>
      <c r="I14" s="220">
        <v>0.05</v>
      </c>
      <c r="J14" s="220">
        <v>0.04</v>
      </c>
      <c r="K14" s="220">
        <f ca="1">Model!AS87</f>
        <v>3.8284895990279733E-2</v>
      </c>
      <c r="L14" s="220">
        <f ca="1">Model!AT87</f>
        <v>3.8284895990279733E-2</v>
      </c>
      <c r="M14" s="220">
        <f ca="1">Model!AU87</f>
        <v>3.8284895990279733E-2</v>
      </c>
      <c r="Q14" s="227" t="s">
        <v>468</v>
      </c>
      <c r="R14" s="227" t="s">
        <v>466</v>
      </c>
    </row>
    <row r="15" spans="2:18" ht="12" x14ac:dyDescent="0.2">
      <c r="B15" s="143" t="s">
        <v>376</v>
      </c>
      <c r="C15" s="151">
        <f>Model!$AF$86</f>
        <v>979331</v>
      </c>
      <c r="D15" s="222">
        <f>C15*(1+D14)</f>
        <v>1077264.1000000001</v>
      </c>
      <c r="E15" s="151">
        <f>D15*(1+E14)</f>
        <v>1163445.2280000001</v>
      </c>
      <c r="F15" s="151">
        <f t="shared" ref="F15:M15" si="1">E15*(1+F14)</f>
        <v>1244886.3939600002</v>
      </c>
      <c r="G15" s="151">
        <f t="shared" si="1"/>
        <v>1319579.5775976004</v>
      </c>
      <c r="H15" s="151">
        <f t="shared" si="1"/>
        <v>1398754.3522534566</v>
      </c>
      <c r="I15" s="151">
        <f t="shared" si="1"/>
        <v>1468692.0698661294</v>
      </c>
      <c r="J15" s="151">
        <f t="shared" si="1"/>
        <v>1527439.7526607746</v>
      </c>
      <c r="K15" s="151">
        <f t="shared" ca="1" si="1"/>
        <v>1585917.6247228109</v>
      </c>
      <c r="L15" s="151">
        <f t="shared" ca="1" si="1"/>
        <v>1646634.3160344753</v>
      </c>
      <c r="M15" s="151">
        <f t="shared" ca="1" si="1"/>
        <v>1709675.5395578807</v>
      </c>
      <c r="Q15" s="227"/>
      <c r="R15" s="227"/>
    </row>
    <row r="16" spans="2:18" ht="12" x14ac:dyDescent="0.2">
      <c r="B16" s="152" t="s">
        <v>375</v>
      </c>
      <c r="C16" s="167">
        <f>Model!$AF$111</f>
        <v>7.0267355980766458E-2</v>
      </c>
      <c r="D16" s="224">
        <f>Model!AL111</f>
        <v>8.2666666666666666E-2</v>
      </c>
      <c r="E16" s="225">
        <v>0.1</v>
      </c>
      <c r="F16" s="225">
        <v>0.1</v>
      </c>
      <c r="G16" s="225">
        <v>0.1</v>
      </c>
      <c r="H16" s="225">
        <v>0.1</v>
      </c>
      <c r="I16" s="225">
        <v>0.11</v>
      </c>
      <c r="J16" s="225">
        <v>0.11</v>
      </c>
      <c r="K16" s="225">
        <v>0.11</v>
      </c>
      <c r="L16" s="225">
        <v>0.11</v>
      </c>
      <c r="M16" s="225">
        <v>0.11</v>
      </c>
      <c r="Q16" s="227"/>
      <c r="R16" s="227" t="s">
        <v>469</v>
      </c>
    </row>
    <row r="17" spans="2:18" ht="14.25" x14ac:dyDescent="0.35">
      <c r="B17" s="143" t="s">
        <v>374</v>
      </c>
      <c r="C17" s="153">
        <f>Model!AF110</f>
        <v>68815</v>
      </c>
      <c r="D17" s="223">
        <f>D15*D16</f>
        <v>89053.832266666679</v>
      </c>
      <c r="E17" s="223">
        <f t="shared" ref="E17:M17" si="2">E15*E16</f>
        <v>116344.52280000002</v>
      </c>
      <c r="F17" s="223">
        <f t="shared" si="2"/>
        <v>124488.63939600003</v>
      </c>
      <c r="G17" s="223">
        <f t="shared" si="2"/>
        <v>131957.95775976006</v>
      </c>
      <c r="H17" s="223">
        <f t="shared" si="2"/>
        <v>139875.43522534566</v>
      </c>
      <c r="I17" s="223">
        <f t="shared" si="2"/>
        <v>161556.12768527423</v>
      </c>
      <c r="J17" s="223">
        <f t="shared" si="2"/>
        <v>168018.3727926852</v>
      </c>
      <c r="K17" s="223">
        <f t="shared" ca="1" si="2"/>
        <v>174450.9387195092</v>
      </c>
      <c r="L17" s="223">
        <f t="shared" ca="1" si="2"/>
        <v>181129.77476379229</v>
      </c>
      <c r="M17" s="223">
        <f t="shared" ca="1" si="2"/>
        <v>188064.30935136689</v>
      </c>
      <c r="Q17" s="227"/>
      <c r="R17" s="227"/>
    </row>
    <row r="18" spans="2:18" ht="12" x14ac:dyDescent="0.2">
      <c r="B18" s="152" t="s">
        <v>373</v>
      </c>
      <c r="C18" s="154">
        <f t="shared" ref="C18:M18" si="3">C17*(1-$C$8)</f>
        <v>56841.19</v>
      </c>
      <c r="D18" s="154">
        <f t="shared" si="3"/>
        <v>73558.465452266682</v>
      </c>
      <c r="E18" s="154">
        <f t="shared" si="3"/>
        <v>96100.575832800023</v>
      </c>
      <c r="F18" s="154">
        <f t="shared" si="3"/>
        <v>102827.61614109603</v>
      </c>
      <c r="G18" s="154">
        <f t="shared" si="3"/>
        <v>108997.27310956182</v>
      </c>
      <c r="H18" s="154">
        <f t="shared" si="3"/>
        <v>115537.10949613553</v>
      </c>
      <c r="I18" s="154">
        <f t="shared" si="3"/>
        <v>133445.36146803651</v>
      </c>
      <c r="J18" s="154">
        <f t="shared" si="3"/>
        <v>138783.17592675798</v>
      </c>
      <c r="K18" s="154">
        <f t="shared" ca="1" si="3"/>
        <v>144096.47538231462</v>
      </c>
      <c r="L18" s="154">
        <f t="shared" ca="1" si="3"/>
        <v>149613.19395489243</v>
      </c>
      <c r="M18" s="154">
        <f t="shared" ca="1" si="3"/>
        <v>155341.11952422906</v>
      </c>
      <c r="Q18" s="227"/>
      <c r="R18" s="227"/>
    </row>
    <row r="19" spans="2:18" ht="12" x14ac:dyDescent="0.2">
      <c r="B19" s="143" t="s">
        <v>372</v>
      </c>
      <c r="C19" s="24">
        <f>C20/C18</f>
        <v>-0.15574973008130194</v>
      </c>
      <c r="D19" s="24">
        <f t="shared" ref="D19:M19" si="4">D20/D18</f>
        <v>0</v>
      </c>
      <c r="E19" s="24">
        <f t="shared" si="4"/>
        <v>3.0921903652128967E-3</v>
      </c>
      <c r="F19" s="24">
        <f t="shared" si="4"/>
        <v>0.79201647394265895</v>
      </c>
      <c r="G19" s="24">
        <f t="shared" si="4"/>
        <v>0.62297791750941833</v>
      </c>
      <c r="H19" s="24">
        <f t="shared" si="4"/>
        <v>0.57106309105030029</v>
      </c>
      <c r="I19" s="24">
        <f t="shared" si="4"/>
        <v>0.41927402702221106</v>
      </c>
      <c r="J19" s="24">
        <f t="shared" si="4"/>
        <v>0.3256196215779007</v>
      </c>
      <c r="K19" s="24">
        <f t="shared" ca="1" si="4"/>
        <v>0.30061069955560793</v>
      </c>
      <c r="L19" s="24">
        <f t="shared" ca="1" si="4"/>
        <v>0.28987460314290853</v>
      </c>
      <c r="M19" s="24">
        <f t="shared" ca="1" si="4"/>
        <v>0.2705496296000478</v>
      </c>
      <c r="Q19" s="227"/>
      <c r="R19" s="227" t="s">
        <v>470</v>
      </c>
    </row>
    <row r="20" spans="2:18" ht="12" x14ac:dyDescent="0.2">
      <c r="B20" s="143" t="s">
        <v>371</v>
      </c>
      <c r="C20" s="154">
        <f>-Model!AF357</f>
        <v>-8853</v>
      </c>
      <c r="D20" s="154">
        <v>0</v>
      </c>
      <c r="E20" s="154">
        <f t="shared" ref="E20:M20" si="5">(E15-D15)/E26</f>
        <v>297.16127468159556</v>
      </c>
      <c r="F20" s="154">
        <f t="shared" si="5"/>
        <v>81441.165960000129</v>
      </c>
      <c r="G20" s="154">
        <f t="shared" si="5"/>
        <v>67902.894216000146</v>
      </c>
      <c r="H20" s="154">
        <f t="shared" si="5"/>
        <v>65978.97887988016</v>
      </c>
      <c r="I20" s="154">
        <f t="shared" si="5"/>
        <v>55950.174090138265</v>
      </c>
      <c r="J20" s="154">
        <f t="shared" si="5"/>
        <v>45190.525226650148</v>
      </c>
      <c r="K20" s="154">
        <f t="shared" ca="1" si="5"/>
        <v>43316.942268175037</v>
      </c>
      <c r="L20" s="154">
        <f t="shared" ca="1" si="5"/>
        <v>43369.065222617442</v>
      </c>
      <c r="M20" s="154">
        <f t="shared" ca="1" si="5"/>
        <v>42027.482348936923</v>
      </c>
      <c r="Q20" s="227"/>
      <c r="R20" s="227"/>
    </row>
    <row r="21" spans="2:18" ht="12" x14ac:dyDescent="0.2">
      <c r="B21" s="152" t="s">
        <v>370</v>
      </c>
      <c r="C21" s="209">
        <f t="shared" ref="C21:H21" si="6">C18-C20</f>
        <v>65694.19</v>
      </c>
      <c r="D21" s="209">
        <f t="shared" si="6"/>
        <v>73558.465452266682</v>
      </c>
      <c r="E21" s="163">
        <f t="shared" si="6"/>
        <v>95803.414558118428</v>
      </c>
      <c r="F21" s="163">
        <f t="shared" si="6"/>
        <v>21386.450181095905</v>
      </c>
      <c r="G21" s="163">
        <f t="shared" si="6"/>
        <v>41094.378893561676</v>
      </c>
      <c r="H21" s="163">
        <f t="shared" si="6"/>
        <v>49558.130616255366</v>
      </c>
      <c r="I21" s="163">
        <f t="shared" ref="I21:M21" si="7">I18-I20</f>
        <v>77495.187377898255</v>
      </c>
      <c r="J21" s="163">
        <f t="shared" si="7"/>
        <v>93592.650700107828</v>
      </c>
      <c r="K21" s="163">
        <f t="shared" ca="1" si="7"/>
        <v>100779.53311413957</v>
      </c>
      <c r="L21" s="163">
        <f t="shared" ca="1" si="7"/>
        <v>106244.12873227498</v>
      </c>
      <c r="M21" s="163">
        <f t="shared" ca="1" si="7"/>
        <v>113313.63717529213</v>
      </c>
      <c r="Q21" s="227"/>
      <c r="R21" s="227"/>
    </row>
    <row r="22" spans="2:18" ht="12" x14ac:dyDescent="0.2">
      <c r="B22" s="156" t="s">
        <v>391</v>
      </c>
      <c r="C22" s="33"/>
      <c r="D22" s="164">
        <f>D21/C21-1</f>
        <v>0.11971036483236452</v>
      </c>
      <c r="E22" s="164">
        <f t="shared" ref="E22:M22" si="8">E21/D21-1</f>
        <v>0.30241181581318965</v>
      </c>
      <c r="F22" s="164">
        <f t="shared" si="8"/>
        <v>-0.7767673492668471</v>
      </c>
      <c r="G22" s="164">
        <f t="shared" si="8"/>
        <v>0.92151472290086622</v>
      </c>
      <c r="H22" s="164">
        <f t="shared" si="8"/>
        <v>0.2059588671388759</v>
      </c>
      <c r="I22" s="164">
        <f t="shared" si="8"/>
        <v>0.56372297369262281</v>
      </c>
      <c r="J22" s="164">
        <f t="shared" si="8"/>
        <v>0.20772210335735752</v>
      </c>
      <c r="K22" s="164">
        <f t="shared" ca="1" si="8"/>
        <v>7.6788961101872832E-2</v>
      </c>
      <c r="L22" s="164">
        <f t="shared" ca="1" si="8"/>
        <v>5.4223267852872459E-2</v>
      </c>
      <c r="M22" s="164">
        <f t="shared" ca="1" si="8"/>
        <v>6.6540226997687801E-2</v>
      </c>
    </row>
    <row r="23" spans="2:18" s="141" customFormat="1" ht="12" x14ac:dyDescent="0.2">
      <c r="B23" s="141" t="s">
        <v>369</v>
      </c>
      <c r="D23" s="142">
        <f>1/((1+$C$3)^D12)</f>
        <v>0.92592592592592582</v>
      </c>
      <c r="E23" s="142">
        <f>1/((1+$C$3)^E12)</f>
        <v>0.85733882030178321</v>
      </c>
      <c r="F23" s="142">
        <f>1/((1+$C$3)^F12)</f>
        <v>0.79383224102016958</v>
      </c>
      <c r="G23" s="142">
        <f>1/((1+$C$3)^G12)</f>
        <v>0.73502985279645328</v>
      </c>
      <c r="H23" s="142">
        <f>1/((1+$C$3)^H12)</f>
        <v>0.68058319703375303</v>
      </c>
      <c r="I23" s="142">
        <f t="shared" ref="I23:M23" si="9">1/((1+$C$3)^I12)</f>
        <v>0.63016962688310452</v>
      </c>
      <c r="J23" s="142">
        <f t="shared" si="9"/>
        <v>0.58349039526213387</v>
      </c>
      <c r="K23" s="142">
        <f t="shared" si="9"/>
        <v>0.54026888450197574</v>
      </c>
      <c r="L23" s="142">
        <f t="shared" si="9"/>
        <v>0.50024896713145905</v>
      </c>
      <c r="M23" s="142">
        <f t="shared" si="9"/>
        <v>0.46319348808468425</v>
      </c>
    </row>
    <row r="24" spans="2:18" ht="12.75" thickBot="1" x14ac:dyDescent="0.25">
      <c r="B24" s="155" t="s">
        <v>368</v>
      </c>
      <c r="C24" s="155"/>
      <c r="D24" s="284">
        <f>D21*D23</f>
        <v>68109.690233580259</v>
      </c>
      <c r="E24" s="284">
        <f>E21*E23</f>
        <v>82135.986418139932</v>
      </c>
      <c r="F24" s="284">
        <f>F21*F23</f>
        <v>16977.253674725573</v>
      </c>
      <c r="G24" s="284">
        <f>G21*G23</f>
        <v>30205.595268896315</v>
      </c>
      <c r="H24" s="284">
        <f>H21*H23</f>
        <v>33728.430973827395</v>
      </c>
      <c r="I24" s="284">
        <f t="shared" ref="I24:M24" si="10">I21*I23</f>
        <v>48835.113315166411</v>
      </c>
      <c r="J24" s="284">
        <f t="shared" si="10"/>
        <v>54610.412750636744</v>
      </c>
      <c r="K24" s="284">
        <f t="shared" ca="1" si="10"/>
        <v>54448.045936206116</v>
      </c>
      <c r="L24" s="284">
        <f t="shared" ca="1" si="10"/>
        <v>53148.515662102334</v>
      </c>
      <c r="M24" s="284">
        <f t="shared" ca="1" si="10"/>
        <v>52486.138850785908</v>
      </c>
      <c r="Q24" s="285"/>
    </row>
    <row r="25" spans="2:18" ht="12.75" thickTop="1" x14ac:dyDescent="0.2">
      <c r="E25" s="24">
        <f>E20/E15</f>
        <v>2.554149241665853E-4</v>
      </c>
      <c r="F25" s="24">
        <f t="shared" ref="F25:G25" si="11">F20/F15</f>
        <v>6.5420560747663642E-2</v>
      </c>
      <c r="G25" s="24">
        <f t="shared" si="11"/>
        <v>5.1457975986277965E-2</v>
      </c>
      <c r="H25" s="24">
        <f>H20/H15</f>
        <v>4.7169811320754811E-2</v>
      </c>
      <c r="I25" s="24">
        <f t="shared" ref="I25:M25" si="12">I20/I15</f>
        <v>3.8095238095238099E-2</v>
      </c>
      <c r="J25" s="24">
        <f t="shared" si="12"/>
        <v>2.9585798816568056E-2</v>
      </c>
      <c r="K25" s="24">
        <f t="shared" ca="1" si="12"/>
        <v>2.7313488161622542E-2</v>
      </c>
      <c r="L25" s="24">
        <f t="shared" ca="1" si="12"/>
        <v>2.6338006441564667E-2</v>
      </c>
      <c r="M25" s="24">
        <f t="shared" ca="1" si="12"/>
        <v>2.4582139345460344E-2</v>
      </c>
    </row>
    <row r="26" spans="2:18" ht="12" x14ac:dyDescent="0.2">
      <c r="B26" s="143" t="s">
        <v>489</v>
      </c>
      <c r="D26" s="289" t="s">
        <v>400</v>
      </c>
      <c r="E26" s="289">
        <f>AVERAGE([2]Model!$V$255,[3]Model!$C$203,[1]Model!$I$244,Model!$AF$350)</f>
        <v>290.01466658918457</v>
      </c>
      <c r="F26" s="289">
        <v>1</v>
      </c>
      <c r="G26" s="289">
        <v>1.1000000000000001</v>
      </c>
      <c r="H26" s="289">
        <v>1.2</v>
      </c>
      <c r="I26" s="289">
        <v>1.25</v>
      </c>
      <c r="J26" s="289">
        <v>1.3</v>
      </c>
      <c r="K26" s="289">
        <v>1.35</v>
      </c>
      <c r="L26" s="289">
        <v>1.4</v>
      </c>
      <c r="M26" s="289">
        <v>1.5</v>
      </c>
    </row>
    <row r="27" spans="2:18" ht="12" x14ac:dyDescent="0.2">
      <c r="B27" s="143" t="s">
        <v>411</v>
      </c>
      <c r="C27" s="8">
        <f>Model!AF341</f>
        <v>1098483</v>
      </c>
      <c r="D27" s="154">
        <f>C27+D20</f>
        <v>1098483</v>
      </c>
      <c r="E27" s="154">
        <f t="shared" ref="E27:M27" si="13">D27+E20</f>
        <v>1098780.1612746816</v>
      </c>
      <c r="F27" s="154">
        <f t="shared" si="13"/>
        <v>1180221.3272346817</v>
      </c>
      <c r="G27" s="154">
        <f t="shared" si="13"/>
        <v>1248124.2214506818</v>
      </c>
      <c r="H27" s="154">
        <f t="shared" si="13"/>
        <v>1314103.200330562</v>
      </c>
      <c r="I27" s="154">
        <f t="shared" si="13"/>
        <v>1370053.3744207001</v>
      </c>
      <c r="J27" s="154">
        <f t="shared" si="13"/>
        <v>1415243.8996473502</v>
      </c>
      <c r="K27" s="154">
        <f t="shared" ca="1" si="13"/>
        <v>1458560.8419155253</v>
      </c>
      <c r="L27" s="154">
        <f t="shared" ca="1" si="13"/>
        <v>1501929.9071381427</v>
      </c>
      <c r="M27" s="154">
        <f t="shared" ca="1" si="13"/>
        <v>1543957.3894870796</v>
      </c>
    </row>
    <row r="28" spans="2:18" ht="12" x14ac:dyDescent="0.2">
      <c r="B28" s="143" t="s">
        <v>490</v>
      </c>
      <c r="D28" s="24">
        <f>D18/D27</f>
        <v>6.6963681233361536E-2</v>
      </c>
      <c r="E28" s="24">
        <f t="shared" ref="E28:M28" si="14">E18/E27</f>
        <v>8.7461149390716073E-2</v>
      </c>
      <c r="F28" s="24">
        <f t="shared" si="14"/>
        <v>8.7125705804712364E-2</v>
      </c>
      <c r="G28" s="24">
        <f t="shared" si="14"/>
        <v>8.7328866178781009E-2</v>
      </c>
      <c r="H28" s="24">
        <f t="shared" si="14"/>
        <v>8.792087978103412E-2</v>
      </c>
      <c r="I28" s="24">
        <f t="shared" si="14"/>
        <v>9.7401578624235152E-2</v>
      </c>
      <c r="J28" s="24">
        <f t="shared" si="14"/>
        <v>9.8063080124450572E-2</v>
      </c>
      <c r="K28" s="24">
        <f t="shared" ca="1" si="14"/>
        <v>9.8793599307844426E-2</v>
      </c>
      <c r="L28" s="24">
        <f t="shared" ca="1" si="14"/>
        <v>9.9613965501208629E-2</v>
      </c>
      <c r="M28" s="24">
        <f t="shared" ca="1" si="14"/>
        <v>0.10061231001707577</v>
      </c>
    </row>
    <row r="29" spans="2:18" x14ac:dyDescent="0.25">
      <c r="B29" s="143" t="s">
        <v>367</v>
      </c>
      <c r="C29" s="151">
        <f ca="1">SUM(C24:M24)</f>
        <v>494685.18308406696</v>
      </c>
    </row>
    <row r="30" spans="2:18" x14ac:dyDescent="0.25">
      <c r="B30" s="156" t="s">
        <v>366</v>
      </c>
      <c r="C30" s="151">
        <f ca="1">M21</f>
        <v>113313.63717529213</v>
      </c>
    </row>
    <row r="31" spans="2:18" x14ac:dyDescent="0.25">
      <c r="B31" s="156" t="s">
        <v>365</v>
      </c>
      <c r="C31" s="157">
        <f>C3</f>
        <v>0.08</v>
      </c>
      <c r="D31" s="168">
        <f ca="1">C43</f>
        <v>19.350265028401502</v>
      </c>
      <c r="E31" s="169">
        <v>7.4999999999999997E-2</v>
      </c>
      <c r="F31" s="169">
        <v>8.5000000000000006E-2</v>
      </c>
      <c r="G31" s="169">
        <v>0.09</v>
      </c>
      <c r="H31" s="169">
        <v>9.5000000000000001E-2</v>
      </c>
    </row>
    <row r="32" spans="2:18" x14ac:dyDescent="0.25">
      <c r="B32" s="156" t="s">
        <v>364</v>
      </c>
      <c r="C32" s="151">
        <f ca="1">C30/(C31-C4)</f>
        <v>2060247.9486416751</v>
      </c>
      <c r="D32" s="170">
        <v>1.4999999999999999E-2</v>
      </c>
      <c r="E32" s="171">
        <f t="dataTable" ref="E32:H38" dt2D="1" dtr="1" r1="C3" r2="C4" ca="1"/>
        <v>18.97377249091199</v>
      </c>
      <c r="F32" s="171">
        <v>15.621365060452147</v>
      </c>
      <c r="G32" s="171">
        <v>14.289115508450818</v>
      </c>
      <c r="H32" s="171">
        <v>13.128560251891626</v>
      </c>
    </row>
    <row r="33" spans="2:17" ht="16.5" x14ac:dyDescent="0.35">
      <c r="B33" s="143" t="s">
        <v>363</v>
      </c>
      <c r="C33" s="153">
        <f ca="1">C32*M23</f>
        <v>954293.43365065288</v>
      </c>
      <c r="D33" s="170">
        <v>2.5000000000000001E-2</v>
      </c>
      <c r="E33" s="171">
        <v>21.701332377813365</v>
      </c>
      <c r="F33" s="171">
        <v>17.397326450393258</v>
      </c>
      <c r="G33" s="171">
        <v>15.750419574217418</v>
      </c>
      <c r="H33" s="171">
        <v>14.343769240666939</v>
      </c>
    </row>
    <row r="34" spans="2:17" x14ac:dyDescent="0.25">
      <c r="B34" s="152" t="s">
        <v>362</v>
      </c>
      <c r="C34" s="158">
        <f ca="1">C33+C29</f>
        <v>1448978.6167347198</v>
      </c>
      <c r="D34" s="170">
        <v>3.5000000000000003E-2</v>
      </c>
      <c r="E34" s="171">
        <v>25.792672208165424</v>
      </c>
      <c r="F34" s="171">
        <v>19.883672396310814</v>
      </c>
      <c r="G34" s="171">
        <v>17.743106936626418</v>
      </c>
      <c r="H34" s="171">
        <v>15.964047892367359</v>
      </c>
    </row>
    <row r="35" spans="2:17" x14ac:dyDescent="0.25">
      <c r="B35" s="143" t="s">
        <v>361</v>
      </c>
      <c r="C35" s="145">
        <v>0.01</v>
      </c>
      <c r="D35" s="170">
        <v>4.4999999999999998E-2</v>
      </c>
      <c r="E35" s="210">
        <v>32.611571925418843</v>
      </c>
      <c r="F35" s="165">
        <v>23.613191315187148</v>
      </c>
      <c r="G35" s="165">
        <v>20.621433126772754</v>
      </c>
      <c r="H35" s="165">
        <v>18.232438004747944</v>
      </c>
    </row>
    <row r="36" spans="2:17" x14ac:dyDescent="0.25">
      <c r="B36" s="143" t="s">
        <v>455</v>
      </c>
      <c r="C36" s="151">
        <f>Model!$AF$178*0.5</f>
        <v>498917</v>
      </c>
      <c r="D36" s="170">
        <v>5.5E-2</v>
      </c>
      <c r="E36" s="165">
        <v>46.249371359925711</v>
      </c>
      <c r="F36" s="210">
        <v>29.829056179981041</v>
      </c>
      <c r="G36" s="165">
        <v>25.144517139859843</v>
      </c>
      <c r="H36" s="165">
        <v>21.635023173318828</v>
      </c>
    </row>
    <row r="37" spans="2:17" x14ac:dyDescent="0.25">
      <c r="B37" s="152" t="s">
        <v>360</v>
      </c>
      <c r="C37" s="158">
        <f ca="1">C34*(1-C35)+C36*C35</f>
        <v>1439478.0005673727</v>
      </c>
      <c r="D37" s="170">
        <v>6.5000000000000002E-2</v>
      </c>
      <c r="E37" s="165">
        <v>87.162769663446312</v>
      </c>
      <c r="F37" s="165">
        <v>42.260785909568824</v>
      </c>
      <c r="G37" s="210">
        <v>33.286068363416611</v>
      </c>
      <c r="H37" s="210">
        <v>27.305998454270295</v>
      </c>
    </row>
    <row r="38" spans="2:17" x14ac:dyDescent="0.25">
      <c r="B38" s="143" t="s">
        <v>343</v>
      </c>
      <c r="C38" s="151">
        <f>Main!$C$11</f>
        <v>152343</v>
      </c>
      <c r="D38" s="287">
        <v>7.4999999999999997E-2</v>
      </c>
      <c r="E38" s="215" t="e">
        <v>#DIV/0!</v>
      </c>
      <c r="F38" s="215">
        <v>79.555975098332112</v>
      </c>
      <c r="G38" s="215">
        <v>52.283021218382416</v>
      </c>
      <c r="H38" s="215">
        <v>38.647949016173236</v>
      </c>
    </row>
    <row r="39" spans="2:17" x14ac:dyDescent="0.25">
      <c r="B39" s="143" t="s">
        <v>359</v>
      </c>
      <c r="C39" s="151">
        <f ca="1">C37-C38</f>
        <v>1287135.0005673727</v>
      </c>
    </row>
    <row r="40" spans="2:17" x14ac:dyDescent="0.25">
      <c r="B40" s="143" t="s">
        <v>358</v>
      </c>
      <c r="C40" s="151">
        <v>0</v>
      </c>
      <c r="D40" s="215"/>
      <c r="E40" s="213"/>
      <c r="F40" s="213"/>
      <c r="G40" s="213"/>
      <c r="H40" s="213"/>
      <c r="Q40" s="213"/>
    </row>
    <row r="41" spans="2:17" x14ac:dyDescent="0.25">
      <c r="B41" s="143" t="s">
        <v>357</v>
      </c>
      <c r="C41" s="151">
        <f ca="1">C39-C40</f>
        <v>1287135.0005673727</v>
      </c>
      <c r="D41" s="157"/>
      <c r="E41" s="165"/>
      <c r="F41" s="165"/>
      <c r="G41" s="165"/>
      <c r="H41" s="165"/>
      <c r="Q41" s="165"/>
    </row>
    <row r="42" spans="2:17" ht="15.75" thickBot="1" x14ac:dyDescent="0.3">
      <c r="B42" s="143" t="s">
        <v>356</v>
      </c>
      <c r="C42" s="151">
        <f>Main!$C$5</f>
        <v>62526.631999999998</v>
      </c>
      <c r="D42" s="213"/>
      <c r="E42" s="165"/>
      <c r="F42" s="165"/>
      <c r="G42" s="165"/>
      <c r="H42" s="165"/>
      <c r="Q42" s="165"/>
    </row>
    <row r="43" spans="2:17" ht="15.75" thickBot="1" x14ac:dyDescent="0.3">
      <c r="B43" s="159" t="s">
        <v>355</v>
      </c>
      <c r="C43" s="214">
        <f ca="1">(C41/C42)*C6</f>
        <v>19.350265028401502</v>
      </c>
      <c r="D43" s="157"/>
      <c r="E43" s="165"/>
      <c r="F43" s="165"/>
      <c r="G43" s="165"/>
      <c r="H43" s="165"/>
      <c r="Q43" s="165"/>
    </row>
    <row r="44" spans="2:17" x14ac:dyDescent="0.25">
      <c r="C44" s="24">
        <f ca="1">C43/Main!C3-1</f>
        <v>-8.939929278110581E-2</v>
      </c>
      <c r="D44" s="213"/>
      <c r="E44" s="165"/>
      <c r="F44" s="165"/>
      <c r="G44" s="165"/>
      <c r="H44" s="165"/>
      <c r="Q44" s="165"/>
    </row>
    <row r="45" spans="2:17" x14ac:dyDescent="0.25">
      <c r="D45" s="157"/>
      <c r="E45" s="165"/>
      <c r="F45" s="165"/>
      <c r="G45" s="165"/>
      <c r="H45" s="165"/>
      <c r="Q45" s="165"/>
    </row>
    <row r="46" spans="2:17" x14ac:dyDescent="0.25">
      <c r="D46" s="213"/>
      <c r="E46" s="165"/>
      <c r="F46" s="165"/>
      <c r="G46" s="165"/>
      <c r="H46" s="165"/>
      <c r="Q46" s="165"/>
    </row>
    <row r="47" spans="2:17" x14ac:dyDescent="0.25">
      <c r="D47" s="157"/>
      <c r="E47" s="165"/>
      <c r="F47" s="165"/>
      <c r="G47" s="165"/>
      <c r="H47" s="165"/>
      <c r="Q47" s="165"/>
    </row>
    <row r="48" spans="2:17" x14ac:dyDescent="0.25">
      <c r="D48" s="213"/>
      <c r="E48" s="165"/>
      <c r="F48" s="165"/>
      <c r="G48" s="165"/>
      <c r="H48" s="165"/>
      <c r="Q48" s="165"/>
    </row>
  </sheetData>
  <mergeCells count="1">
    <mergeCell ref="D2:E3"/>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4AE7-A600-4F4F-B626-90D392F7AE82}">
  <dimension ref="B1:R48"/>
  <sheetViews>
    <sheetView showGridLines="0" zoomScale="115" zoomScaleNormal="115" workbookViewId="0">
      <selection activeCell="C24" sqref="C24"/>
    </sheetView>
  </sheetViews>
  <sheetFormatPr defaultRowHeight="15" x14ac:dyDescent="0.25"/>
  <cols>
    <col min="1" max="1" width="3.7109375" style="143" customWidth="1"/>
    <col min="2" max="2" width="20" style="143" bestFit="1" customWidth="1"/>
    <col min="3" max="3" width="11" style="143" bestFit="1" customWidth="1"/>
    <col min="4" max="8" width="12.5703125" style="143" customWidth="1"/>
    <col min="9" max="10" width="12.5703125" customWidth="1"/>
    <col min="11" max="13" width="12.5703125" style="143" customWidth="1"/>
    <col min="14" max="16" width="9.140625" style="143"/>
    <col min="17" max="17" width="3.140625" style="143" bestFit="1" customWidth="1"/>
    <col min="18" max="18" width="10" style="143" bestFit="1" customWidth="1"/>
    <col min="19" max="16384" width="9.140625" style="143"/>
  </cols>
  <sheetData>
    <row r="1" spans="2:18" ht="15.75" thickBot="1" x14ac:dyDescent="0.3">
      <c r="R1" s="226" t="s">
        <v>457</v>
      </c>
    </row>
    <row r="2" spans="2:18" x14ac:dyDescent="0.25">
      <c r="B2" s="144" t="s">
        <v>385</v>
      </c>
      <c r="D2" s="568">
        <f ca="1">C43</f>
        <v>17.718381038156178</v>
      </c>
      <c r="E2" s="569"/>
    </row>
    <row r="3" spans="2:18" ht="15.75" thickBot="1" x14ac:dyDescent="0.3">
      <c r="B3" s="143" t="s">
        <v>384</v>
      </c>
      <c r="C3" s="145">
        <v>9.5000000000000001E-2</v>
      </c>
      <c r="D3" s="570"/>
      <c r="E3" s="571"/>
      <c r="K3" s="227"/>
      <c r="L3" s="227"/>
      <c r="Q3" s="227" t="s">
        <v>462</v>
      </c>
      <c r="R3" s="227" t="s">
        <v>458</v>
      </c>
    </row>
    <row r="4" spans="2:18" x14ac:dyDescent="0.25">
      <c r="B4" s="161" t="s">
        <v>383</v>
      </c>
      <c r="C4" s="162">
        <v>2.5000000000000001E-2</v>
      </c>
      <c r="D4" s="143" t="s">
        <v>471</v>
      </c>
      <c r="K4" s="227"/>
      <c r="L4" s="227"/>
      <c r="Q4" s="227" t="s">
        <v>463</v>
      </c>
      <c r="R4" s="227" t="s">
        <v>459</v>
      </c>
    </row>
    <row r="5" spans="2:18" x14ac:dyDescent="0.25">
      <c r="B5" s="211" t="s">
        <v>453</v>
      </c>
      <c r="C5" s="212">
        <f ca="1">M14/M19</f>
        <v>0.16723654819715458</v>
      </c>
      <c r="K5" s="227"/>
      <c r="L5" s="227"/>
      <c r="Q5" s="227" t="s">
        <v>465</v>
      </c>
      <c r="R5" s="227" t="s">
        <v>460</v>
      </c>
    </row>
    <row r="6" spans="2:18" x14ac:dyDescent="0.25">
      <c r="B6" s="143" t="s">
        <v>382</v>
      </c>
      <c r="C6" s="147">
        <v>0.94</v>
      </c>
      <c r="K6" s="227"/>
      <c r="L6" s="227"/>
      <c r="Q6" s="227"/>
      <c r="R6" s="227"/>
    </row>
    <row r="7" spans="2:18" x14ac:dyDescent="0.25">
      <c r="B7" s="143" t="s">
        <v>381</v>
      </c>
      <c r="C7" s="19">
        <f>Main!C11</f>
        <v>152343</v>
      </c>
      <c r="K7" s="227"/>
      <c r="L7" s="227"/>
      <c r="Q7" s="227"/>
      <c r="R7" s="227"/>
    </row>
    <row r="8" spans="2:18" x14ac:dyDescent="0.25">
      <c r="B8" s="143" t="s">
        <v>380</v>
      </c>
      <c r="C8" s="146">
        <v>0.17399999999999999</v>
      </c>
      <c r="K8" s="227"/>
      <c r="L8" s="227"/>
      <c r="Q8" s="227"/>
      <c r="R8" s="227"/>
    </row>
    <row r="9" spans="2:18" x14ac:dyDescent="0.25">
      <c r="B9" s="143" t="s">
        <v>454</v>
      </c>
      <c r="C9" s="216">
        <f>H16</f>
        <v>0.12</v>
      </c>
      <c r="K9" s="227"/>
      <c r="L9" s="227"/>
      <c r="Q9" s="227" t="s">
        <v>464</v>
      </c>
      <c r="R9" s="227" t="s">
        <v>461</v>
      </c>
    </row>
    <row r="10" spans="2:18" x14ac:dyDescent="0.25">
      <c r="C10" s="146"/>
      <c r="K10" s="227"/>
      <c r="L10" s="227"/>
      <c r="Q10" s="227"/>
      <c r="R10" s="227"/>
    </row>
    <row r="11" spans="2:18" x14ac:dyDescent="0.25">
      <c r="K11" s="227"/>
      <c r="L11" s="227"/>
      <c r="Q11" s="227"/>
      <c r="R11" s="227"/>
    </row>
    <row r="12" spans="2:18" ht="12" x14ac:dyDescent="0.2">
      <c r="C12" s="143">
        <v>0</v>
      </c>
      <c r="D12" s="143">
        <v>1</v>
      </c>
      <c r="E12" s="143">
        <v>2</v>
      </c>
      <c r="F12" s="143">
        <v>3</v>
      </c>
      <c r="G12" s="143">
        <v>4</v>
      </c>
      <c r="H12" s="143">
        <v>5</v>
      </c>
      <c r="I12" s="143">
        <v>6</v>
      </c>
      <c r="J12" s="143">
        <v>7</v>
      </c>
      <c r="K12" s="288">
        <v>8</v>
      </c>
      <c r="L12" s="288">
        <v>9</v>
      </c>
      <c r="M12" s="288">
        <v>10</v>
      </c>
      <c r="Q12" s="227"/>
      <c r="R12" s="227"/>
    </row>
    <row r="13" spans="2:18" ht="12" x14ac:dyDescent="0.2">
      <c r="B13" s="148" t="s">
        <v>379</v>
      </c>
      <c r="C13" s="149" t="s">
        <v>378</v>
      </c>
      <c r="D13" s="286">
        <v>2026</v>
      </c>
      <c r="E13" s="286">
        <f>D13+1</f>
        <v>2027</v>
      </c>
      <c r="F13" s="286">
        <f t="shared" ref="F13:M13" si="0">E13+1</f>
        <v>2028</v>
      </c>
      <c r="G13" s="286">
        <f t="shared" si="0"/>
        <v>2029</v>
      </c>
      <c r="H13" s="286">
        <f t="shared" si="0"/>
        <v>2030</v>
      </c>
      <c r="I13" s="286">
        <f t="shared" si="0"/>
        <v>2031</v>
      </c>
      <c r="J13" s="286">
        <f t="shared" si="0"/>
        <v>2032</v>
      </c>
      <c r="K13" s="286">
        <f t="shared" si="0"/>
        <v>2033</v>
      </c>
      <c r="L13" s="286">
        <f t="shared" si="0"/>
        <v>2034</v>
      </c>
      <c r="M13" s="286">
        <f t="shared" si="0"/>
        <v>2035</v>
      </c>
      <c r="Q13" s="227"/>
      <c r="R13" s="227"/>
    </row>
    <row r="14" spans="2:18" ht="12" x14ac:dyDescent="0.2">
      <c r="B14" s="143" t="s">
        <v>377</v>
      </c>
      <c r="C14" s="150">
        <f>Model!$AF$87</f>
        <v>0.15076642871831036</v>
      </c>
      <c r="D14" s="221">
        <v>0.08</v>
      </c>
      <c r="E14" s="220">
        <v>0.08</v>
      </c>
      <c r="F14" s="220">
        <v>7.0000000000000007E-2</v>
      </c>
      <c r="G14" s="220">
        <v>0.06</v>
      </c>
      <c r="H14" s="220">
        <v>0.06</v>
      </c>
      <c r="I14" s="220">
        <v>0.05</v>
      </c>
      <c r="J14" s="220">
        <v>0.04</v>
      </c>
      <c r="K14" s="220">
        <f ca="1">Model!AS87</f>
        <v>3.8284895990279733E-2</v>
      </c>
      <c r="L14" s="220">
        <f ca="1">Model!AT87</f>
        <v>3.8284895990279733E-2</v>
      </c>
      <c r="M14" s="220">
        <f ca="1">Model!AU87</f>
        <v>3.8284895990279733E-2</v>
      </c>
      <c r="Q14" s="227" t="s">
        <v>468</v>
      </c>
      <c r="R14" s="227" t="s">
        <v>466</v>
      </c>
    </row>
    <row r="15" spans="2:18" ht="12" x14ac:dyDescent="0.2">
      <c r="B15" s="143" t="s">
        <v>376</v>
      </c>
      <c r="C15" s="151">
        <f>Model!$AF$86</f>
        <v>979331</v>
      </c>
      <c r="D15" s="222">
        <f>C15*(1+D14)</f>
        <v>1057677.48</v>
      </c>
      <c r="E15" s="151">
        <f>D15*(1+E14)</f>
        <v>1142291.6784000001</v>
      </c>
      <c r="F15" s="151">
        <f t="shared" ref="F15:M15" si="1">E15*(1+F14)</f>
        <v>1222252.0958880002</v>
      </c>
      <c r="G15" s="151">
        <f t="shared" si="1"/>
        <v>1295587.2216412802</v>
      </c>
      <c r="H15" s="151">
        <f t="shared" si="1"/>
        <v>1373322.454939757</v>
      </c>
      <c r="I15" s="151">
        <f t="shared" si="1"/>
        <v>1441988.577686745</v>
      </c>
      <c r="J15" s="151">
        <f t="shared" si="1"/>
        <v>1499668.1207942148</v>
      </c>
      <c r="K15" s="151">
        <f t="shared" ca="1" si="1"/>
        <v>1557082.7588187596</v>
      </c>
      <c r="L15" s="151">
        <f t="shared" ca="1" si="1"/>
        <v>1616695.5102883936</v>
      </c>
      <c r="M15" s="151">
        <f t="shared" ca="1" si="1"/>
        <v>1678590.5297477369</v>
      </c>
      <c r="Q15" s="227"/>
      <c r="R15" s="227"/>
    </row>
    <row r="16" spans="2:18" ht="12" x14ac:dyDescent="0.2">
      <c r="B16" s="152" t="s">
        <v>375</v>
      </c>
      <c r="C16" s="167">
        <f>Model!$AF$111</f>
        <v>7.0267355980766458E-2</v>
      </c>
      <c r="D16" s="224">
        <f>Model!AL111</f>
        <v>8.2666666666666666E-2</v>
      </c>
      <c r="E16" s="225">
        <v>0.1</v>
      </c>
      <c r="F16" s="225">
        <v>0.12</v>
      </c>
      <c r="G16" s="225">
        <v>0.12</v>
      </c>
      <c r="H16" s="225">
        <v>0.12</v>
      </c>
      <c r="I16" s="225">
        <v>0.12</v>
      </c>
      <c r="J16" s="225">
        <v>0.12</v>
      </c>
      <c r="K16" s="225">
        <v>0.12</v>
      </c>
      <c r="L16" s="225">
        <v>0.13</v>
      </c>
      <c r="M16" s="225">
        <v>0.13</v>
      </c>
      <c r="Q16" s="227"/>
      <c r="R16" s="227" t="s">
        <v>469</v>
      </c>
    </row>
    <row r="17" spans="2:18" ht="14.25" x14ac:dyDescent="0.35">
      <c r="B17" s="143" t="s">
        <v>374</v>
      </c>
      <c r="C17" s="153">
        <f>Model!AF110</f>
        <v>68815</v>
      </c>
      <c r="D17" s="223">
        <f>D15*D16</f>
        <v>87434.671679999999</v>
      </c>
      <c r="E17" s="223">
        <f t="shared" ref="E17:M17" si="2">E15*E16</f>
        <v>114229.16784000001</v>
      </c>
      <c r="F17" s="223">
        <f t="shared" si="2"/>
        <v>146670.25150656002</v>
      </c>
      <c r="G17" s="223">
        <f t="shared" si="2"/>
        <v>155470.46659695363</v>
      </c>
      <c r="H17" s="223">
        <f t="shared" si="2"/>
        <v>164798.69459277083</v>
      </c>
      <c r="I17" s="223">
        <f t="shared" si="2"/>
        <v>173038.6293224094</v>
      </c>
      <c r="J17" s="223">
        <f t="shared" si="2"/>
        <v>179960.17449530578</v>
      </c>
      <c r="K17" s="223">
        <f t="shared" ca="1" si="2"/>
        <v>186849.93105825115</v>
      </c>
      <c r="L17" s="223">
        <f t="shared" ca="1" si="2"/>
        <v>210170.41633749119</v>
      </c>
      <c r="M17" s="223">
        <f t="shared" ca="1" si="2"/>
        <v>218216.7688672058</v>
      </c>
      <c r="Q17" s="227"/>
      <c r="R17" s="227"/>
    </row>
    <row r="18" spans="2:18" ht="12" x14ac:dyDescent="0.2">
      <c r="B18" s="152" t="s">
        <v>373</v>
      </c>
      <c r="C18" s="154">
        <f t="shared" ref="C18:M18" si="3">C17*(1-$C$8)</f>
        <v>56841.19</v>
      </c>
      <c r="D18" s="154">
        <f t="shared" si="3"/>
        <v>72221.038807680001</v>
      </c>
      <c r="E18" s="154">
        <f t="shared" si="3"/>
        <v>94353.292635840015</v>
      </c>
      <c r="F18" s="154">
        <f t="shared" si="3"/>
        <v>121149.62774441858</v>
      </c>
      <c r="G18" s="154">
        <f t="shared" si="3"/>
        <v>128418.60540908371</v>
      </c>
      <c r="H18" s="154">
        <f t="shared" si="3"/>
        <v>136123.72173362871</v>
      </c>
      <c r="I18" s="154">
        <f t="shared" si="3"/>
        <v>142929.90782031018</v>
      </c>
      <c r="J18" s="154">
        <f t="shared" si="3"/>
        <v>148647.10413312257</v>
      </c>
      <c r="K18" s="154">
        <f t="shared" ca="1" si="3"/>
        <v>154338.04305411546</v>
      </c>
      <c r="L18" s="154">
        <f t="shared" ca="1" si="3"/>
        <v>173600.76389476773</v>
      </c>
      <c r="M18" s="154">
        <f t="shared" ca="1" si="3"/>
        <v>180247.051084312</v>
      </c>
      <c r="Q18" s="227"/>
      <c r="R18" s="227"/>
    </row>
    <row r="19" spans="2:18" ht="12" x14ac:dyDescent="0.2">
      <c r="B19" s="143" t="s">
        <v>372</v>
      </c>
      <c r="C19" s="24">
        <f>C20/C18</f>
        <v>-0.15574973008130194</v>
      </c>
      <c r="D19" s="24">
        <f t="shared" ref="D19:M19" si="4">D20/D18</f>
        <v>3.7405528611446312E-3</v>
      </c>
      <c r="E19" s="24">
        <f t="shared" si="4"/>
        <v>3.0921903652129002E-3</v>
      </c>
      <c r="F19" s="24">
        <f t="shared" si="4"/>
        <v>0.66001372828554927</v>
      </c>
      <c r="G19" s="24">
        <f t="shared" si="4"/>
        <v>0.51914826459118102</v>
      </c>
      <c r="H19" s="24">
        <f t="shared" si="4"/>
        <v>0.47588590920858254</v>
      </c>
      <c r="I19" s="24">
        <f t="shared" si="4"/>
        <v>0.38433452477036067</v>
      </c>
      <c r="J19" s="24">
        <f t="shared" si="4"/>
        <v>0.29848465311307554</v>
      </c>
      <c r="K19" s="24">
        <f t="shared" ca="1" si="4"/>
        <v>0.27555980792597434</v>
      </c>
      <c r="L19" s="24">
        <f t="shared" ca="1" si="4"/>
        <v>0.24527851035169121</v>
      </c>
      <c r="M19" s="24">
        <f t="shared" ca="1" si="4"/>
        <v>0.2289266096615783</v>
      </c>
      <c r="Q19" s="227"/>
      <c r="R19" s="227" t="s">
        <v>470</v>
      </c>
    </row>
    <row r="20" spans="2:18" ht="12" x14ac:dyDescent="0.2">
      <c r="B20" s="143" t="s">
        <v>371</v>
      </c>
      <c r="C20" s="154">
        <f>-Model!AF357</f>
        <v>-8853</v>
      </c>
      <c r="D20" s="154">
        <f>(D15-C15)/D26</f>
        <v>270.14661334690487</v>
      </c>
      <c r="E20" s="154">
        <f t="shared" ref="E20:M20" si="5">(E15-D15)/E26</f>
        <v>291.75834241465776</v>
      </c>
      <c r="F20" s="154">
        <f t="shared" si="5"/>
        <v>79960.417488000123</v>
      </c>
      <c r="G20" s="154">
        <f t="shared" si="5"/>
        <v>66668.296139345461</v>
      </c>
      <c r="H20" s="154">
        <f t="shared" si="5"/>
        <v>64779.361082063988</v>
      </c>
      <c r="I20" s="154">
        <f t="shared" si="5"/>
        <v>54932.898197590373</v>
      </c>
      <c r="J20" s="154">
        <f t="shared" si="5"/>
        <v>44368.879313438309</v>
      </c>
      <c r="K20" s="154">
        <f t="shared" ca="1" si="5"/>
        <v>42529.361499662817</v>
      </c>
      <c r="L20" s="154">
        <f t="shared" ca="1" si="5"/>
        <v>42580.536764024291</v>
      </c>
      <c r="M20" s="154">
        <f t="shared" ca="1" si="5"/>
        <v>41263.346306228857</v>
      </c>
      <c r="Q20" s="227"/>
      <c r="R20" s="227"/>
    </row>
    <row r="21" spans="2:18" ht="12" x14ac:dyDescent="0.2">
      <c r="B21" s="152" t="s">
        <v>370</v>
      </c>
      <c r="C21" s="209">
        <f t="shared" ref="C21:H21" si="6">C18-C20</f>
        <v>65694.19</v>
      </c>
      <c r="D21" s="209">
        <f t="shared" si="6"/>
        <v>71950.892194333093</v>
      </c>
      <c r="E21" s="163">
        <f t="shared" si="6"/>
        <v>94061.534293425357</v>
      </c>
      <c r="F21" s="163">
        <f t="shared" si="6"/>
        <v>41189.210256418461</v>
      </c>
      <c r="G21" s="163">
        <f t="shared" si="6"/>
        <v>61750.309269738253</v>
      </c>
      <c r="H21" s="163">
        <f t="shared" si="6"/>
        <v>71344.360651564726</v>
      </c>
      <c r="I21" s="163">
        <f t="shared" ref="I21:M21" si="7">I18-I20</f>
        <v>87997.009622719808</v>
      </c>
      <c r="J21" s="163">
        <f t="shared" si="7"/>
        <v>104278.22481968426</v>
      </c>
      <c r="K21" s="163">
        <f t="shared" ca="1" si="7"/>
        <v>111808.68155445265</v>
      </c>
      <c r="L21" s="163">
        <f t="shared" ca="1" si="7"/>
        <v>131020.22713074344</v>
      </c>
      <c r="M21" s="163">
        <f t="shared" ca="1" si="7"/>
        <v>138983.70477808313</v>
      </c>
      <c r="Q21" s="227"/>
      <c r="R21" s="227"/>
    </row>
    <row r="22" spans="2:18" ht="12" x14ac:dyDescent="0.2">
      <c r="B22" s="156" t="s">
        <v>391</v>
      </c>
      <c r="C22" s="33"/>
      <c r="D22" s="164">
        <f>D21/C21-1</f>
        <v>9.5239810314018403E-2</v>
      </c>
      <c r="E22" s="164">
        <f t="shared" ref="E22:M22" si="8">E21/D21-1</f>
        <v>0.30730184747915756</v>
      </c>
      <c r="F22" s="164">
        <f t="shared" si="8"/>
        <v>-0.56210356799062478</v>
      </c>
      <c r="G22" s="164">
        <f t="shared" si="8"/>
        <v>0.49918653174749283</v>
      </c>
      <c r="H22" s="164">
        <f t="shared" si="8"/>
        <v>0.15536847499690487</v>
      </c>
      <c r="I22" s="164">
        <f t="shared" si="8"/>
        <v>0.2334122671935368</v>
      </c>
      <c r="J22" s="164">
        <f t="shared" si="8"/>
        <v>0.18502009632791916</v>
      </c>
      <c r="K22" s="164">
        <f t="shared" ca="1" si="8"/>
        <v>7.2215045353810847E-2</v>
      </c>
      <c r="L22" s="164">
        <f t="shared" ca="1" si="8"/>
        <v>0.17182516875431064</v>
      </c>
      <c r="M22" s="164">
        <f t="shared" ca="1" si="8"/>
        <v>6.0780520853417785E-2</v>
      </c>
    </row>
    <row r="23" spans="2:18" s="141" customFormat="1" ht="12" x14ac:dyDescent="0.2">
      <c r="B23" s="141" t="s">
        <v>369</v>
      </c>
      <c r="D23" s="142">
        <f>1/((1+$C$3)^D12)</f>
        <v>0.91324200913242015</v>
      </c>
      <c r="E23" s="142">
        <f>1/((1+$C$3)^E12)</f>
        <v>0.8340109672442193</v>
      </c>
      <c r="F23" s="142">
        <f>1/((1+$C$3)^F12)</f>
        <v>0.76165385136458386</v>
      </c>
      <c r="G23" s="142">
        <f>1/((1+$C$3)^G12)</f>
        <v>0.6955742934836382</v>
      </c>
      <c r="H23" s="142">
        <f>1/((1+$C$3)^H12)</f>
        <v>0.63522766528186136</v>
      </c>
      <c r="I23" s="142">
        <f t="shared" ref="I23:M23" si="9">1/((1+$C$3)^I12)</f>
        <v>0.58011658929850352</v>
      </c>
      <c r="J23" s="142">
        <f t="shared" si="9"/>
        <v>0.52978683954201233</v>
      </c>
      <c r="K23" s="142">
        <f t="shared" si="9"/>
        <v>0.4838235977552624</v>
      </c>
      <c r="L23" s="142">
        <f t="shared" si="9"/>
        <v>0.44184803447969173</v>
      </c>
      <c r="M23" s="142">
        <f t="shared" si="9"/>
        <v>0.40351418673944445</v>
      </c>
    </row>
    <row r="24" spans="2:18" ht="12.75" thickBot="1" x14ac:dyDescent="0.25">
      <c r="B24" s="155" t="s">
        <v>368</v>
      </c>
      <c r="C24" s="155"/>
      <c r="D24" s="284">
        <f>D21*D23</f>
        <v>65708.577346422928</v>
      </c>
      <c r="E24" s="284">
        <f>E21*E23</f>
        <v>78448.35119653499</v>
      </c>
      <c r="F24" s="284">
        <f>F21*F23</f>
        <v>31371.920626466737</v>
      </c>
      <c r="G24" s="284">
        <f>G21*G23</f>
        <v>42951.927742694337</v>
      </c>
      <c r="H24" s="284">
        <f>H21*H23</f>
        <v>45319.911647720561</v>
      </c>
      <c r="I24" s="284">
        <f t="shared" ref="I24:M24" si="10">I21*I23</f>
        <v>51048.525090799805</v>
      </c>
      <c r="J24" s="284">
        <f t="shared" si="10"/>
        <v>55245.231160271949</v>
      </c>
      <c r="K24" s="284">
        <f t="shared" ca="1" si="10"/>
        <v>54095.678569947726</v>
      </c>
      <c r="L24" s="284">
        <f t="shared" ca="1" si="10"/>
        <v>57891.029834801768</v>
      </c>
      <c r="M24" s="284">
        <f t="shared" ca="1" si="10"/>
        <v>56081.896603563255</v>
      </c>
      <c r="Q24" s="285"/>
    </row>
    <row r="25" spans="2:18" ht="12.75" thickTop="1" x14ac:dyDescent="0.2">
      <c r="E25" s="24">
        <f>E20/E15</f>
        <v>2.5541492416658558E-4</v>
      </c>
      <c r="F25" s="24">
        <f t="shared" ref="F25:G25" si="11">F20/F15</f>
        <v>6.5420560747663642E-2</v>
      </c>
      <c r="G25" s="24">
        <f t="shared" si="11"/>
        <v>5.1457975986277868E-2</v>
      </c>
      <c r="H25" s="24">
        <f>H20/H15</f>
        <v>4.71698113207547E-2</v>
      </c>
      <c r="I25" s="24">
        <f t="shared" ref="I25:M25" si="12">I20/I15</f>
        <v>3.8095238095238154E-2</v>
      </c>
      <c r="J25" s="24">
        <f t="shared" si="12"/>
        <v>2.9585798816568049E-2</v>
      </c>
      <c r="K25" s="24">
        <f t="shared" ca="1" si="12"/>
        <v>2.731348816162258E-2</v>
      </c>
      <c r="L25" s="24">
        <f t="shared" ca="1" si="12"/>
        <v>2.6338006441564608E-2</v>
      </c>
      <c r="M25" s="24">
        <f t="shared" ca="1" si="12"/>
        <v>2.4582139345460281E-2</v>
      </c>
    </row>
    <row r="26" spans="2:18" ht="12" x14ac:dyDescent="0.2">
      <c r="B26" s="143" t="s">
        <v>489</v>
      </c>
      <c r="D26" s="289">
        <f>AVERAGE([2]Model!$V$255,[3]Model!$C$203,[1]Model!$I$244,Model!$AF$350)</f>
        <v>290.01466658918457</v>
      </c>
      <c r="E26" s="289">
        <f>AVERAGE([2]Model!$V$255,[3]Model!$C$203,[1]Model!$I$244,Model!$AF$350)</f>
        <v>290.01466658918457</v>
      </c>
      <c r="F26" s="289">
        <v>1</v>
      </c>
      <c r="G26" s="289">
        <v>1.1000000000000001</v>
      </c>
      <c r="H26" s="289">
        <v>1.2</v>
      </c>
      <c r="I26" s="289">
        <v>1.25</v>
      </c>
      <c r="J26" s="289">
        <v>1.3</v>
      </c>
      <c r="K26" s="289">
        <v>1.35</v>
      </c>
      <c r="L26" s="289">
        <v>1.4</v>
      </c>
      <c r="M26" s="289">
        <v>1.5</v>
      </c>
    </row>
    <row r="27" spans="2:18" ht="12" x14ac:dyDescent="0.2">
      <c r="B27" s="143" t="s">
        <v>411</v>
      </c>
      <c r="C27" s="8">
        <f>Model!AF341</f>
        <v>1098483</v>
      </c>
      <c r="D27" s="154">
        <f>C27+D20</f>
        <v>1098753.1466133469</v>
      </c>
      <c r="E27" s="154">
        <f t="shared" ref="E27:M27" si="13">D27+E20</f>
        <v>1099044.9049557615</v>
      </c>
      <c r="F27" s="154">
        <f t="shared" si="13"/>
        <v>1179005.3224437616</v>
      </c>
      <c r="G27" s="154">
        <f t="shared" si="13"/>
        <v>1245673.6185831071</v>
      </c>
      <c r="H27" s="154">
        <f t="shared" si="13"/>
        <v>1310452.9796651711</v>
      </c>
      <c r="I27" s="154">
        <f t="shared" si="13"/>
        <v>1365385.8778627615</v>
      </c>
      <c r="J27" s="154">
        <f t="shared" si="13"/>
        <v>1409754.7571761997</v>
      </c>
      <c r="K27" s="154">
        <f t="shared" ca="1" si="13"/>
        <v>1452284.1186758624</v>
      </c>
      <c r="L27" s="154">
        <f t="shared" ca="1" si="13"/>
        <v>1494864.6554398867</v>
      </c>
      <c r="M27" s="154">
        <f t="shared" ca="1" si="13"/>
        <v>1536128.0017461155</v>
      </c>
    </row>
    <row r="28" spans="2:18" ht="12" x14ac:dyDescent="0.2">
      <c r="B28" s="143" t="s">
        <v>490</v>
      </c>
      <c r="D28" s="24">
        <f>D18/D27</f>
        <v>6.5729994976837791E-2</v>
      </c>
      <c r="E28" s="24">
        <f t="shared" ref="E28:M28" si="14">E18/E27</f>
        <v>8.5850261632064884E-2</v>
      </c>
      <c r="F28" s="24">
        <f t="shared" si="14"/>
        <v>0.10275579375104764</v>
      </c>
      <c r="G28" s="24">
        <f t="shared" si="14"/>
        <v>0.10309169552386732</v>
      </c>
      <c r="H28" s="24">
        <f t="shared" si="14"/>
        <v>0.10387531933302115</v>
      </c>
      <c r="I28" s="24">
        <f t="shared" si="14"/>
        <v>0.10468096245732258</v>
      </c>
      <c r="J28" s="24">
        <f t="shared" si="14"/>
        <v>0.10544181771790521</v>
      </c>
      <c r="K28" s="24">
        <f t="shared" ca="1" si="14"/>
        <v>0.10627262329001783</v>
      </c>
      <c r="L28" s="24">
        <f t="shared" ca="1" si="14"/>
        <v>0.11613142585385636</v>
      </c>
      <c r="M28" s="24">
        <f t="shared" ca="1" si="14"/>
        <v>0.11733856220277562</v>
      </c>
    </row>
    <row r="29" spans="2:18" x14ac:dyDescent="0.25">
      <c r="B29" s="143" t="s">
        <v>367</v>
      </c>
      <c r="C29" s="151">
        <f ca="1">SUM(C24:M24)</f>
        <v>538163.04981922405</v>
      </c>
    </row>
    <row r="30" spans="2:18" x14ac:dyDescent="0.25">
      <c r="B30" s="156" t="s">
        <v>366</v>
      </c>
      <c r="C30" s="151">
        <f ca="1">M21</f>
        <v>138983.70477808313</v>
      </c>
    </row>
    <row r="31" spans="2:18" x14ac:dyDescent="0.25">
      <c r="B31" s="156" t="s">
        <v>365</v>
      </c>
      <c r="C31" s="157">
        <f>C3</f>
        <v>9.5000000000000001E-2</v>
      </c>
      <c r="D31" s="168">
        <f ca="1">C43</f>
        <v>17.718381038156178</v>
      </c>
      <c r="E31" s="169">
        <v>7.4999999999999997E-2</v>
      </c>
      <c r="F31" s="169">
        <v>8.5000000000000006E-2</v>
      </c>
      <c r="G31" s="169">
        <v>0.09</v>
      </c>
      <c r="H31" s="169">
        <v>9.5000000000000001E-2</v>
      </c>
    </row>
    <row r="32" spans="2:18" x14ac:dyDescent="0.25">
      <c r="B32" s="156" t="s">
        <v>364</v>
      </c>
      <c r="C32" s="151">
        <f ca="1">C30/(C31-C4)</f>
        <v>1985481.4968297589</v>
      </c>
      <c r="D32" s="170">
        <v>1.4999999999999999E-2</v>
      </c>
      <c r="E32" s="171">
        <f t="dataTable" ref="E32:H38" dt2D="1" dtr="1" r1="C3" r2="C4" ca="1"/>
        <v>23.378775592451532</v>
      </c>
      <c r="F32" s="171">
        <v>19.276515704976269</v>
      </c>
      <c r="G32" s="171">
        <v>17.646987202616373</v>
      </c>
      <c r="H32" s="171">
        <v>16.227878645418148</v>
      </c>
    </row>
    <row r="33" spans="2:17" ht="16.5" x14ac:dyDescent="0.35">
      <c r="B33" s="143" t="s">
        <v>363</v>
      </c>
      <c r="C33" s="153">
        <f ca="1">C32*M23</f>
        <v>801169.95147947501</v>
      </c>
      <c r="D33" s="170">
        <v>2.5000000000000001E-2</v>
      </c>
      <c r="E33" s="171">
        <v>26.724236805555197</v>
      </c>
      <c r="F33" s="171">
        <v>21.454803329218819</v>
      </c>
      <c r="G33" s="171">
        <v>19.439335042915008</v>
      </c>
      <c r="H33" s="171">
        <v>17.718381038156178</v>
      </c>
    </row>
    <row r="34" spans="2:17" x14ac:dyDescent="0.25">
      <c r="B34" s="152" t="s">
        <v>362</v>
      </c>
      <c r="C34" s="158">
        <f ca="1">C33+C29</f>
        <v>1339333.0012986991</v>
      </c>
      <c r="D34" s="170">
        <v>3.5000000000000003E-2</v>
      </c>
      <c r="E34" s="171">
        <v>31.742428625210714</v>
      </c>
      <c r="F34" s="171">
        <v>24.504406003158394</v>
      </c>
      <c r="G34" s="171">
        <v>21.883445734231334</v>
      </c>
      <c r="H34" s="171">
        <v>19.705717561806875</v>
      </c>
    </row>
    <row r="35" spans="2:17" x14ac:dyDescent="0.25">
      <c r="B35" s="143" t="s">
        <v>361</v>
      </c>
      <c r="C35" s="145">
        <v>0.01</v>
      </c>
      <c r="D35" s="170">
        <v>4.4999999999999998E-2</v>
      </c>
      <c r="E35" s="210">
        <v>40.106081657969888</v>
      </c>
      <c r="F35" s="165">
        <v>29.078810014067752</v>
      </c>
      <c r="G35" s="165">
        <v>25.41382784391045</v>
      </c>
      <c r="H35" s="165">
        <v>22.48798869491786</v>
      </c>
    </row>
    <row r="36" spans="2:17" x14ac:dyDescent="0.25">
      <c r="B36" s="143" t="s">
        <v>455</v>
      </c>
      <c r="C36" s="151">
        <f>Model!$AF$178*0.5</f>
        <v>498917</v>
      </c>
      <c r="D36" s="170">
        <v>5.5E-2</v>
      </c>
      <c r="E36" s="165">
        <v>56.833387723488237</v>
      </c>
      <c r="F36" s="210">
        <v>36.702816698916685</v>
      </c>
      <c r="G36" s="165">
        <v>30.961571159120506</v>
      </c>
      <c r="H36" s="165">
        <v>26.661395394584325</v>
      </c>
    </row>
    <row r="37" spans="2:17" x14ac:dyDescent="0.25">
      <c r="B37" s="152" t="s">
        <v>360</v>
      </c>
      <c r="C37" s="158">
        <f ca="1">C34*(1-C35)+C36*C35</f>
        <v>1330928.8412857121</v>
      </c>
      <c r="D37" s="170">
        <v>6.5000000000000002E-2</v>
      </c>
      <c r="E37" s="165">
        <v>107.01530592004333</v>
      </c>
      <c r="F37" s="165">
        <v>51.95083006861455</v>
      </c>
      <c r="G37" s="210">
        <v>40.947509126498609</v>
      </c>
      <c r="H37" s="210">
        <v>33.617073227361772</v>
      </c>
    </row>
    <row r="38" spans="2:17" x14ac:dyDescent="0.25">
      <c r="B38" s="143" t="s">
        <v>343</v>
      </c>
      <c r="C38" s="151">
        <f>Main!$C$11</f>
        <v>152343</v>
      </c>
      <c r="D38" s="287">
        <v>7.4999999999999997E-2</v>
      </c>
      <c r="E38" s="215" t="e">
        <v>#DIV/0!</v>
      </c>
      <c r="F38" s="215">
        <v>97.694870177708083</v>
      </c>
      <c r="G38" s="215">
        <v>64.248031050380831</v>
      </c>
      <c r="H38" s="215">
        <v>47.528428892916672</v>
      </c>
    </row>
    <row r="39" spans="2:17" x14ac:dyDescent="0.25">
      <c r="B39" s="143" t="s">
        <v>359</v>
      </c>
      <c r="C39" s="151">
        <f ca="1">C37-C38</f>
        <v>1178585.8412857121</v>
      </c>
    </row>
    <row r="40" spans="2:17" x14ac:dyDescent="0.25">
      <c r="B40" s="143" t="s">
        <v>358</v>
      </c>
      <c r="C40" s="151">
        <v>0</v>
      </c>
      <c r="D40" s="215"/>
      <c r="E40" s="213"/>
      <c r="F40" s="213"/>
      <c r="G40" s="213"/>
      <c r="H40" s="213"/>
      <c r="Q40" s="213"/>
    </row>
    <row r="41" spans="2:17" x14ac:dyDescent="0.25">
      <c r="B41" s="143" t="s">
        <v>357</v>
      </c>
      <c r="C41" s="151">
        <f ca="1">C39-C40</f>
        <v>1178585.8412857121</v>
      </c>
      <c r="D41" s="157"/>
      <c r="E41" s="165"/>
      <c r="F41" s="165"/>
      <c r="G41" s="165"/>
      <c r="H41" s="165"/>
      <c r="Q41" s="165"/>
    </row>
    <row r="42" spans="2:17" ht="15.75" thickBot="1" x14ac:dyDescent="0.3">
      <c r="B42" s="143" t="s">
        <v>356</v>
      </c>
      <c r="C42" s="151">
        <f>Main!$C$5</f>
        <v>62526.631999999998</v>
      </c>
      <c r="D42" s="213"/>
      <c r="E42" s="165"/>
      <c r="F42" s="165"/>
      <c r="G42" s="165"/>
      <c r="H42" s="165"/>
      <c r="Q42" s="165"/>
    </row>
    <row r="43" spans="2:17" ht="15.75" thickBot="1" x14ac:dyDescent="0.3">
      <c r="B43" s="159" t="s">
        <v>355</v>
      </c>
      <c r="C43" s="214">
        <f ca="1">(C41/C42)*C6</f>
        <v>17.718381038156178</v>
      </c>
      <c r="D43" s="157"/>
      <c r="E43" s="165"/>
      <c r="F43" s="165"/>
      <c r="G43" s="165"/>
      <c r="H43" s="165"/>
      <c r="Q43" s="165"/>
    </row>
    <row r="44" spans="2:17" x14ac:dyDescent="0.25">
      <c r="C44" s="24">
        <f ca="1">C43/Main!C3-1</f>
        <v>-0.16619383349853278</v>
      </c>
      <c r="D44" s="213"/>
      <c r="E44" s="165"/>
      <c r="F44" s="165"/>
      <c r="G44" s="165"/>
      <c r="H44" s="165"/>
      <c r="Q44" s="165"/>
    </row>
    <row r="45" spans="2:17" x14ac:dyDescent="0.25">
      <c r="D45" s="157"/>
      <c r="E45" s="165"/>
      <c r="F45" s="165"/>
      <c r="G45" s="165"/>
      <c r="H45" s="165"/>
      <c r="Q45" s="165"/>
    </row>
    <row r="46" spans="2:17" x14ac:dyDescent="0.25">
      <c r="D46" s="213"/>
      <c r="E46" s="165"/>
      <c r="F46" s="165"/>
      <c r="G46" s="165"/>
      <c r="H46" s="165"/>
      <c r="Q46" s="165"/>
    </row>
    <row r="47" spans="2:17" x14ac:dyDescent="0.25">
      <c r="D47" s="157"/>
      <c r="E47" s="165"/>
      <c r="F47" s="165"/>
      <c r="G47" s="165"/>
      <c r="H47" s="165"/>
      <c r="Q47" s="165"/>
    </row>
    <row r="48" spans="2:17" x14ac:dyDescent="0.25">
      <c r="D48" s="213"/>
      <c r="E48" s="165"/>
      <c r="F48" s="165"/>
      <c r="G48" s="165"/>
      <c r="H48" s="165"/>
      <c r="Q48" s="165"/>
    </row>
  </sheetData>
  <mergeCells count="1">
    <mergeCell ref="D2:E3"/>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BCD03-A576-4E62-9D6C-B720F2FF04B4}">
  <dimension ref="B1:S75"/>
  <sheetViews>
    <sheetView showGridLines="0" topLeftCell="B1" zoomScale="130" zoomScaleNormal="130" workbookViewId="0">
      <selection activeCell="O17" sqref="O17"/>
    </sheetView>
  </sheetViews>
  <sheetFormatPr defaultRowHeight="15" x14ac:dyDescent="0.25"/>
  <cols>
    <col min="1" max="1" width="3.7109375" style="143" customWidth="1"/>
    <col min="2" max="2" width="20" style="143" bestFit="1" customWidth="1"/>
    <col min="3" max="3" width="13.28515625" style="143" bestFit="1" customWidth="1"/>
    <col min="4" max="8" width="12.5703125" style="143" customWidth="1"/>
    <col min="9" max="10" width="12.5703125" customWidth="1"/>
    <col min="11" max="13" width="12.5703125" style="143" customWidth="1"/>
    <col min="14" max="14" width="2.5703125" style="143" customWidth="1"/>
    <col min="15" max="15" width="11.140625" style="143" bestFit="1" customWidth="1"/>
    <col min="16" max="17" width="9.140625" style="143"/>
    <col min="18" max="18" width="3.140625" style="143" bestFit="1" customWidth="1"/>
    <col min="19" max="19" width="10" style="143" bestFit="1" customWidth="1"/>
    <col min="20" max="16384" width="9.140625" style="143"/>
  </cols>
  <sheetData>
    <row r="1" spans="2:19" ht="15.75" thickBot="1" x14ac:dyDescent="0.3">
      <c r="S1" s="226" t="s">
        <v>457</v>
      </c>
    </row>
    <row r="2" spans="2:19" x14ac:dyDescent="0.25">
      <c r="B2" s="144" t="s">
        <v>385</v>
      </c>
      <c r="D2" s="568">
        <f>C45</f>
        <v>41.514878291408827</v>
      </c>
      <c r="E2" s="569"/>
    </row>
    <row r="3" spans="2:19" ht="15.75" thickBot="1" x14ac:dyDescent="0.3">
      <c r="B3" s="143" t="s">
        <v>384</v>
      </c>
      <c r="C3" s="321">
        <f>AVERAGE(D23:O23)</f>
        <v>7.0000000000000021E-2</v>
      </c>
      <c r="D3" s="570"/>
      <c r="E3" s="571"/>
      <c r="K3" s="227"/>
      <c r="L3" s="227"/>
      <c r="R3" s="227" t="s">
        <v>462</v>
      </c>
      <c r="S3" s="227" t="s">
        <v>458</v>
      </c>
    </row>
    <row r="4" spans="2:19" x14ac:dyDescent="0.25">
      <c r="B4" s="161" t="s">
        <v>383</v>
      </c>
      <c r="C4" s="162">
        <v>0.03</v>
      </c>
      <c r="K4" s="227"/>
      <c r="L4" s="227"/>
      <c r="R4" s="227" t="s">
        <v>463</v>
      </c>
      <c r="S4" s="227" t="s">
        <v>459</v>
      </c>
    </row>
    <row r="5" spans="2:19" x14ac:dyDescent="0.25">
      <c r="B5" s="211" t="s">
        <v>453</v>
      </c>
      <c r="C5" s="212">
        <f>C4/O19</f>
        <v>39.478188486519421</v>
      </c>
      <c r="K5" s="227"/>
      <c r="L5" s="227"/>
      <c r="R5" s="227" t="s">
        <v>465</v>
      </c>
      <c r="S5" s="227" t="s">
        <v>460</v>
      </c>
    </row>
    <row r="6" spans="2:19" x14ac:dyDescent="0.25">
      <c r="B6" s="143" t="s">
        <v>382</v>
      </c>
      <c r="C6" s="147">
        <v>0.94</v>
      </c>
      <c r="K6" s="227"/>
      <c r="L6" s="227"/>
      <c r="R6" s="227"/>
      <c r="S6" s="227"/>
    </row>
    <row r="7" spans="2:19" x14ac:dyDescent="0.25">
      <c r="B7" s="143" t="s">
        <v>381</v>
      </c>
      <c r="C7" s="19">
        <f>Main!C11</f>
        <v>152343</v>
      </c>
      <c r="K7" s="227"/>
      <c r="L7" s="227"/>
      <c r="R7" s="227"/>
      <c r="S7" s="227"/>
    </row>
    <row r="8" spans="2:19" x14ac:dyDescent="0.25">
      <c r="B8" s="143" t="s">
        <v>380</v>
      </c>
      <c r="C8" s="146">
        <v>0.17399999999999999</v>
      </c>
      <c r="K8" s="227"/>
      <c r="L8" s="227"/>
      <c r="R8" s="227"/>
      <c r="S8" s="227"/>
    </row>
    <row r="9" spans="2:19" x14ac:dyDescent="0.25">
      <c r="B9" s="143" t="s">
        <v>454</v>
      </c>
      <c r="C9" s="216">
        <v>0.13</v>
      </c>
      <c r="K9" s="227"/>
      <c r="L9" s="227"/>
      <c r="R9" s="227" t="s">
        <v>464</v>
      </c>
      <c r="S9" s="227" t="s">
        <v>461</v>
      </c>
    </row>
    <row r="10" spans="2:19" x14ac:dyDescent="0.25">
      <c r="C10" s="146"/>
      <c r="K10" s="227"/>
      <c r="L10" s="227"/>
      <c r="R10" s="227"/>
      <c r="S10" s="227"/>
    </row>
    <row r="11" spans="2:19" x14ac:dyDescent="0.25">
      <c r="C11" s="143" t="s">
        <v>496</v>
      </c>
      <c r="K11" s="227"/>
      <c r="L11" s="227"/>
      <c r="R11" s="227"/>
      <c r="S11" s="227"/>
    </row>
    <row r="12" spans="2:19" ht="12" x14ac:dyDescent="0.2">
      <c r="C12" s="315">
        <v>0</v>
      </c>
      <c r="D12" s="315">
        <v>1</v>
      </c>
      <c r="E12" s="315">
        <v>2</v>
      </c>
      <c r="F12" s="315">
        <v>3</v>
      </c>
      <c r="G12" s="315">
        <v>4</v>
      </c>
      <c r="H12" s="315">
        <v>5</v>
      </c>
      <c r="I12" s="315">
        <v>6</v>
      </c>
      <c r="J12" s="315">
        <v>7</v>
      </c>
      <c r="K12" s="315">
        <v>8</v>
      </c>
      <c r="L12" s="315">
        <v>9</v>
      </c>
      <c r="M12" s="315">
        <v>10</v>
      </c>
      <c r="R12" s="227"/>
      <c r="S12" s="227"/>
    </row>
    <row r="13" spans="2:19" ht="12" x14ac:dyDescent="0.2">
      <c r="B13" s="148" t="s">
        <v>379</v>
      </c>
      <c r="C13" s="149" t="s">
        <v>378</v>
      </c>
      <c r="D13" s="286">
        <v>2026</v>
      </c>
      <c r="E13" s="286">
        <f>D13+1</f>
        <v>2027</v>
      </c>
      <c r="F13" s="286">
        <f t="shared" ref="F13:M13" si="0">E13+1</f>
        <v>2028</v>
      </c>
      <c r="G13" s="286">
        <f t="shared" si="0"/>
        <v>2029</v>
      </c>
      <c r="H13" s="286">
        <f t="shared" si="0"/>
        <v>2030</v>
      </c>
      <c r="I13" s="286">
        <f t="shared" si="0"/>
        <v>2031</v>
      </c>
      <c r="J13" s="286">
        <f t="shared" si="0"/>
        <v>2032</v>
      </c>
      <c r="K13" s="286">
        <f t="shared" si="0"/>
        <v>2033</v>
      </c>
      <c r="L13" s="286">
        <f t="shared" si="0"/>
        <v>2034</v>
      </c>
      <c r="M13" s="286">
        <f t="shared" si="0"/>
        <v>2035</v>
      </c>
      <c r="N13" s="291"/>
      <c r="O13" s="149" t="s">
        <v>517</v>
      </c>
      <c r="R13" s="227"/>
      <c r="S13" s="227"/>
    </row>
    <row r="14" spans="2:19" ht="12" x14ac:dyDescent="0.2">
      <c r="B14" s="143" t="s">
        <v>377</v>
      </c>
      <c r="C14" s="150">
        <f>Model!$AF$87</f>
        <v>0.15076642871831036</v>
      </c>
      <c r="D14" s="221">
        <v>0.1</v>
      </c>
      <c r="E14" s="221">
        <v>0.09</v>
      </c>
      <c r="F14" s="221">
        <v>0.08</v>
      </c>
      <c r="G14" s="221">
        <v>7.0000000000000007E-2</v>
      </c>
      <c r="H14" s="221">
        <v>0.06</v>
      </c>
      <c r="I14" s="221">
        <v>0.05</v>
      </c>
      <c r="J14" s="221">
        <v>0.05</v>
      </c>
      <c r="K14" s="221">
        <v>0.04</v>
      </c>
      <c r="L14" s="221">
        <v>0.04</v>
      </c>
      <c r="M14" s="221">
        <v>0.04</v>
      </c>
      <c r="O14" s="146">
        <f>C4</f>
        <v>0.03</v>
      </c>
      <c r="R14" s="227" t="s">
        <v>468</v>
      </c>
      <c r="S14" s="227" t="s">
        <v>466</v>
      </c>
    </row>
    <row r="15" spans="2:19" ht="12" x14ac:dyDescent="0.2">
      <c r="B15" s="143" t="s">
        <v>376</v>
      </c>
      <c r="C15" s="151">
        <f>Model!$AF$86</f>
        <v>979331</v>
      </c>
      <c r="D15" s="222">
        <f>C15*(1+D14)</f>
        <v>1077264.1000000001</v>
      </c>
      <c r="E15" s="151">
        <f>D15*(1+E14)</f>
        <v>1174217.8690000002</v>
      </c>
      <c r="F15" s="151">
        <f t="shared" ref="F15:M15" si="1">E15*(1+F14)</f>
        <v>1268155.2985200002</v>
      </c>
      <c r="G15" s="151">
        <f t="shared" si="1"/>
        <v>1356926.1694164004</v>
      </c>
      <c r="H15" s="151">
        <f t="shared" si="1"/>
        <v>1438341.7395813845</v>
      </c>
      <c r="I15" s="151">
        <f t="shared" si="1"/>
        <v>1510258.8265604537</v>
      </c>
      <c r="J15" s="151">
        <f t="shared" si="1"/>
        <v>1585771.7678884766</v>
      </c>
      <c r="K15" s="151">
        <f t="shared" si="1"/>
        <v>1649202.6386040158</v>
      </c>
      <c r="L15" s="151">
        <f t="shared" si="1"/>
        <v>1715170.7441481764</v>
      </c>
      <c r="M15" s="151">
        <f t="shared" si="1"/>
        <v>1783777.5739141034</v>
      </c>
      <c r="O15" s="154">
        <f>M15*(1+O14)</f>
        <v>1837290.9011315266</v>
      </c>
      <c r="R15" s="227"/>
      <c r="S15" s="227"/>
    </row>
    <row r="16" spans="2:19" ht="12" x14ac:dyDescent="0.2">
      <c r="B16" s="152" t="s">
        <v>375</v>
      </c>
      <c r="C16" s="293">
        <f>Model!$AF$111</f>
        <v>7.0267355980766458E-2</v>
      </c>
      <c r="D16" s="294">
        <f>Model!AL111</f>
        <v>8.2666666666666666E-2</v>
      </c>
      <c r="E16" s="294">
        <f>Model!AM111</f>
        <v>0.10642001787310101</v>
      </c>
      <c r="F16" s="294">
        <f>Model!AN111</f>
        <v>0.10655780821570289</v>
      </c>
      <c r="G16" s="294">
        <f>Model!AO111</f>
        <v>0.11121982050110123</v>
      </c>
      <c r="H16" s="294">
        <v>0.14000000000000001</v>
      </c>
      <c r="I16" s="294">
        <v>0.15</v>
      </c>
      <c r="J16" s="294">
        <v>0.16</v>
      </c>
      <c r="K16" s="294">
        <v>0.16</v>
      </c>
      <c r="L16" s="294">
        <v>0.16</v>
      </c>
      <c r="M16" s="294">
        <v>0.16</v>
      </c>
      <c r="N16" s="323"/>
      <c r="O16" s="294">
        <v>0.16</v>
      </c>
      <c r="R16" s="227"/>
      <c r="S16" s="227" t="s">
        <v>469</v>
      </c>
    </row>
    <row r="17" spans="2:19" ht="14.25" x14ac:dyDescent="0.35">
      <c r="B17" s="143" t="s">
        <v>374</v>
      </c>
      <c r="C17" s="153">
        <f>Model!AF110</f>
        <v>68815</v>
      </c>
      <c r="D17" s="223">
        <f>D15*D16</f>
        <v>89053.832266666679</v>
      </c>
      <c r="E17" s="223">
        <f t="shared" ref="E17:O17" si="2">E15*E16</f>
        <v>124960.28660589461</v>
      </c>
      <c r="F17" s="223">
        <f t="shared" si="2"/>
        <v>135131.84908742164</v>
      </c>
      <c r="G17" s="223">
        <f t="shared" si="2"/>
        <v>150917.08499573893</v>
      </c>
      <c r="H17" s="223">
        <f t="shared" si="2"/>
        <v>201367.84354139384</v>
      </c>
      <c r="I17" s="223">
        <f t="shared" si="2"/>
        <v>226538.82398406806</v>
      </c>
      <c r="J17" s="223">
        <f t="shared" si="2"/>
        <v>253723.48286215626</v>
      </c>
      <c r="K17" s="223">
        <f t="shared" si="2"/>
        <v>263872.42217664252</v>
      </c>
      <c r="L17" s="223">
        <f t="shared" si="2"/>
        <v>274427.31906370824</v>
      </c>
      <c r="M17" s="223">
        <f t="shared" si="2"/>
        <v>285404.41182625655</v>
      </c>
      <c r="O17" s="223">
        <f t="shared" si="2"/>
        <v>293966.54418104427</v>
      </c>
      <c r="R17" s="227"/>
      <c r="S17" s="227"/>
    </row>
    <row r="18" spans="2:19" ht="12" x14ac:dyDescent="0.2">
      <c r="B18" s="152" t="s">
        <v>373</v>
      </c>
      <c r="C18" s="318">
        <f t="shared" ref="C18:O18" si="3">C17*(1-$C$8)</f>
        <v>56841.19</v>
      </c>
      <c r="D18" s="318">
        <f t="shared" si="3"/>
        <v>73558.465452266682</v>
      </c>
      <c r="E18" s="318">
        <f t="shared" si="3"/>
        <v>103217.19673646896</v>
      </c>
      <c r="F18" s="318">
        <f t="shared" si="3"/>
        <v>111618.90734621028</v>
      </c>
      <c r="G18" s="318">
        <f t="shared" si="3"/>
        <v>124657.51220648037</v>
      </c>
      <c r="H18" s="318">
        <f t="shared" si="3"/>
        <v>166329.83876519132</v>
      </c>
      <c r="I18" s="318">
        <f t="shared" si="3"/>
        <v>187121.06861084024</v>
      </c>
      <c r="J18" s="318">
        <f t="shared" si="3"/>
        <v>209575.59684414108</v>
      </c>
      <c r="K18" s="318">
        <f t="shared" si="3"/>
        <v>217958.62071790674</v>
      </c>
      <c r="L18" s="318">
        <f t="shared" si="3"/>
        <v>226676.96554662302</v>
      </c>
      <c r="M18" s="318">
        <f t="shared" si="3"/>
        <v>235744.04416848792</v>
      </c>
      <c r="N18" s="152"/>
      <c r="O18" s="318">
        <f t="shared" si="3"/>
        <v>242816.3654935426</v>
      </c>
      <c r="R18" s="227"/>
      <c r="S18" s="227"/>
    </row>
    <row r="19" spans="2:19" ht="12" x14ac:dyDescent="0.2">
      <c r="B19" s="143" t="s">
        <v>372</v>
      </c>
      <c r="C19" s="24">
        <f>C20/C18</f>
        <v>-0.15574973008130194</v>
      </c>
      <c r="D19" s="24">
        <f t="shared" ref="D19:O19" si="4">D20/D18</f>
        <v>1.4959147167451587</v>
      </c>
      <c r="E19" s="24">
        <f t="shared" si="4"/>
        <v>0</v>
      </c>
      <c r="F19" s="24">
        <f t="shared" si="4"/>
        <v>8.4159065657785623E-2</v>
      </c>
      <c r="G19" s="24">
        <f t="shared" si="4"/>
        <v>8.9014762653615465E-2</v>
      </c>
      <c r="H19" s="24">
        <f t="shared" si="4"/>
        <v>9.7896529894337073E-2</v>
      </c>
      <c r="I19" s="24">
        <f t="shared" si="4"/>
        <v>0.12811150825678677</v>
      </c>
      <c r="J19" s="24">
        <f t="shared" si="4"/>
        <v>7.2062723394442682E-2</v>
      </c>
      <c r="K19" s="24">
        <f t="shared" si="4"/>
        <v>9.7007512261749751E-2</v>
      </c>
      <c r="L19" s="24">
        <f t="shared" si="4"/>
        <v>0.19401502452349895</v>
      </c>
      <c r="M19" s="24">
        <f t="shared" si="4"/>
        <v>0.30633951240552487</v>
      </c>
      <c r="O19" s="24">
        <f t="shared" si="4"/>
        <v>7.5991328756748976E-4</v>
      </c>
      <c r="R19" s="227"/>
      <c r="S19" s="227" t="s">
        <v>470</v>
      </c>
    </row>
    <row r="20" spans="2:19" ht="12" x14ac:dyDescent="0.2">
      <c r="B20" s="143" t="s">
        <v>371</v>
      </c>
      <c r="C20" s="154">
        <f>-Model!AF357</f>
        <v>-8853</v>
      </c>
      <c r="D20" s="154">
        <f>(D15-C15)/D27</f>
        <v>110037.19101123606</v>
      </c>
      <c r="E20" s="154">
        <v>0</v>
      </c>
      <c r="F20" s="154">
        <f t="shared" ref="F20:M20" si="5">(F15-E15)/F27</f>
        <v>9393.7429520000005</v>
      </c>
      <c r="G20" s="154">
        <f t="shared" si="5"/>
        <v>11096.358862050023</v>
      </c>
      <c r="H20" s="154">
        <f t="shared" si="5"/>
        <v>16283.114032996818</v>
      </c>
      <c r="I20" s="154">
        <f t="shared" si="5"/>
        <v>23972.362326356426</v>
      </c>
      <c r="J20" s="154">
        <f t="shared" si="5"/>
        <v>15102.588265604572</v>
      </c>
      <c r="K20" s="154">
        <f t="shared" si="5"/>
        <v>21143.623571846401</v>
      </c>
      <c r="L20" s="154">
        <f t="shared" si="5"/>
        <v>43978.737029440388</v>
      </c>
      <c r="M20" s="154">
        <f t="shared" si="5"/>
        <v>72217.715543081111</v>
      </c>
      <c r="O20" s="154">
        <f>(O15-M15)/O27</f>
        <v>184.51938257738715</v>
      </c>
      <c r="R20" s="227"/>
      <c r="S20" s="227"/>
    </row>
    <row r="21" spans="2:19" ht="12" x14ac:dyDescent="0.2">
      <c r="B21" s="152" t="s">
        <v>370</v>
      </c>
      <c r="C21" s="209">
        <f t="shared" ref="C21:H21" si="6">C18-C20</f>
        <v>65694.19</v>
      </c>
      <c r="D21" s="209">
        <f t="shared" si="6"/>
        <v>-36478.725558969381</v>
      </c>
      <c r="E21" s="163">
        <f t="shared" si="6"/>
        <v>103217.19673646896</v>
      </c>
      <c r="F21" s="163">
        <f t="shared" si="6"/>
        <v>102225.16439421028</v>
      </c>
      <c r="G21" s="163">
        <f t="shared" si="6"/>
        <v>113561.15334443035</v>
      </c>
      <c r="H21" s="163">
        <f t="shared" si="6"/>
        <v>150046.7247321945</v>
      </c>
      <c r="I21" s="163">
        <f t="shared" ref="I21:O21" si="7">I18-I20</f>
        <v>163148.70628448381</v>
      </c>
      <c r="J21" s="163">
        <f t="shared" si="7"/>
        <v>194473.00857853651</v>
      </c>
      <c r="K21" s="163">
        <f t="shared" si="7"/>
        <v>196814.99714606034</v>
      </c>
      <c r="L21" s="163">
        <f t="shared" si="7"/>
        <v>182698.22851718264</v>
      </c>
      <c r="M21" s="163">
        <f t="shared" si="7"/>
        <v>163526.32862540681</v>
      </c>
      <c r="O21" s="163">
        <f t="shared" si="7"/>
        <v>242631.84611096521</v>
      </c>
      <c r="R21" s="227"/>
      <c r="S21" s="227"/>
    </row>
    <row r="22" spans="2:19" ht="12" x14ac:dyDescent="0.2">
      <c r="B22" s="156" t="s">
        <v>391</v>
      </c>
      <c r="C22" s="33"/>
      <c r="D22" s="164">
        <f>D21/C21-1</f>
        <v>-1.5552808484124605</v>
      </c>
      <c r="E22" s="164">
        <f t="shared" ref="E22:M22" si="8">E21/D21-1</f>
        <v>-3.8295176203350101</v>
      </c>
      <c r="F22" s="164">
        <f t="shared" si="8"/>
        <v>-9.6111149461993728E-3</v>
      </c>
      <c r="G22" s="164">
        <f t="shared" si="8"/>
        <v>0.11089235236154926</v>
      </c>
      <c r="H22" s="164">
        <f t="shared" si="8"/>
        <v>0.32128567131670116</v>
      </c>
      <c r="I22" s="164">
        <f t="shared" si="8"/>
        <v>8.731934386221285E-2</v>
      </c>
      <c r="J22" s="164">
        <f t="shared" si="8"/>
        <v>0.19199847186916852</v>
      </c>
      <c r="K22" s="164">
        <f t="shared" si="8"/>
        <v>1.2042743538767331E-2</v>
      </c>
      <c r="L22" s="164">
        <f t="shared" si="8"/>
        <v>-7.1726082024132332E-2</v>
      </c>
      <c r="M22" s="164">
        <f t="shared" si="8"/>
        <v>-0.10493752483195384</v>
      </c>
      <c r="O22" s="164">
        <f>O21/M21-1</f>
        <v>0.48374789644282346</v>
      </c>
    </row>
    <row r="23" spans="2:19" ht="12" x14ac:dyDescent="0.2">
      <c r="B23" s="156" t="s">
        <v>495</v>
      </c>
      <c r="C23" s="33"/>
      <c r="D23" s="292">
        <v>7.0000000000000007E-2</v>
      </c>
      <c r="E23" s="164">
        <f>D23</f>
        <v>7.0000000000000007E-2</v>
      </c>
      <c r="F23" s="164">
        <f>E23</f>
        <v>7.0000000000000007E-2</v>
      </c>
      <c r="G23" s="164">
        <f t="shared" ref="G23:H23" si="9">F23</f>
        <v>7.0000000000000007E-2</v>
      </c>
      <c r="H23" s="164">
        <f t="shared" si="9"/>
        <v>7.0000000000000007E-2</v>
      </c>
      <c r="I23" s="164">
        <f>H23-($H$23-$M$23)/5</f>
        <v>7.0000000000000007E-2</v>
      </c>
      <c r="J23" s="164">
        <f t="shared" ref="J23:L23" si="10">I23-($H$23-$M$23)/5</f>
        <v>7.0000000000000007E-2</v>
      </c>
      <c r="K23" s="164">
        <f t="shared" si="10"/>
        <v>7.0000000000000007E-2</v>
      </c>
      <c r="L23" s="164">
        <f t="shared" si="10"/>
        <v>7.0000000000000007E-2</v>
      </c>
      <c r="M23" s="164">
        <v>7.0000000000000007E-2</v>
      </c>
      <c r="O23" s="213">
        <f>M23</f>
        <v>7.0000000000000007E-2</v>
      </c>
    </row>
    <row r="24" spans="2:19" s="141" customFormat="1" ht="12" x14ac:dyDescent="0.2">
      <c r="B24" s="141" t="s">
        <v>369</v>
      </c>
      <c r="D24" s="142">
        <f t="shared" ref="D24:M24" si="11">1/((1+D23)^D12)</f>
        <v>0.93457943925233644</v>
      </c>
      <c r="E24" s="142">
        <f t="shared" si="11"/>
        <v>0.87343872827321156</v>
      </c>
      <c r="F24" s="142">
        <f t="shared" si="11"/>
        <v>0.81629787689085187</v>
      </c>
      <c r="G24" s="142">
        <f t="shared" si="11"/>
        <v>0.7628952120475252</v>
      </c>
      <c r="H24" s="142">
        <f t="shared" si="11"/>
        <v>0.71298617948366838</v>
      </c>
      <c r="I24" s="142">
        <f t="shared" si="11"/>
        <v>0.66634222381651254</v>
      </c>
      <c r="J24" s="142">
        <f t="shared" si="11"/>
        <v>0.62274974188459109</v>
      </c>
      <c r="K24" s="142">
        <f t="shared" si="11"/>
        <v>0.5820091045650384</v>
      </c>
      <c r="L24" s="142">
        <f t="shared" si="11"/>
        <v>0.54393374258414806</v>
      </c>
      <c r="M24" s="142">
        <f t="shared" si="11"/>
        <v>0.5083492921347178</v>
      </c>
      <c r="N24" s="143"/>
      <c r="O24" s="142">
        <f>1/((1+O23)^O12)</f>
        <v>1</v>
      </c>
    </row>
    <row r="25" spans="2:19" ht="12.75" thickBot="1" x14ac:dyDescent="0.25">
      <c r="B25" s="155" t="s">
        <v>368</v>
      </c>
      <c r="C25" s="155"/>
      <c r="D25" s="284">
        <f t="shared" ref="D25:M25" si="12">D21*D24</f>
        <v>-34092.266877541479</v>
      </c>
      <c r="E25" s="284">
        <f t="shared" si="12"/>
        <v>90153.897053427339</v>
      </c>
      <c r="F25" s="284">
        <f t="shared" si="12"/>
        <v>83446.184659812163</v>
      </c>
      <c r="G25" s="284">
        <f t="shared" si="12"/>
        <v>86635.260161060723</v>
      </c>
      <c r="H25" s="284">
        <f t="shared" si="12"/>
        <v>106981.24101084501</v>
      </c>
      <c r="I25" s="284">
        <f t="shared" si="12"/>
        <v>108712.87175838997</v>
      </c>
      <c r="J25" s="284">
        <f t="shared" si="12"/>
        <v>121108.01589580347</v>
      </c>
      <c r="K25" s="284">
        <f t="shared" si="12"/>
        <v>114548.12025394916</v>
      </c>
      <c r="L25" s="284">
        <f t="shared" si="12"/>
        <v>99375.731200845083</v>
      </c>
      <c r="M25" s="284">
        <f t="shared" si="12"/>
        <v>83128.493402114793</v>
      </c>
      <c r="O25" s="284">
        <f>O21*O24</f>
        <v>242631.84611096521</v>
      </c>
      <c r="R25" s="285"/>
    </row>
    <row r="26" spans="2:19" ht="12.75" thickTop="1" x14ac:dyDescent="0.2">
      <c r="D26" s="291"/>
      <c r="E26" s="24">
        <f t="shared" ref="E26:M26" si="13">E20/E15</f>
        <v>0</v>
      </c>
      <c r="F26" s="24">
        <f t="shared" si="13"/>
        <v>7.4074074074074068E-3</v>
      </c>
      <c r="G26" s="24">
        <f t="shared" si="13"/>
        <v>8.1775700934579587E-3</v>
      </c>
      <c r="H26" s="24">
        <f t="shared" si="13"/>
        <v>1.1320754716981142E-2</v>
      </c>
      <c r="I26" s="24">
        <f t="shared" si="13"/>
        <v>1.5873015873015886E-2</v>
      </c>
      <c r="J26" s="24">
        <f t="shared" si="13"/>
        <v>9.5238095238095455E-3</v>
      </c>
      <c r="K26" s="24">
        <f t="shared" si="13"/>
        <v>1.2820512820512848E-2</v>
      </c>
      <c r="L26" s="24">
        <f t="shared" si="13"/>
        <v>2.5641025641025623E-2</v>
      </c>
      <c r="M26" s="24">
        <f t="shared" si="13"/>
        <v>4.048582995951417E-2</v>
      </c>
    </row>
    <row r="27" spans="2:19" ht="12" x14ac:dyDescent="0.2">
      <c r="B27" s="143" t="s">
        <v>489</v>
      </c>
      <c r="C27" s="322">
        <f>C15/C28</f>
        <v>0.89153041057531157</v>
      </c>
      <c r="D27" s="322">
        <v>0.89</v>
      </c>
      <c r="E27" s="313" t="s">
        <v>400</v>
      </c>
      <c r="F27" s="313">
        <v>10</v>
      </c>
      <c r="G27" s="313">
        <v>8</v>
      </c>
      <c r="H27" s="313">
        <v>5</v>
      </c>
      <c r="I27" s="313">
        <v>3</v>
      </c>
      <c r="J27" s="313">
        <v>5</v>
      </c>
      <c r="K27" s="313">
        <v>3</v>
      </c>
      <c r="L27" s="313">
        <v>1.5</v>
      </c>
      <c r="M27" s="313">
        <v>0.95</v>
      </c>
      <c r="O27" s="313">
        <f>AVERAGE([2]Model!$V$255,[3]Model!$C$203,[1]Model!$I$244,Model!$AF$350)</f>
        <v>290.01466658918457</v>
      </c>
    </row>
    <row r="28" spans="2:19" ht="12" x14ac:dyDescent="0.2">
      <c r="B28" s="143" t="s">
        <v>411</v>
      </c>
      <c r="C28" s="8">
        <f>Model!AF341</f>
        <v>1098483</v>
      </c>
      <c r="D28" s="154">
        <f t="shared" ref="D28:M28" si="14">C28+D20</f>
        <v>1208520.191011236</v>
      </c>
      <c r="E28" s="154">
        <f t="shared" si="14"/>
        <v>1208520.191011236</v>
      </c>
      <c r="F28" s="154">
        <f t="shared" si="14"/>
        <v>1217913.9339632359</v>
      </c>
      <c r="G28" s="154">
        <f t="shared" si="14"/>
        <v>1229010.292825286</v>
      </c>
      <c r="H28" s="154">
        <f t="shared" si="14"/>
        <v>1245293.4068582829</v>
      </c>
      <c r="I28" s="154">
        <f t="shared" si="14"/>
        <v>1269265.7691846392</v>
      </c>
      <c r="J28" s="154">
        <f t="shared" si="14"/>
        <v>1284368.3574502438</v>
      </c>
      <c r="K28" s="154">
        <f t="shared" si="14"/>
        <v>1305511.9810220902</v>
      </c>
      <c r="L28" s="154">
        <f t="shared" si="14"/>
        <v>1349490.7180515307</v>
      </c>
      <c r="M28" s="154">
        <f t="shared" si="14"/>
        <v>1421708.4335946117</v>
      </c>
      <c r="O28" s="154">
        <f>M28+O20</f>
        <v>1421892.9529771891</v>
      </c>
      <c r="P28" s="318">
        <f>M28-C28</f>
        <v>323225.43359461171</v>
      </c>
    </row>
    <row r="29" spans="2:19" ht="12.75" thickBot="1" x14ac:dyDescent="0.25">
      <c r="B29" s="311" t="s">
        <v>490</v>
      </c>
      <c r="C29" s="312">
        <f t="shared" ref="C29:M29" si="15">C18/C28</f>
        <v>5.1745170384976377E-2</v>
      </c>
      <c r="D29" s="312">
        <f t="shared" si="15"/>
        <v>6.0866558953157603E-2</v>
      </c>
      <c r="E29" s="312">
        <f t="shared" si="15"/>
        <v>8.5407920781283259E-2</v>
      </c>
      <c r="F29" s="312">
        <f t="shared" si="15"/>
        <v>9.1647615019058992E-2</v>
      </c>
      <c r="G29" s="312">
        <f t="shared" si="15"/>
        <v>0.10142918487681166</v>
      </c>
      <c r="H29" s="312">
        <f t="shared" si="15"/>
        <v>0.13356678662968302</v>
      </c>
      <c r="I29" s="312">
        <f t="shared" si="15"/>
        <v>0.14742465538249291</v>
      </c>
      <c r="J29" s="312">
        <f t="shared" si="15"/>
        <v>0.1631740579939194</v>
      </c>
      <c r="K29" s="312">
        <f t="shared" si="15"/>
        <v>0.16695260088480085</v>
      </c>
      <c r="L29" s="312">
        <f t="shared" si="15"/>
        <v>0.16797223020096927</v>
      </c>
      <c r="M29" s="312">
        <f t="shared" si="15"/>
        <v>0.16581743386893938</v>
      </c>
      <c r="O29" s="312">
        <f>O18/O28</f>
        <v>0.17076979317263555</v>
      </c>
    </row>
    <row r="31" spans="2:19" x14ac:dyDescent="0.25">
      <c r="B31" s="143" t="s">
        <v>367</v>
      </c>
      <c r="C31" s="151">
        <f>SUM(C25:M25)</f>
        <v>859997.54851870635</v>
      </c>
    </row>
    <row r="32" spans="2:19" x14ac:dyDescent="0.25">
      <c r="B32" s="156" t="s">
        <v>366</v>
      </c>
      <c r="C32" s="151">
        <f>M21</f>
        <v>163526.32862540681</v>
      </c>
      <c r="D32" s="168"/>
      <c r="E32" s="169"/>
      <c r="F32" s="169"/>
      <c r="G32" s="169"/>
      <c r="H32" s="169"/>
    </row>
    <row r="33" spans="2:18" x14ac:dyDescent="0.25">
      <c r="B33" s="156" t="s">
        <v>365</v>
      </c>
      <c r="C33" s="157">
        <f>O23</f>
        <v>7.0000000000000007E-2</v>
      </c>
      <c r="D33" s="170"/>
      <c r="E33" s="171"/>
      <c r="F33" s="171"/>
      <c r="G33" s="171"/>
      <c r="H33" s="171"/>
    </row>
    <row r="34" spans="2:18" x14ac:dyDescent="0.25">
      <c r="B34" s="156" t="s">
        <v>364</v>
      </c>
      <c r="C34" s="151">
        <f>C32/(C33-C4)</f>
        <v>4088158.2156351693</v>
      </c>
      <c r="D34" s="170"/>
      <c r="E34" s="171"/>
      <c r="F34" s="171"/>
      <c r="G34" s="171"/>
      <c r="H34" s="171"/>
    </row>
    <row r="35" spans="2:18" ht="16.5" x14ac:dyDescent="0.35">
      <c r="B35" s="143" t="s">
        <v>363</v>
      </c>
      <c r="C35" s="153">
        <f>C34*M24</f>
        <v>2078212.3350528693</v>
      </c>
      <c r="D35" s="170"/>
      <c r="E35" s="171"/>
      <c r="F35" s="171"/>
      <c r="G35" s="171"/>
      <c r="H35" s="171"/>
    </row>
    <row r="36" spans="2:18" x14ac:dyDescent="0.25">
      <c r="B36" s="152" t="s">
        <v>362</v>
      </c>
      <c r="C36" s="158">
        <f>C35+C31</f>
        <v>2938209.8835715754</v>
      </c>
      <c r="D36" s="170"/>
      <c r="E36" s="210"/>
      <c r="F36" s="165"/>
      <c r="G36" s="165"/>
      <c r="H36" s="165"/>
    </row>
    <row r="37" spans="2:18" x14ac:dyDescent="0.25">
      <c r="B37" s="143" t="s">
        <v>361</v>
      </c>
      <c r="C37" s="145">
        <v>0.01</v>
      </c>
      <c r="D37" s="170"/>
      <c r="E37" s="165"/>
      <c r="F37" s="210"/>
      <c r="G37" s="165"/>
      <c r="H37" s="165"/>
    </row>
    <row r="38" spans="2:18" x14ac:dyDescent="0.25">
      <c r="B38" s="143" t="s">
        <v>455</v>
      </c>
      <c r="C38" s="151">
        <f>Model!$AF$178*0.5</f>
        <v>498917</v>
      </c>
      <c r="D38" s="170"/>
      <c r="E38" s="165"/>
      <c r="F38" s="165"/>
      <c r="G38" s="210"/>
      <c r="H38" s="210"/>
    </row>
    <row r="39" spans="2:18" x14ac:dyDescent="0.25">
      <c r="B39" s="152" t="s">
        <v>360</v>
      </c>
      <c r="C39" s="158">
        <f>C36*(1-C37)+C38*C37</f>
        <v>2913816.9547358598</v>
      </c>
      <c r="D39" s="287"/>
      <c r="E39" s="215"/>
      <c r="F39" s="215"/>
      <c r="G39" s="215"/>
      <c r="H39" s="215"/>
    </row>
    <row r="40" spans="2:18" x14ac:dyDescent="0.25">
      <c r="B40" s="143" t="s">
        <v>343</v>
      </c>
      <c r="C40" s="151">
        <f>Main!$C$11</f>
        <v>152343</v>
      </c>
    </row>
    <row r="41" spans="2:18" x14ac:dyDescent="0.25">
      <c r="B41" s="143" t="s">
        <v>359</v>
      </c>
      <c r="C41" s="151">
        <f>C39-C40</f>
        <v>2761473.9547358598</v>
      </c>
      <c r="D41" s="215"/>
      <c r="E41" s="213"/>
      <c r="F41" s="213"/>
      <c r="G41" s="213"/>
      <c r="H41" s="213"/>
      <c r="R41" s="213"/>
    </row>
    <row r="42" spans="2:18" x14ac:dyDescent="0.25">
      <c r="B42" s="143" t="s">
        <v>358</v>
      </c>
      <c r="C42" s="151">
        <v>0</v>
      </c>
      <c r="D42" s="157"/>
      <c r="E42" s="165"/>
      <c r="F42" s="165"/>
      <c r="G42" s="165"/>
      <c r="H42" s="165"/>
      <c r="R42" s="165"/>
    </row>
    <row r="43" spans="2:18" x14ac:dyDescent="0.25">
      <c r="B43" s="143" t="s">
        <v>357</v>
      </c>
      <c r="C43" s="151">
        <f>C41-C42</f>
        <v>2761473.9547358598</v>
      </c>
      <c r="D43" s="213"/>
      <c r="E43" s="165"/>
      <c r="F43" s="165"/>
      <c r="G43" s="165"/>
      <c r="H43" s="165"/>
      <c r="R43" s="165"/>
    </row>
    <row r="44" spans="2:18" ht="15.75" thickBot="1" x14ac:dyDescent="0.3">
      <c r="B44" s="143" t="s">
        <v>356</v>
      </c>
      <c r="C44" s="151">
        <f>Main!$C$5</f>
        <v>62526.631999999998</v>
      </c>
      <c r="D44" s="157"/>
      <c r="E44" s="165"/>
      <c r="F44" s="165"/>
      <c r="G44" s="165"/>
      <c r="H44" s="165"/>
      <c r="R44" s="165"/>
    </row>
    <row r="45" spans="2:18" ht="15.75" thickBot="1" x14ac:dyDescent="0.3">
      <c r="B45" s="159" t="s">
        <v>355</v>
      </c>
      <c r="C45" s="160">
        <f>(C43/C44)*C6</f>
        <v>41.514878291408827</v>
      </c>
      <c r="D45" s="213"/>
      <c r="E45" s="165"/>
      <c r="F45" s="165"/>
      <c r="G45" s="165"/>
      <c r="H45" s="165"/>
      <c r="R45" s="165"/>
    </row>
    <row r="46" spans="2:18" ht="15.75" thickBot="1" x14ac:dyDescent="0.3">
      <c r="B46" s="316" t="s">
        <v>522</v>
      </c>
      <c r="C46" s="317">
        <f ca="1">C45/Main!C3-1</f>
        <v>0.95364133136041529</v>
      </c>
      <c r="D46" s="157"/>
      <c r="E46" s="165"/>
      <c r="F46" s="165"/>
      <c r="G46" s="165"/>
      <c r="H46" s="165"/>
      <c r="R46" s="165"/>
    </row>
    <row r="47" spans="2:18" x14ac:dyDescent="0.25">
      <c r="C47" s="24"/>
      <c r="D47" s="157"/>
      <c r="E47" s="165"/>
      <c r="F47" s="165"/>
      <c r="G47" s="165"/>
      <c r="H47" s="165"/>
      <c r="R47" s="165"/>
    </row>
    <row r="48" spans="2:18" x14ac:dyDescent="0.25">
      <c r="B48" s="143" t="s">
        <v>497</v>
      </c>
      <c r="D48" s="154">
        <f>C28</f>
        <v>1098483</v>
      </c>
      <c r="E48" s="165"/>
      <c r="F48" s="165"/>
      <c r="G48" s="165"/>
      <c r="H48" s="165"/>
      <c r="R48" s="165"/>
    </row>
    <row r="49" spans="2:18" ht="16.5" x14ac:dyDescent="0.35">
      <c r="B49" s="143" t="s">
        <v>498</v>
      </c>
      <c r="D49" s="295">
        <f>M28</f>
        <v>1421708.4335946117</v>
      </c>
      <c r="E49" s="165"/>
      <c r="F49" s="165"/>
      <c r="G49" s="165"/>
      <c r="H49" s="165"/>
      <c r="R49" s="165"/>
    </row>
    <row r="50" spans="2:18" x14ac:dyDescent="0.25">
      <c r="B50" s="143" t="s">
        <v>499</v>
      </c>
      <c r="D50" s="154">
        <f>D49-D48</f>
        <v>323225.43359461171</v>
      </c>
      <c r="E50" s="165"/>
      <c r="F50" s="165"/>
      <c r="G50" s="165"/>
      <c r="H50" s="165"/>
      <c r="R50" s="165"/>
    </row>
    <row r="51" spans="2:18" x14ac:dyDescent="0.25">
      <c r="B51" s="143" t="s">
        <v>500</v>
      </c>
      <c r="D51" s="154">
        <f>M18-C18</f>
        <v>178902.85416848792</v>
      </c>
    </row>
    <row r="52" spans="2:18" x14ac:dyDescent="0.25">
      <c r="B52" s="143" t="s">
        <v>501</v>
      </c>
      <c r="D52" s="24">
        <f>D51/D50</f>
        <v>0.55349250267498229</v>
      </c>
    </row>
    <row r="53" spans="2:18" x14ac:dyDescent="0.25">
      <c r="B53" s="143" t="s">
        <v>502</v>
      </c>
      <c r="D53" s="213">
        <f>M29</f>
        <v>0.16581743386893938</v>
      </c>
    </row>
    <row r="54" spans="2:18" x14ac:dyDescent="0.25">
      <c r="B54" s="143" t="s">
        <v>503</v>
      </c>
      <c r="D54" s="24">
        <v>0.08</v>
      </c>
    </row>
    <row r="56" spans="2:18" x14ac:dyDescent="0.25">
      <c r="B56" s="309"/>
      <c r="C56" s="305" t="s">
        <v>505</v>
      </c>
      <c r="D56" s="305" t="s">
        <v>506</v>
      </c>
      <c r="E56" s="305" t="s">
        <v>507</v>
      </c>
      <c r="F56" s="305"/>
      <c r="G56" s="305" t="s">
        <v>508</v>
      </c>
      <c r="H56" s="305" t="s">
        <v>516</v>
      </c>
    </row>
    <row r="57" spans="2:18" x14ac:dyDescent="0.25">
      <c r="B57" s="296" t="s">
        <v>504</v>
      </c>
      <c r="C57" s="297">
        <f>C15/1000</f>
        <v>979.33100000000002</v>
      </c>
      <c r="D57" s="298">
        <f>((H15/D15)^(1/(H12-D12))-1)</f>
        <v>7.4941856880114788E-2</v>
      </c>
      <c r="E57" s="298">
        <f>((M15/I15)^(1/(M12-I12))-1)</f>
        <v>4.2491035806741406E-2</v>
      </c>
      <c r="F57" s="296"/>
      <c r="G57" s="299">
        <f>C4</f>
        <v>0.03</v>
      </c>
      <c r="H57" s="319"/>
    </row>
    <row r="58" spans="2:18" x14ac:dyDescent="0.25">
      <c r="B58" s="296" t="s">
        <v>509</v>
      </c>
      <c r="C58" s="300">
        <f>C16</f>
        <v>7.0267355980766458E-2</v>
      </c>
      <c r="D58" s="300">
        <f>AVERAGE(D16:H16)</f>
        <v>0.10937286265131436</v>
      </c>
      <c r="E58" s="300">
        <f>AVERAGE(I16:M16)</f>
        <v>0.158</v>
      </c>
      <c r="F58" s="296"/>
      <c r="G58" s="300">
        <f>O16</f>
        <v>0.16</v>
      </c>
      <c r="H58" s="319"/>
    </row>
    <row r="59" spans="2:18" x14ac:dyDescent="0.25">
      <c r="B59" s="296" t="s">
        <v>510</v>
      </c>
      <c r="C59" s="300">
        <f>$C$8</f>
        <v>0.17399999999999999</v>
      </c>
      <c r="D59" s="300">
        <f t="shared" ref="D59:G59" si="16">$C$8</f>
        <v>0.17399999999999999</v>
      </c>
      <c r="E59" s="300">
        <f t="shared" si="16"/>
        <v>0.17399999999999999</v>
      </c>
      <c r="F59" s="296"/>
      <c r="G59" s="300">
        <f t="shared" si="16"/>
        <v>0.17399999999999999</v>
      </c>
      <c r="H59" s="319"/>
    </row>
    <row r="60" spans="2:18" x14ac:dyDescent="0.25">
      <c r="B60" s="314"/>
      <c r="D60" s="143" t="s">
        <v>511</v>
      </c>
      <c r="E60" s="310">
        <f>AVERAGE(D27:M27)</f>
        <v>4.1488888888888891</v>
      </c>
      <c r="H60" s="320"/>
    </row>
    <row r="61" spans="2:18" x14ac:dyDescent="0.25">
      <c r="B61" s="314" t="s">
        <v>512</v>
      </c>
      <c r="C61" s="213">
        <f>C29</f>
        <v>5.1745170384976377E-2</v>
      </c>
      <c r="D61" s="143" t="s">
        <v>513</v>
      </c>
      <c r="E61" s="213">
        <f>D52</f>
        <v>0.55349250267498229</v>
      </c>
      <c r="H61" s="320"/>
    </row>
    <row r="62" spans="2:18" x14ac:dyDescent="0.25">
      <c r="B62" s="296" t="s">
        <v>495</v>
      </c>
      <c r="C62" s="296"/>
      <c r="D62" s="300">
        <f>AVERAGE(D23:H23)</f>
        <v>7.0000000000000007E-2</v>
      </c>
      <c r="E62" s="300">
        <f>AVERAGE(I23:M23)</f>
        <v>7.0000000000000007E-2</v>
      </c>
      <c r="F62" s="296"/>
      <c r="G62" s="300">
        <f>O23</f>
        <v>7.0000000000000007E-2</v>
      </c>
      <c r="H62" s="319"/>
    </row>
    <row r="64" spans="2:18" x14ac:dyDescent="0.25">
      <c r="B64" s="309"/>
      <c r="C64" s="305" t="s">
        <v>504</v>
      </c>
      <c r="D64" s="305" t="s">
        <v>515</v>
      </c>
      <c r="E64" s="305" t="s">
        <v>374</v>
      </c>
      <c r="F64" s="305" t="s">
        <v>373</v>
      </c>
      <c r="G64" s="305" t="s">
        <v>371</v>
      </c>
      <c r="H64" s="305" t="s">
        <v>370</v>
      </c>
    </row>
    <row r="65" spans="2:8" x14ac:dyDescent="0.25">
      <c r="B65" s="301">
        <v>1</v>
      </c>
      <c r="C65" s="303">
        <f>D15/1000</f>
        <v>1077.2641000000001</v>
      </c>
      <c r="D65" s="302">
        <f>D16</f>
        <v>8.2666666666666666E-2</v>
      </c>
      <c r="E65" s="297">
        <f>D17/1000</f>
        <v>89.053832266666674</v>
      </c>
      <c r="F65" s="304">
        <f>D18/1000</f>
        <v>73.558465452266688</v>
      </c>
      <c r="G65" s="297">
        <f>D20/1000</f>
        <v>110.03719101123606</v>
      </c>
      <c r="H65" s="297">
        <f>F65-G65</f>
        <v>-36.478725558969373</v>
      </c>
    </row>
    <row r="66" spans="2:8" x14ac:dyDescent="0.25">
      <c r="B66" s="301">
        <v>2</v>
      </c>
      <c r="C66" s="303">
        <f>E15/1000</f>
        <v>1174.2178690000003</v>
      </c>
      <c r="D66" s="302">
        <f>E16</f>
        <v>0.10642001787310101</v>
      </c>
      <c r="E66" s="297">
        <f>E17/1000</f>
        <v>124.96028660589461</v>
      </c>
      <c r="F66" s="304">
        <f>E18/1000</f>
        <v>103.21719673646896</v>
      </c>
      <c r="G66" s="297">
        <f>E20/1000</f>
        <v>0</v>
      </c>
      <c r="H66" s="297">
        <f t="shared" ref="H66:H75" si="17">F66-G66</f>
        <v>103.21719673646896</v>
      </c>
    </row>
    <row r="67" spans="2:8" x14ac:dyDescent="0.25">
      <c r="B67" s="301">
        <v>3</v>
      </c>
      <c r="C67" s="303">
        <f>F15/1000</f>
        <v>1268.1552985200001</v>
      </c>
      <c r="D67" s="302">
        <f>F16</f>
        <v>0.10655780821570289</v>
      </c>
      <c r="E67" s="297">
        <f>F17/1000</f>
        <v>135.13184908742164</v>
      </c>
      <c r="F67" s="304">
        <f>F18/1000</f>
        <v>111.61890734621028</v>
      </c>
      <c r="G67" s="297">
        <f>F20/1000</f>
        <v>9.3937429520000002</v>
      </c>
      <c r="H67" s="297">
        <f t="shared" si="17"/>
        <v>102.22516439421028</v>
      </c>
    </row>
    <row r="68" spans="2:8" x14ac:dyDescent="0.25">
      <c r="B68" s="301">
        <v>4</v>
      </c>
      <c r="C68" s="303">
        <f>G15/1000</f>
        <v>1356.9261694164004</v>
      </c>
      <c r="D68" s="302">
        <f>G16</f>
        <v>0.11121982050110123</v>
      </c>
      <c r="E68" s="297">
        <f>G17/1000</f>
        <v>150.91708499573892</v>
      </c>
      <c r="F68" s="304">
        <f>G18/1000</f>
        <v>124.65751220648038</v>
      </c>
      <c r="G68" s="297">
        <f>G20/1000</f>
        <v>11.096358862050023</v>
      </c>
      <c r="H68" s="297">
        <f t="shared" si="17"/>
        <v>113.56115334443035</v>
      </c>
    </row>
    <row r="69" spans="2:8" x14ac:dyDescent="0.25">
      <c r="B69" s="301">
        <v>5</v>
      </c>
      <c r="C69" s="303">
        <f>H15/1000</f>
        <v>1438.3417395813844</v>
      </c>
      <c r="D69" s="302">
        <f>H16</f>
        <v>0.14000000000000001</v>
      </c>
      <c r="E69" s="297">
        <f>H17/1000</f>
        <v>201.36784354139385</v>
      </c>
      <c r="F69" s="304">
        <f>H18/1000</f>
        <v>166.32983876519131</v>
      </c>
      <c r="G69" s="297">
        <f>H20/1000</f>
        <v>16.283114032996817</v>
      </c>
      <c r="H69" s="297">
        <f t="shared" si="17"/>
        <v>150.04672473219449</v>
      </c>
    </row>
    <row r="70" spans="2:8" x14ac:dyDescent="0.25">
      <c r="B70" s="301">
        <v>6</v>
      </c>
      <c r="C70" s="303">
        <f>I15/1000</f>
        <v>1510.2588265604538</v>
      </c>
      <c r="D70" s="302">
        <f>I16</f>
        <v>0.15</v>
      </c>
      <c r="E70" s="297">
        <f>I17/1000</f>
        <v>226.53882398406807</v>
      </c>
      <c r="F70" s="304">
        <f>I18/1000</f>
        <v>187.12106861084024</v>
      </c>
      <c r="G70" s="297">
        <f>I20/1000</f>
        <v>23.972362326356425</v>
      </c>
      <c r="H70" s="297">
        <f t="shared" si="17"/>
        <v>163.14870628448381</v>
      </c>
    </row>
    <row r="71" spans="2:8" x14ac:dyDescent="0.25">
      <c r="B71" s="301">
        <v>7</v>
      </c>
      <c r="C71" s="303">
        <f>J15/1000</f>
        <v>1585.7717678884767</v>
      </c>
      <c r="D71" s="302">
        <f>J16</f>
        <v>0.16</v>
      </c>
      <c r="E71" s="297">
        <f>J17/1000</f>
        <v>253.72348286215626</v>
      </c>
      <c r="F71" s="304">
        <f>J18/1000</f>
        <v>209.57559684414107</v>
      </c>
      <c r="G71" s="297">
        <f>J20/1000</f>
        <v>15.102588265604572</v>
      </c>
      <c r="H71" s="297">
        <f t="shared" si="17"/>
        <v>194.47300857853651</v>
      </c>
    </row>
    <row r="72" spans="2:8" x14ac:dyDescent="0.25">
      <c r="B72" s="301">
        <v>8</v>
      </c>
      <c r="C72" s="303">
        <f>K15/1000</f>
        <v>1649.2026386040159</v>
      </c>
      <c r="D72" s="302">
        <f>K16</f>
        <v>0.16</v>
      </c>
      <c r="E72" s="297">
        <f>K17/1000</f>
        <v>263.87242217664254</v>
      </c>
      <c r="F72" s="304">
        <f>K18/1000</f>
        <v>217.95862071790674</v>
      </c>
      <c r="G72" s="297">
        <f>K20/1000</f>
        <v>21.143623571846401</v>
      </c>
      <c r="H72" s="297">
        <f t="shared" si="17"/>
        <v>196.81499714606034</v>
      </c>
    </row>
    <row r="73" spans="2:8" x14ac:dyDescent="0.25">
      <c r="B73" s="301">
        <v>9</v>
      </c>
      <c r="C73" s="303">
        <f>L15/1000</f>
        <v>1715.1707441481765</v>
      </c>
      <c r="D73" s="302">
        <f>L16</f>
        <v>0.16</v>
      </c>
      <c r="E73" s="297">
        <f>L17/1000</f>
        <v>274.42731906370824</v>
      </c>
      <c r="F73" s="304">
        <f>L18/1000</f>
        <v>226.67696554662302</v>
      </c>
      <c r="G73" s="297">
        <f>L20/1000</f>
        <v>43.978737029440389</v>
      </c>
      <c r="H73" s="297">
        <f t="shared" si="17"/>
        <v>182.69822851718263</v>
      </c>
    </row>
    <row r="74" spans="2:8" x14ac:dyDescent="0.25">
      <c r="B74" s="301">
        <v>10</v>
      </c>
      <c r="C74" s="303">
        <f>M15/1000</f>
        <v>1783.7775739141034</v>
      </c>
      <c r="D74" s="302">
        <f>M16</f>
        <v>0.16</v>
      </c>
      <c r="E74" s="297">
        <f>M18/1000</f>
        <v>235.74404416848793</v>
      </c>
      <c r="F74" s="304">
        <f>M18/1000</f>
        <v>235.74404416848793</v>
      </c>
      <c r="G74" s="297">
        <f>M20/1000</f>
        <v>72.217715543081113</v>
      </c>
      <c r="H74" s="297">
        <f t="shared" si="17"/>
        <v>163.52632862540682</v>
      </c>
    </row>
    <row r="75" spans="2:8" x14ac:dyDescent="0.25">
      <c r="B75" s="306" t="s">
        <v>514</v>
      </c>
      <c r="C75" s="307">
        <f>O15/1000</f>
        <v>1837.2909011315267</v>
      </c>
      <c r="D75" s="308">
        <f>O16</f>
        <v>0.16</v>
      </c>
      <c r="E75" s="307">
        <f>O18/1000</f>
        <v>242.81636549354261</v>
      </c>
      <c r="F75" s="307">
        <f>O18/1000</f>
        <v>242.81636549354261</v>
      </c>
      <c r="G75" s="307">
        <f>O20/1000</f>
        <v>0.18451938257738715</v>
      </c>
      <c r="H75" s="307">
        <f t="shared" si="17"/>
        <v>242.63184611096523</v>
      </c>
    </row>
  </sheetData>
  <mergeCells count="1">
    <mergeCell ref="D2:E3"/>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37D5-106A-4539-B64F-C46CA6AE3EF5}">
  <dimension ref="B2:I24"/>
  <sheetViews>
    <sheetView showGridLines="0" view="pageBreakPreview" zoomScale="205" zoomScaleNormal="145" zoomScaleSheetLayoutView="205" workbookViewId="0">
      <selection activeCell="E7" sqref="E7"/>
    </sheetView>
  </sheetViews>
  <sheetFormatPr defaultRowHeight="11.25" x14ac:dyDescent="0.2"/>
  <cols>
    <col min="1" max="1" width="1" style="187" customWidth="1"/>
    <col min="2" max="2" width="17.28515625" style="187" bestFit="1" customWidth="1"/>
    <col min="3" max="9" width="9.42578125" style="187" customWidth="1"/>
    <col min="10" max="16384" width="9.140625" style="187"/>
  </cols>
  <sheetData>
    <row r="2" spans="2:9" x14ac:dyDescent="0.2">
      <c r="B2" s="462" t="s">
        <v>575</v>
      </c>
      <c r="C2" s="573" t="s">
        <v>311</v>
      </c>
      <c r="D2" s="573"/>
      <c r="E2" s="463" t="s">
        <v>181</v>
      </c>
      <c r="F2" s="463" t="s">
        <v>492</v>
      </c>
      <c r="G2" s="463" t="s">
        <v>493</v>
      </c>
      <c r="H2" s="573" t="s">
        <v>543</v>
      </c>
      <c r="I2" s="573"/>
    </row>
    <row r="3" spans="2:9" x14ac:dyDescent="0.2">
      <c r="B3" s="339"/>
      <c r="C3" s="340" t="s">
        <v>541</v>
      </c>
      <c r="D3" s="340" t="s">
        <v>542</v>
      </c>
      <c r="E3" s="340" t="s">
        <v>542</v>
      </c>
      <c r="F3" s="341"/>
      <c r="G3" s="341"/>
      <c r="H3" s="340" t="s">
        <v>467</v>
      </c>
      <c r="I3" s="340" t="s">
        <v>544</v>
      </c>
    </row>
    <row r="4" spans="2:9" x14ac:dyDescent="0.2">
      <c r="B4" s="464" t="s">
        <v>179</v>
      </c>
      <c r="C4" s="386">
        <f>Model!AF15</f>
        <v>0.18134128850116649</v>
      </c>
      <c r="D4" s="465">
        <f>Model!AM15</f>
        <v>0.2</v>
      </c>
      <c r="E4" s="197">
        <f>Model!AM14</f>
        <v>203300.00000000003</v>
      </c>
      <c r="F4" s="466">
        <v>10</v>
      </c>
      <c r="G4" s="467">
        <f>E4*F4</f>
        <v>2033000.0000000002</v>
      </c>
      <c r="H4" s="468">
        <f>G4/$C$11</f>
        <v>32.514145332504079</v>
      </c>
      <c r="I4" s="469">
        <f>H4*$C$10</f>
        <v>30.563296612553831</v>
      </c>
    </row>
    <row r="5" spans="2:9" ht="13.5" x14ac:dyDescent="0.35">
      <c r="B5" s="464" t="s">
        <v>125</v>
      </c>
      <c r="C5" s="386">
        <f>Model!AF36</f>
        <v>9.3188538798817167E-2</v>
      </c>
      <c r="D5" s="386">
        <f>Model!AM36</f>
        <v>0.1</v>
      </c>
      <c r="E5" s="393">
        <f>Model!AM35</f>
        <v>10250</v>
      </c>
      <c r="F5" s="466">
        <v>9.25</v>
      </c>
      <c r="G5" s="470">
        <f>E5*F5</f>
        <v>94812.5</v>
      </c>
      <c r="H5" s="471">
        <f>G5/$C$11</f>
        <v>1.5163538634225493</v>
      </c>
      <c r="I5" s="472">
        <f>H5*$C$10</f>
        <v>1.4253726316171962</v>
      </c>
    </row>
    <row r="6" spans="2:9" x14ac:dyDescent="0.2">
      <c r="B6" s="464"/>
      <c r="C6" s="473"/>
      <c r="D6" s="473"/>
      <c r="E6" s="467">
        <f>+E4+E5</f>
        <v>213550.00000000003</v>
      </c>
      <c r="G6" s="467">
        <f>G4+G5</f>
        <v>2127812.5</v>
      </c>
      <c r="H6" s="468">
        <f>+H4+H5</f>
        <v>34.03049919592663</v>
      </c>
      <c r="I6" s="469">
        <f>+I4+I5</f>
        <v>31.988669244171028</v>
      </c>
    </row>
    <row r="7" spans="2:9" x14ac:dyDescent="0.2">
      <c r="B7" s="464" t="s">
        <v>545</v>
      </c>
      <c r="C7" s="473"/>
      <c r="D7" s="473"/>
      <c r="G7" s="197">
        <v>0</v>
      </c>
      <c r="H7" s="468">
        <f>G7/$C$11</f>
        <v>0</v>
      </c>
      <c r="I7" s="469">
        <f>H7*$C$10</f>
        <v>0</v>
      </c>
    </row>
    <row r="8" spans="2:9" ht="12" thickBot="1" x14ac:dyDescent="0.25">
      <c r="B8" s="474" t="s">
        <v>494</v>
      </c>
      <c r="C8" s="475"/>
      <c r="D8" s="475"/>
      <c r="E8" s="476"/>
      <c r="F8" s="476"/>
      <c r="G8" s="477">
        <f>+G6+G7</f>
        <v>2127812.5</v>
      </c>
      <c r="H8" s="478">
        <f>H6+H7</f>
        <v>34.03049919592663</v>
      </c>
      <c r="I8" s="479">
        <f>I6+I7</f>
        <v>31.988669244171028</v>
      </c>
    </row>
    <row r="9" spans="2:9" ht="12.75" thickTop="1" thickBot="1" x14ac:dyDescent="0.25">
      <c r="I9" s="392">
        <f ca="1">I8/Main!C3-1</f>
        <v>0.50534914090216598</v>
      </c>
    </row>
    <row r="10" spans="2:9" x14ac:dyDescent="0.2">
      <c r="B10" s="480" t="s">
        <v>382</v>
      </c>
      <c r="C10" s="481">
        <v>0.94</v>
      </c>
    </row>
    <row r="11" spans="2:9" ht="12" thickBot="1" x14ac:dyDescent="0.25">
      <c r="B11" s="482" t="s">
        <v>102</v>
      </c>
      <c r="C11" s="483">
        <f>Model!$AF$137</f>
        <v>62526.631999999998</v>
      </c>
    </row>
    <row r="13" spans="2:9" ht="15" customHeight="1" x14ac:dyDescent="0.2">
      <c r="B13" s="484"/>
      <c r="C13" s="450" t="s">
        <v>272</v>
      </c>
      <c r="D13" s="450"/>
      <c r="E13" s="572" t="s">
        <v>475</v>
      </c>
      <c r="F13" s="572"/>
      <c r="G13" s="572"/>
    </row>
    <row r="14" spans="2:9" x14ac:dyDescent="0.2">
      <c r="B14" s="485"/>
      <c r="C14" s="486"/>
      <c r="D14" s="486"/>
      <c r="E14" s="487" t="s">
        <v>540</v>
      </c>
      <c r="F14" s="487" t="s">
        <v>538</v>
      </c>
      <c r="G14" s="487" t="s">
        <v>539</v>
      </c>
    </row>
    <row r="15" spans="2:9" x14ac:dyDescent="0.2">
      <c r="B15" s="187" t="e" vm="5">
        <v>#VALUE!</v>
      </c>
      <c r="C15" s="488" cm="1">
        <f t="array" aca="1" ref="C15" ca="1">_FV(B15,"Market cap",TRUE)/1000</f>
        <v>2489117.4</v>
      </c>
      <c r="E15" s="489">
        <v>20</v>
      </c>
      <c r="F15" s="489">
        <v>15.1</v>
      </c>
      <c r="G15" s="489">
        <v>14</v>
      </c>
    </row>
    <row r="16" spans="2:9" x14ac:dyDescent="0.2">
      <c r="B16" s="187" t="e" vm="6">
        <v>#VALUE!</v>
      </c>
      <c r="C16" s="488" cm="1">
        <f t="array" aca="1" ref="C16" ca="1">_FV(B16,"Market cap",TRUE)/1000</f>
        <v>523837.6</v>
      </c>
      <c r="E16" s="489">
        <f>[1]Main!$D$13</f>
        <v>10.945961740853095</v>
      </c>
      <c r="F16" s="489">
        <v>13.36</v>
      </c>
      <c r="G16" s="489">
        <v>12</v>
      </c>
    </row>
    <row r="17" spans="2:7" x14ac:dyDescent="0.2">
      <c r="B17" s="187" t="e" vm="7">
        <v>#VALUE!</v>
      </c>
      <c r="C17" s="488" cm="1">
        <f t="array" aca="1" ref="C17" ca="1">_FV(B17,"Market cap",TRUE)/1000</f>
        <v>509652.5</v>
      </c>
      <c r="E17" s="489">
        <f>[2]Main!$C$18</f>
        <v>11.602664661735618</v>
      </c>
      <c r="F17" s="489">
        <v>10.55</v>
      </c>
      <c r="G17" s="489">
        <v>9.5</v>
      </c>
    </row>
    <row r="18" spans="2:7" x14ac:dyDescent="0.2">
      <c r="B18" s="187" t="e" vm="8">
        <v>#VALUE!</v>
      </c>
      <c r="C18" s="488" cm="1">
        <f t="array" aca="1" ref="C18" ca="1">_FV(B18,"Market cap",TRUE)/1000</f>
        <v>962564.5</v>
      </c>
      <c r="E18" s="489">
        <f>[5]Main!$D$13</f>
        <v>13.915779639175257</v>
      </c>
      <c r="F18" s="489">
        <v>14</v>
      </c>
      <c r="G18" s="489">
        <v>12.5</v>
      </c>
    </row>
    <row r="19" spans="2:7" ht="12" thickBot="1" x14ac:dyDescent="0.25">
      <c r="B19" s="490" t="s">
        <v>537</v>
      </c>
      <c r="C19" s="491">
        <f ca="1">MEDIAN(C15,C16,C17,C18)</f>
        <v>743201.05</v>
      </c>
      <c r="D19" s="490"/>
      <c r="E19" s="492">
        <f>MEDIAN(E15,E16,E17,E18)</f>
        <v>12.759222150455438</v>
      </c>
      <c r="F19" s="492">
        <f>MEDIAN(F15,F16,F17,F18)</f>
        <v>13.68</v>
      </c>
      <c r="G19" s="492">
        <f>MEDIAN(G15,G16,G17,G18)</f>
        <v>12.25</v>
      </c>
    </row>
    <row r="20" spans="2:7" ht="12" thickBot="1" x14ac:dyDescent="0.25">
      <c r="B20" s="493" t="e" vm="1">
        <v>#VALUE!</v>
      </c>
      <c r="C20" s="494">
        <f ca="1">Main!C4</f>
        <v>1328690.93</v>
      </c>
      <c r="D20" s="495"/>
      <c r="E20" s="496">
        <f ca="1">Main!C14</f>
        <v>9.8862371267579441</v>
      </c>
      <c r="F20" s="497"/>
      <c r="G20" s="498"/>
    </row>
    <row r="22" spans="2:7" x14ac:dyDescent="0.2">
      <c r="B22" s="189" t="s">
        <v>627</v>
      </c>
    </row>
    <row r="23" spans="2:7" x14ac:dyDescent="0.2">
      <c r="B23" s="187" t="e" vm="9">
        <v>#VALUE!</v>
      </c>
      <c r="C23" s="499">
        <v>7276082.9179999996</v>
      </c>
      <c r="E23" s="489">
        <v>27.897973208574353</v>
      </c>
      <c r="F23" s="489">
        <v>19</v>
      </c>
      <c r="G23" s="489">
        <v>17.5</v>
      </c>
    </row>
    <row r="24" spans="2:7" ht="12" thickBot="1" x14ac:dyDescent="0.25">
      <c r="B24" s="500" t="e" vm="10">
        <v>#VALUE!</v>
      </c>
      <c r="C24" s="501" cm="1">
        <f t="array" aca="1" ref="C24" ca="1">_FV(B24,"Market cap",TRUE)/1000</f>
        <v>8118258</v>
      </c>
      <c r="D24" s="500"/>
      <c r="E24" s="502">
        <v>12.4</v>
      </c>
      <c r="F24" s="502">
        <v>11</v>
      </c>
      <c r="G24" s="502">
        <v>9</v>
      </c>
    </row>
  </sheetData>
  <mergeCells count="3">
    <mergeCell ref="E13:G13"/>
    <mergeCell ref="C2:D2"/>
    <mergeCell ref="H2:I2"/>
  </mergeCells>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553AD-E982-4B62-8C4F-B06F35F98DD0}">
  <dimension ref="B3:G30"/>
  <sheetViews>
    <sheetView showGridLines="0" zoomScale="145" zoomScaleNormal="145" workbookViewId="0">
      <selection activeCell="E5" sqref="E5"/>
    </sheetView>
  </sheetViews>
  <sheetFormatPr defaultRowHeight="12" x14ac:dyDescent="0.2"/>
  <cols>
    <col min="1" max="1" width="5.5703125" style="411" customWidth="1"/>
    <col min="2" max="2" width="23" style="411" bestFit="1" customWidth="1"/>
    <col min="3" max="3" width="20" style="411" bestFit="1" customWidth="1"/>
    <col min="4" max="6" width="9.140625" style="411"/>
    <col min="7" max="7" width="10" style="411" bestFit="1" customWidth="1"/>
    <col min="8" max="16384" width="9.140625" style="411"/>
  </cols>
  <sheetData>
    <row r="3" spans="2:7" x14ac:dyDescent="0.2">
      <c r="B3" s="410"/>
      <c r="C3" s="410" t="s">
        <v>601</v>
      </c>
      <c r="D3" s="410" t="s">
        <v>600</v>
      </c>
      <c r="E3" s="410" t="s">
        <v>599</v>
      </c>
      <c r="F3" s="410" t="s">
        <v>598</v>
      </c>
      <c r="G3" s="410"/>
    </row>
    <row r="4" spans="2:7" x14ac:dyDescent="0.2">
      <c r="B4" s="411" t="s">
        <v>597</v>
      </c>
      <c r="C4" s="412">
        <f>Model!$AF$169</f>
        <v>112759</v>
      </c>
    </row>
    <row r="5" spans="2:7" x14ac:dyDescent="0.2">
      <c r="B5" s="413" t="s">
        <v>596</v>
      </c>
      <c r="C5" s="414">
        <v>98233</v>
      </c>
      <c r="E5" s="411">
        <v>2030</v>
      </c>
      <c r="F5" s="415">
        <v>4.4699999999999997E-2</v>
      </c>
      <c r="G5" s="416">
        <f>C5*F5</f>
        <v>4391.0150999999996</v>
      </c>
    </row>
    <row r="6" spans="2:7" x14ac:dyDescent="0.2">
      <c r="B6" s="413" t="s">
        <v>595</v>
      </c>
      <c r="C6" s="414">
        <v>90069</v>
      </c>
      <c r="E6" s="411">
        <v>2030</v>
      </c>
      <c r="F6" s="415">
        <v>4.3799999999999999E-2</v>
      </c>
      <c r="G6" s="416">
        <f>C6*F6</f>
        <v>3945.0221999999999</v>
      </c>
    </row>
    <row r="7" spans="2:7" ht="14.25" x14ac:dyDescent="0.35">
      <c r="B7" s="413" t="s">
        <v>594</v>
      </c>
      <c r="C7" s="417">
        <v>417</v>
      </c>
      <c r="E7" s="411">
        <v>2026</v>
      </c>
      <c r="F7" s="415" t="s">
        <v>593</v>
      </c>
    </row>
    <row r="8" spans="2:7" x14ac:dyDescent="0.2">
      <c r="B8" s="411" t="s">
        <v>592</v>
      </c>
      <c r="C8" s="418">
        <f>+C5+C6+C7</f>
        <v>188719</v>
      </c>
    </row>
    <row r="9" spans="2:7" x14ac:dyDescent="0.2">
      <c r="B9" s="411" t="s">
        <v>591</v>
      </c>
      <c r="C9" s="419">
        <f>31134+5760</f>
        <v>36894</v>
      </c>
      <c r="F9" s="415">
        <v>5.3999999999999999E-2</v>
      </c>
      <c r="G9" s="416">
        <f>C9*F9</f>
        <v>1992.2760000000001</v>
      </c>
    </row>
    <row r="10" spans="2:7" ht="14.25" x14ac:dyDescent="0.35">
      <c r="B10" s="411" t="s">
        <v>226</v>
      </c>
      <c r="C10" s="420">
        <f>14318+949</f>
        <v>15267</v>
      </c>
    </row>
    <row r="11" spans="2:7" x14ac:dyDescent="0.2">
      <c r="B11" s="421" t="s">
        <v>590</v>
      </c>
      <c r="C11" s="422">
        <f>+C8+C9+C10</f>
        <v>240880</v>
      </c>
      <c r="D11" s="423">
        <f>C11/$C$14</f>
        <v>0.56125373384717903</v>
      </c>
      <c r="G11" s="416">
        <f>G5+G6+G9</f>
        <v>10328.3133</v>
      </c>
    </row>
    <row r="13" spans="2:7" x14ac:dyDescent="0.2">
      <c r="B13" s="411" t="s">
        <v>589</v>
      </c>
      <c r="C13" s="424">
        <f>Model!$AF$179</f>
        <v>188302</v>
      </c>
      <c r="D13" s="423">
        <f>C13/$C$14</f>
        <v>0.43874626615282097</v>
      </c>
    </row>
    <row r="14" spans="2:7" ht="12.75" thickBot="1" x14ac:dyDescent="0.25">
      <c r="B14" s="425" t="s">
        <v>588</v>
      </c>
      <c r="C14" s="426">
        <f>C11+C13</f>
        <v>429182</v>
      </c>
      <c r="D14" s="427">
        <f>+D11+D13</f>
        <v>1</v>
      </c>
    </row>
    <row r="15" spans="2:7" ht="12.75" thickTop="1" x14ac:dyDescent="0.2">
      <c r="B15" s="411" t="s">
        <v>343</v>
      </c>
      <c r="C15" s="418">
        <f>C11-C4</f>
        <v>128121</v>
      </c>
    </row>
    <row r="17" spans="2:4" x14ac:dyDescent="0.2">
      <c r="B17" s="411" t="s">
        <v>587</v>
      </c>
      <c r="C17" s="415">
        <v>4.2299999999999997E-2</v>
      </c>
      <c r="D17" s="411" t="s">
        <v>586</v>
      </c>
    </row>
    <row r="18" spans="2:4" x14ac:dyDescent="0.2">
      <c r="B18" s="411" t="s">
        <v>585</v>
      </c>
      <c r="C18" s="415">
        <v>2.9899999999999999E-2</v>
      </c>
      <c r="D18" s="411" t="s">
        <v>584</v>
      </c>
    </row>
    <row r="19" spans="2:4" x14ac:dyDescent="0.2">
      <c r="B19" s="411" t="s">
        <v>583</v>
      </c>
      <c r="C19" s="428">
        <v>0.87</v>
      </c>
    </row>
    <row r="20" spans="2:4" x14ac:dyDescent="0.2">
      <c r="B20" s="429" t="s">
        <v>580</v>
      </c>
    </row>
    <row r="21" spans="2:4" x14ac:dyDescent="0.2">
      <c r="B21" s="413" t="s">
        <v>582</v>
      </c>
      <c r="C21" s="430">
        <f>(C11/C14)/(C13/C14)</f>
        <v>1.2792216758186317</v>
      </c>
    </row>
    <row r="22" spans="2:4" x14ac:dyDescent="0.2">
      <c r="B22" s="413" t="s">
        <v>581</v>
      </c>
      <c r="C22" s="431">
        <v>0.19</v>
      </c>
    </row>
    <row r="23" spans="2:4" x14ac:dyDescent="0.2">
      <c r="B23" s="432" t="s">
        <v>580</v>
      </c>
      <c r="C23" s="430">
        <f>C19*((1+C21)*(1-C22))</f>
        <v>1.6061675149493899</v>
      </c>
    </row>
    <row r="24" spans="2:4" x14ac:dyDescent="0.2">
      <c r="B24" s="411" t="s">
        <v>579</v>
      </c>
      <c r="C24" s="431">
        <v>0.01</v>
      </c>
    </row>
    <row r="25" spans="2:4" x14ac:dyDescent="0.2">
      <c r="B25" s="433" t="s">
        <v>578</v>
      </c>
      <c r="C25" s="434">
        <f>C18+(C23*C17)+C24</f>
        <v>0.10784088588235918</v>
      </c>
    </row>
    <row r="27" spans="2:4" x14ac:dyDescent="0.2">
      <c r="B27" s="411" t="s">
        <v>577</v>
      </c>
      <c r="C27" s="435">
        <f>G11/C8</f>
        <v>5.4728529188899901E-2</v>
      </c>
    </row>
    <row r="28" spans="2:4" x14ac:dyDescent="0.2">
      <c r="B28" s="433" t="s">
        <v>576</v>
      </c>
      <c r="C28" s="434">
        <f>C27*(1-C22)</f>
        <v>4.4330108643008924E-2</v>
      </c>
    </row>
    <row r="30" spans="2:4" x14ac:dyDescent="0.2">
      <c r="B30" s="433" t="s">
        <v>384</v>
      </c>
      <c r="C30" s="434">
        <f>(C28*D11)+(C25*D13)</f>
        <v>7.2195225017237408E-2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539F-A687-44EF-B782-F565D6BE32C0}">
  <dimension ref="B3:G8"/>
  <sheetViews>
    <sheetView zoomScale="190" zoomScaleNormal="190" workbookViewId="0">
      <selection activeCell="C6" sqref="C6"/>
    </sheetView>
  </sheetViews>
  <sheetFormatPr defaultRowHeight="15" x14ac:dyDescent="0.25"/>
  <cols>
    <col min="2" max="2" width="17" bestFit="1" customWidth="1"/>
    <col min="3" max="3" width="16.140625" bestFit="1" customWidth="1"/>
    <col min="4" max="4" width="32" bestFit="1" customWidth="1"/>
  </cols>
  <sheetData>
    <row r="3" spans="2:7" x14ac:dyDescent="0.25">
      <c r="B3" s="76" t="s">
        <v>277</v>
      </c>
      <c r="C3" s="76" t="s">
        <v>276</v>
      </c>
      <c r="D3" s="76" t="s">
        <v>291</v>
      </c>
      <c r="E3" s="76" t="s">
        <v>278</v>
      </c>
      <c r="F3" s="76" t="s">
        <v>294</v>
      </c>
    </row>
    <row r="4" spans="2:7" x14ac:dyDescent="0.25">
      <c r="B4" t="s">
        <v>280</v>
      </c>
      <c r="C4" t="s">
        <v>279</v>
      </c>
      <c r="D4" t="s">
        <v>286</v>
      </c>
      <c r="E4" t="s">
        <v>281</v>
      </c>
    </row>
    <row r="5" spans="2:7" x14ac:dyDescent="0.25">
      <c r="B5" t="s">
        <v>273</v>
      </c>
      <c r="C5" t="s">
        <v>274</v>
      </c>
      <c r="D5" t="s">
        <v>287</v>
      </c>
      <c r="E5" t="s">
        <v>281</v>
      </c>
      <c r="F5" t="s">
        <v>295</v>
      </c>
    </row>
    <row r="6" spans="2:7" x14ac:dyDescent="0.25">
      <c r="B6" t="s">
        <v>283</v>
      </c>
      <c r="C6" t="s">
        <v>282</v>
      </c>
      <c r="D6" t="s">
        <v>288</v>
      </c>
      <c r="E6" t="s">
        <v>399</v>
      </c>
      <c r="F6" t="s">
        <v>295</v>
      </c>
    </row>
    <row r="7" spans="2:7" x14ac:dyDescent="0.25">
      <c r="B7" t="s">
        <v>285</v>
      </c>
      <c r="C7" t="s">
        <v>284</v>
      </c>
      <c r="D7" t="s">
        <v>289</v>
      </c>
      <c r="E7" t="s">
        <v>281</v>
      </c>
      <c r="G7" t="s">
        <v>292</v>
      </c>
    </row>
    <row r="8" spans="2:7" x14ac:dyDescent="0.25">
      <c r="B8" t="s">
        <v>275</v>
      </c>
      <c r="C8" t="s">
        <v>293</v>
      </c>
      <c r="D8" t="s">
        <v>290</v>
      </c>
      <c r="E8" t="s">
        <v>281</v>
      </c>
    </row>
  </sheetData>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7D50-CE05-4391-B800-D1BA68F5BE1B}">
  <dimension ref="A1:F94"/>
  <sheetViews>
    <sheetView workbookViewId="0">
      <selection activeCell="C94" sqref="C94"/>
    </sheetView>
  </sheetViews>
  <sheetFormatPr defaultRowHeight="15" x14ac:dyDescent="0.25"/>
  <cols>
    <col min="1" max="1" width="3.140625" style="25" customWidth="1"/>
    <col min="2" max="2" width="42.85546875" style="25" bestFit="1" customWidth="1"/>
    <col min="3" max="3" width="23.85546875" style="25" bestFit="1" customWidth="1"/>
    <col min="4" max="5" width="9.140625" style="25"/>
    <col min="6" max="6" width="50.42578125" style="25" customWidth="1"/>
    <col min="7" max="16384" width="9.140625" style="25"/>
  </cols>
  <sheetData>
    <row r="1" spans="1:6" x14ac:dyDescent="0.25">
      <c r="B1" s="50" t="s">
        <v>124</v>
      </c>
      <c r="C1" s="25" t="s">
        <v>138</v>
      </c>
    </row>
    <row r="2" spans="1:6" x14ac:dyDescent="0.25">
      <c r="B2" s="51" t="s">
        <v>129</v>
      </c>
      <c r="C2" s="51" t="s">
        <v>130</v>
      </c>
      <c r="D2" s="51" t="s">
        <v>131</v>
      </c>
      <c r="E2" s="51" t="s">
        <v>132</v>
      </c>
      <c r="F2" s="51" t="s">
        <v>133</v>
      </c>
    </row>
    <row r="3" spans="1:6" ht="90" x14ac:dyDescent="0.25">
      <c r="A3" s="52"/>
      <c r="B3" s="53" t="s">
        <v>125</v>
      </c>
      <c r="C3" s="52" t="s">
        <v>126</v>
      </c>
      <c r="D3" s="54"/>
      <c r="E3" s="54"/>
      <c r="F3" s="55" t="s">
        <v>134</v>
      </c>
    </row>
    <row r="4" spans="1:6" ht="56.25" x14ac:dyDescent="0.25">
      <c r="A4" s="52"/>
      <c r="B4" s="53" t="s">
        <v>127</v>
      </c>
      <c r="C4" s="52" t="s">
        <v>128</v>
      </c>
      <c r="D4" s="54"/>
      <c r="E4" s="54"/>
      <c r="F4" s="55" t="s">
        <v>298</v>
      </c>
    </row>
    <row r="5" spans="1:6" x14ac:dyDescent="0.25">
      <c r="B5" s="56" t="s">
        <v>135</v>
      </c>
      <c r="C5" s="25" t="s">
        <v>136</v>
      </c>
      <c r="D5" s="57"/>
      <c r="E5" s="57"/>
    </row>
    <row r="6" spans="1:6" x14ac:dyDescent="0.25">
      <c r="B6" s="25" t="s">
        <v>143</v>
      </c>
      <c r="D6" s="57"/>
      <c r="E6" s="57"/>
    </row>
    <row r="7" spans="1:6" x14ac:dyDescent="0.25">
      <c r="B7" s="25" t="s">
        <v>144</v>
      </c>
      <c r="D7" s="57"/>
      <c r="E7" s="57"/>
    </row>
    <row r="8" spans="1:6" x14ac:dyDescent="0.25">
      <c r="B8" s="25" t="s">
        <v>145</v>
      </c>
      <c r="D8" s="57"/>
      <c r="E8" s="57"/>
    </row>
    <row r="9" spans="1:6" x14ac:dyDescent="0.25">
      <c r="B9" s="25" t="s">
        <v>146</v>
      </c>
      <c r="D9" s="57"/>
      <c r="E9" s="57"/>
    </row>
    <row r="10" spans="1:6" x14ac:dyDescent="0.25">
      <c r="B10" s="25" t="s">
        <v>147</v>
      </c>
      <c r="C10" s="25" t="s">
        <v>148</v>
      </c>
      <c r="D10" s="57"/>
      <c r="E10" s="57"/>
    </row>
    <row r="11" spans="1:6" x14ac:dyDescent="0.25">
      <c r="B11" s="25" t="s">
        <v>149</v>
      </c>
      <c r="D11" s="57"/>
      <c r="E11" s="57"/>
    </row>
    <row r="12" spans="1:6" x14ac:dyDescent="0.25">
      <c r="B12" s="25" t="s">
        <v>150</v>
      </c>
      <c r="C12" s="25" t="s">
        <v>151</v>
      </c>
      <c r="D12" s="57"/>
      <c r="E12" s="57"/>
    </row>
    <row r="13" spans="1:6" x14ac:dyDescent="0.25">
      <c r="B13" s="25" t="s">
        <v>152</v>
      </c>
      <c r="D13" s="57"/>
      <c r="E13" s="57"/>
    </row>
    <row r="14" spans="1:6" x14ac:dyDescent="0.25">
      <c r="B14" s="25" t="s">
        <v>153</v>
      </c>
      <c r="C14" s="25" t="s">
        <v>154</v>
      </c>
      <c r="D14" s="57"/>
      <c r="E14" s="57"/>
    </row>
    <row r="15" spans="1:6" x14ac:dyDescent="0.25">
      <c r="B15" s="25" t="s">
        <v>155</v>
      </c>
      <c r="C15" s="25" t="s">
        <v>156</v>
      </c>
      <c r="D15" s="57"/>
      <c r="E15" s="57"/>
    </row>
    <row r="16" spans="1:6" x14ac:dyDescent="0.25">
      <c r="B16" s="25" t="s">
        <v>157</v>
      </c>
      <c r="C16" s="25" t="s">
        <v>158</v>
      </c>
      <c r="D16" s="57"/>
      <c r="E16" s="57"/>
      <c r="F16" s="25" t="s">
        <v>297</v>
      </c>
    </row>
    <row r="17" spans="2:5" x14ac:dyDescent="0.25">
      <c r="D17" s="57"/>
      <c r="E17" s="57"/>
    </row>
    <row r="19" spans="2:5" x14ac:dyDescent="0.25">
      <c r="B19" s="50" t="s">
        <v>159</v>
      </c>
    </row>
    <row r="20" spans="2:5" x14ac:dyDescent="0.25">
      <c r="B20" s="25" t="s">
        <v>141</v>
      </c>
    </row>
    <row r="21" spans="2:5" x14ac:dyDescent="0.25">
      <c r="B21" s="25" t="s">
        <v>139</v>
      </c>
      <c r="C21" s="25" t="s">
        <v>160</v>
      </c>
    </row>
    <row r="23" spans="2:5" x14ac:dyDescent="0.25">
      <c r="B23" s="50" t="s">
        <v>137</v>
      </c>
    </row>
    <row r="24" spans="2:5" x14ac:dyDescent="0.25">
      <c r="B24" s="25" t="s">
        <v>140</v>
      </c>
    </row>
    <row r="25" spans="2:5" x14ac:dyDescent="0.25">
      <c r="B25" s="25" t="s">
        <v>118</v>
      </c>
    </row>
    <row r="26" spans="2:5" x14ac:dyDescent="0.25">
      <c r="B26" s="25" t="s">
        <v>142</v>
      </c>
    </row>
    <row r="29" spans="2:5" x14ac:dyDescent="0.25">
      <c r="C29" s="25" t="s">
        <v>660</v>
      </c>
    </row>
    <row r="30" spans="2:5" x14ac:dyDescent="0.25">
      <c r="B30" s="26" t="s">
        <v>632</v>
      </c>
      <c r="C30" s="27">
        <v>17800</v>
      </c>
    </row>
    <row r="31" spans="2:5" x14ac:dyDescent="0.25">
      <c r="B31" s="26" t="s">
        <v>633</v>
      </c>
      <c r="C31" s="27">
        <v>9900</v>
      </c>
    </row>
    <row r="32" spans="2:5" x14ac:dyDescent="0.25">
      <c r="B32" s="26" t="s">
        <v>631</v>
      </c>
      <c r="C32" s="27">
        <v>18700</v>
      </c>
    </row>
    <row r="33" spans="2:3" x14ac:dyDescent="0.25">
      <c r="B33" s="26" t="s">
        <v>634</v>
      </c>
      <c r="C33" s="27">
        <v>1900</v>
      </c>
    </row>
    <row r="34" spans="2:3" x14ac:dyDescent="0.25">
      <c r="B34" s="26" t="s">
        <v>635</v>
      </c>
      <c r="C34" s="27">
        <v>5500</v>
      </c>
    </row>
    <row r="35" spans="2:3" x14ac:dyDescent="0.25">
      <c r="B35" s="25" t="s">
        <v>205</v>
      </c>
      <c r="C35" s="27"/>
    </row>
    <row r="36" spans="2:3" x14ac:dyDescent="0.25">
      <c r="B36" s="26" t="s">
        <v>636</v>
      </c>
      <c r="C36" s="27">
        <v>800</v>
      </c>
    </row>
    <row r="37" spans="2:3" x14ac:dyDescent="0.25">
      <c r="B37" s="26" t="s">
        <v>637</v>
      </c>
      <c r="C37" s="27">
        <v>36000</v>
      </c>
    </row>
    <row r="38" spans="2:3" x14ac:dyDescent="0.25">
      <c r="B38" s="25" t="s">
        <v>193</v>
      </c>
      <c r="C38" s="27"/>
    </row>
    <row r="39" spans="2:3" x14ac:dyDescent="0.25">
      <c r="B39" s="26" t="s">
        <v>638</v>
      </c>
      <c r="C39" s="27">
        <v>22700</v>
      </c>
    </row>
    <row r="40" spans="2:3" x14ac:dyDescent="0.25">
      <c r="B40" s="26" t="s">
        <v>639</v>
      </c>
      <c r="C40" s="27">
        <v>22000</v>
      </c>
    </row>
    <row r="41" spans="2:3" x14ac:dyDescent="0.25">
      <c r="B41" s="26" t="s">
        <v>640</v>
      </c>
      <c r="C41" s="27">
        <v>13000</v>
      </c>
    </row>
    <row r="42" spans="2:3" x14ac:dyDescent="0.25">
      <c r="B42" s="25" t="s">
        <v>191</v>
      </c>
      <c r="C42" s="27"/>
    </row>
    <row r="43" spans="2:3" x14ac:dyDescent="0.25">
      <c r="B43" s="26" t="s">
        <v>641</v>
      </c>
      <c r="C43" s="27">
        <v>3500</v>
      </c>
    </row>
    <row r="44" spans="2:3" x14ac:dyDescent="0.25">
      <c r="B44" s="26" t="s">
        <v>642</v>
      </c>
      <c r="C44" s="27">
        <v>64000</v>
      </c>
    </row>
    <row r="45" spans="2:3" x14ac:dyDescent="0.25">
      <c r="B45" s="25" t="s">
        <v>192</v>
      </c>
      <c r="C45" s="27"/>
    </row>
    <row r="46" spans="2:3" x14ac:dyDescent="0.25">
      <c r="B46" s="26" t="s">
        <v>643</v>
      </c>
      <c r="C46" s="27">
        <v>2701</v>
      </c>
    </row>
    <row r="47" spans="2:3" x14ac:dyDescent="0.25">
      <c r="B47" s="26" t="s">
        <v>644</v>
      </c>
      <c r="C47" s="27">
        <v>11800</v>
      </c>
    </row>
    <row r="48" spans="2:3" x14ac:dyDescent="0.25">
      <c r="B48" s="26" t="s">
        <v>645</v>
      </c>
      <c r="C48" s="27">
        <v>18900</v>
      </c>
    </row>
    <row r="49" spans="2:3" x14ac:dyDescent="0.25">
      <c r="B49" s="25" t="s">
        <v>646</v>
      </c>
      <c r="C49" s="27">
        <v>1900</v>
      </c>
    </row>
    <row r="50" spans="2:3" x14ac:dyDescent="0.25">
      <c r="B50" s="25" t="s">
        <v>647</v>
      </c>
      <c r="C50" s="27">
        <v>300</v>
      </c>
    </row>
    <row r="51" spans="2:3" x14ac:dyDescent="0.25">
      <c r="B51" s="25" t="s">
        <v>648</v>
      </c>
      <c r="C51" s="27">
        <v>600</v>
      </c>
    </row>
    <row r="52" spans="2:3" x14ac:dyDescent="0.25">
      <c r="B52" s="25" t="s">
        <v>199</v>
      </c>
      <c r="C52" s="27"/>
    </row>
    <row r="53" spans="2:3" x14ac:dyDescent="0.25">
      <c r="B53" s="26" t="s">
        <v>649</v>
      </c>
      <c r="C53" s="27">
        <v>42000</v>
      </c>
    </row>
    <row r="54" spans="2:3" x14ac:dyDescent="0.25">
      <c r="B54" s="26" t="s">
        <v>650</v>
      </c>
      <c r="C54" s="27">
        <v>20500</v>
      </c>
    </row>
    <row r="55" spans="2:3" x14ac:dyDescent="0.25">
      <c r="B55" s="26" t="s">
        <v>651</v>
      </c>
      <c r="C55" s="27">
        <v>80000</v>
      </c>
    </row>
    <row r="56" spans="2:3" x14ac:dyDescent="0.25">
      <c r="B56" s="25" t="s">
        <v>207</v>
      </c>
      <c r="C56" s="27"/>
    </row>
    <row r="57" spans="2:3" x14ac:dyDescent="0.25">
      <c r="B57" s="26" t="s">
        <v>652</v>
      </c>
      <c r="C57" s="27">
        <v>32000</v>
      </c>
    </row>
    <row r="58" spans="2:3" x14ac:dyDescent="0.25">
      <c r="B58" s="26" t="s">
        <v>653</v>
      </c>
      <c r="C58" s="27">
        <v>700</v>
      </c>
    </row>
    <row r="59" spans="2:3" x14ac:dyDescent="0.25">
      <c r="B59" s="25" t="s">
        <v>209</v>
      </c>
      <c r="C59" s="27"/>
    </row>
    <row r="60" spans="2:3" x14ac:dyDescent="0.25">
      <c r="B60" s="26" t="s">
        <v>654</v>
      </c>
      <c r="C60" s="27">
        <v>40000</v>
      </c>
    </row>
    <row r="61" spans="2:3" x14ac:dyDescent="0.25">
      <c r="B61" s="25" t="s">
        <v>655</v>
      </c>
      <c r="C61" s="27"/>
    </row>
    <row r="62" spans="2:3" x14ac:dyDescent="0.25">
      <c r="B62" s="26" t="s">
        <v>656</v>
      </c>
      <c r="C62" s="27"/>
    </row>
    <row r="63" spans="2:3" x14ac:dyDescent="0.25">
      <c r="B63" s="26" t="s">
        <v>657</v>
      </c>
      <c r="C63" s="27">
        <v>11000</v>
      </c>
    </row>
    <row r="64" spans="2:3" x14ac:dyDescent="0.25">
      <c r="B64" s="25" t="s">
        <v>658</v>
      </c>
      <c r="C64" s="27">
        <v>18800</v>
      </c>
    </row>
    <row r="65" spans="2:3" x14ac:dyDescent="0.25">
      <c r="B65" s="25" t="s">
        <v>659</v>
      </c>
      <c r="C65" s="453">
        <v>20000</v>
      </c>
    </row>
    <row r="66" spans="2:3" x14ac:dyDescent="0.25">
      <c r="C66" s="28">
        <f>SUM(C30:C65)</f>
        <v>517001</v>
      </c>
    </row>
    <row r="68" spans="2:3" x14ac:dyDescent="0.25">
      <c r="C68" s="27">
        <v>23000</v>
      </c>
    </row>
    <row r="69" spans="2:3" x14ac:dyDescent="0.25">
      <c r="C69" s="27">
        <v>8500</v>
      </c>
    </row>
    <row r="70" spans="2:3" x14ac:dyDescent="0.25">
      <c r="C70" s="27">
        <v>1500</v>
      </c>
    </row>
    <row r="71" spans="2:3" x14ac:dyDescent="0.25">
      <c r="C71" s="27">
        <v>5000</v>
      </c>
    </row>
    <row r="72" spans="2:3" x14ac:dyDescent="0.25">
      <c r="C72" s="27">
        <v>5500</v>
      </c>
    </row>
    <row r="73" spans="2:3" x14ac:dyDescent="0.25">
      <c r="C73" s="27">
        <v>11333</v>
      </c>
    </row>
    <row r="74" spans="2:3" x14ac:dyDescent="0.25">
      <c r="C74" s="27">
        <v>15361</v>
      </c>
    </row>
    <row r="75" spans="2:3" x14ac:dyDescent="0.25">
      <c r="C75" s="27">
        <v>500</v>
      </c>
    </row>
    <row r="76" spans="2:3" x14ac:dyDescent="0.25">
      <c r="C76" s="27">
        <v>900</v>
      </c>
    </row>
    <row r="77" spans="2:3" x14ac:dyDescent="0.25">
      <c r="C77" s="27">
        <v>44950</v>
      </c>
    </row>
    <row r="78" spans="2:3" x14ac:dyDescent="0.25">
      <c r="C78" s="27">
        <v>1559</v>
      </c>
    </row>
    <row r="79" spans="2:3" x14ac:dyDescent="0.25">
      <c r="C79" s="27">
        <v>4256</v>
      </c>
    </row>
    <row r="80" spans="2:3" x14ac:dyDescent="0.25">
      <c r="C80" s="27">
        <v>30465</v>
      </c>
    </row>
    <row r="81" spans="3:3" x14ac:dyDescent="0.25">
      <c r="C81" s="27">
        <v>7050</v>
      </c>
    </row>
    <row r="82" spans="3:3" x14ac:dyDescent="0.25">
      <c r="C82" s="27">
        <v>4920</v>
      </c>
    </row>
    <row r="83" spans="3:3" x14ac:dyDescent="0.25">
      <c r="C83" s="27">
        <v>2700</v>
      </c>
    </row>
    <row r="84" spans="3:3" x14ac:dyDescent="0.25">
      <c r="C84" s="27">
        <v>2700</v>
      </c>
    </row>
    <row r="85" spans="3:3" x14ac:dyDescent="0.25">
      <c r="C85" s="27">
        <v>243</v>
      </c>
    </row>
    <row r="86" spans="3:3" x14ac:dyDescent="0.25">
      <c r="C86" s="25">
        <v>5700</v>
      </c>
    </row>
    <row r="87" spans="3:3" x14ac:dyDescent="0.25">
      <c r="C87" s="25">
        <v>5000</v>
      </c>
    </row>
    <row r="88" spans="3:3" x14ac:dyDescent="0.25">
      <c r="C88" s="25">
        <v>18000</v>
      </c>
    </row>
    <row r="89" spans="3:3" x14ac:dyDescent="0.25">
      <c r="C89" s="25">
        <v>8600</v>
      </c>
    </row>
    <row r="90" spans="3:3" x14ac:dyDescent="0.25">
      <c r="C90" s="25">
        <v>2560</v>
      </c>
    </row>
    <row r="91" spans="3:3" x14ac:dyDescent="0.25">
      <c r="C91" s="25">
        <v>4985</v>
      </c>
    </row>
    <row r="92" spans="3:3" x14ac:dyDescent="0.25">
      <c r="C92" s="25">
        <v>11000</v>
      </c>
    </row>
    <row r="93" spans="3:3" x14ac:dyDescent="0.25">
      <c r="C93" s="25">
        <v>25000</v>
      </c>
    </row>
    <row r="94" spans="3:3" x14ac:dyDescent="0.25">
      <c r="C94" s="454">
        <f>SUM(C68:C93)</f>
        <v>251282</v>
      </c>
    </row>
  </sheetData>
  <hyperlinks>
    <hyperlink ref="B4" r:id="rId1" xr:uid="{25F65A31-ACE6-4B41-A165-98795B9187D0}"/>
    <hyperlink ref="B3" r:id="rId2" xr:uid="{85B863AB-7F90-4AB7-BF67-57033F0AE292}"/>
    <hyperlink ref="B5" r:id="rId3" xr:uid="{AC04C0DB-0977-40AA-BBA0-D3E87A17587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E450-29D2-4B2E-9252-88682C83ADEF}">
  <dimension ref="B34:D38"/>
  <sheetViews>
    <sheetView zoomScale="55" zoomScaleNormal="55" workbookViewId="0">
      <selection activeCell="W49" sqref="W49"/>
    </sheetView>
  </sheetViews>
  <sheetFormatPr defaultRowHeight="15" x14ac:dyDescent="0.25"/>
  <cols>
    <col min="3" max="3" width="12.28515625" bestFit="1" customWidth="1"/>
  </cols>
  <sheetData>
    <row r="34" spans="2:4" x14ac:dyDescent="0.25">
      <c r="B34" s="347" t="s">
        <v>602</v>
      </c>
    </row>
    <row r="35" spans="2:4" x14ac:dyDescent="0.25">
      <c r="C35" s="32" t="s">
        <v>603</v>
      </c>
    </row>
    <row r="36" spans="2:4" x14ac:dyDescent="0.25">
      <c r="C36" t="s">
        <v>604</v>
      </c>
    </row>
    <row r="38" spans="2:4" x14ac:dyDescent="0.25">
      <c r="B38" t="s">
        <v>605</v>
      </c>
      <c r="D38" s="348">
        <v>81774</v>
      </c>
    </row>
  </sheetData>
  <hyperlinks>
    <hyperlink ref="C35" r:id="rId1" display="https://www.figeac-aero.com/sites/default/files/figeac_aero_ra_2018_19_vdefc_vuk_0.pdf" xr:uid="{25D6B0C7-B339-4E31-AA48-8DB96BFE64B9}"/>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5259-E856-4EB3-96B6-9573F4080924}">
  <dimension ref="B2:E7"/>
  <sheetViews>
    <sheetView zoomScale="130" zoomScaleNormal="130" workbookViewId="0">
      <selection activeCell="D7" sqref="D7"/>
    </sheetView>
  </sheetViews>
  <sheetFormatPr defaultRowHeight="15" x14ac:dyDescent="0.25"/>
  <cols>
    <col min="4" max="4" width="10.5703125" bestFit="1" customWidth="1"/>
  </cols>
  <sheetData>
    <row r="2" spans="2:5" x14ac:dyDescent="0.25">
      <c r="B2" t="s">
        <v>676</v>
      </c>
    </row>
    <row r="3" spans="2:5" x14ac:dyDescent="0.25">
      <c r="B3" t="s">
        <v>680</v>
      </c>
    </row>
    <row r="4" spans="2:5" x14ac:dyDescent="0.25">
      <c r="B4" t="s">
        <v>677</v>
      </c>
      <c r="C4" t="s">
        <v>678</v>
      </c>
      <c r="D4" t="s">
        <v>679</v>
      </c>
      <c r="E4" s="506" t="s">
        <v>681</v>
      </c>
    </row>
    <row r="5" spans="2:5" x14ac:dyDescent="0.25">
      <c r="B5" t="s">
        <v>191</v>
      </c>
      <c r="C5">
        <v>2025</v>
      </c>
      <c r="D5" s="505">
        <v>5808</v>
      </c>
      <c r="E5" s="507">
        <f>D5/$D$5-1</f>
        <v>0</v>
      </c>
    </row>
    <row r="6" spans="2:5" x14ac:dyDescent="0.25">
      <c r="B6" t="s">
        <v>199</v>
      </c>
      <c r="C6">
        <v>2024</v>
      </c>
      <c r="D6" s="505">
        <v>2919</v>
      </c>
      <c r="E6" s="507">
        <f>D6/$D$5-1</f>
        <v>-0.49741735537190079</v>
      </c>
    </row>
    <row r="7" spans="2:5" x14ac:dyDescent="0.25">
      <c r="B7" t="s">
        <v>209</v>
      </c>
      <c r="C7">
        <v>2024</v>
      </c>
      <c r="D7" s="505">
        <v>1198</v>
      </c>
      <c r="E7" s="507">
        <f>D7/$D$5-1</f>
        <v>-0.79373278236914602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Main</vt:lpstr>
      <vt:lpstr>Model</vt:lpstr>
      <vt:lpstr>Comps</vt:lpstr>
      <vt:lpstr>Figure 1</vt:lpstr>
      <vt:lpstr>DCF Base</vt:lpstr>
      <vt:lpstr>DCF Current</vt:lpstr>
      <vt:lpstr>DCF MKT</vt:lpstr>
      <vt:lpstr>DCF 3-bear</vt:lpstr>
      <vt:lpstr>DCF- Bull</vt:lpstr>
      <vt:lpstr>SOTP</vt:lpstr>
      <vt:lpstr>WACC </vt:lpstr>
      <vt:lpstr>Analysts</vt:lpstr>
      <vt:lpstr>Fixed assets and subs</vt:lpstr>
      <vt:lpstr>Capex</vt:lpstr>
      <vt:lpstr>Labor costs</vt:lpstr>
      <vt:lpstr>Model!_FilterDatabase</vt:lpstr>
      <vt:lpstr>'Figure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Goquiolay</dc:creator>
  <cp:lastModifiedBy>Joaquin Goquiolay</cp:lastModifiedBy>
  <dcterms:created xsi:type="dcterms:W3CDTF">2025-09-05T18:38:48Z</dcterms:created>
  <dcterms:modified xsi:type="dcterms:W3CDTF">2026-06-14T23:43:45Z</dcterms:modified>
</cp:coreProperties>
</file>